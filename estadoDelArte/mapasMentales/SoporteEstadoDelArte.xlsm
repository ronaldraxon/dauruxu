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2" defaultThemeVersion="166925"/>
  <mc:AlternateContent xmlns:mc="http://schemas.openxmlformats.org/markup-compatibility/2006">
    <mc:Choice Requires="x15">
      <x15ac:absPath xmlns:x15ac="http://schemas.microsoft.com/office/spreadsheetml/2010/11/ac" url="C:\Users\user\Documents\Personal Projects\dauruxu\estadoDelArte\mapasMentales\"/>
    </mc:Choice>
  </mc:AlternateContent>
  <xr:revisionPtr revIDLastSave="0" documentId="13_ncr:1_{7182E933-54AB-4DEC-9650-925C8CD9A82A}" xr6:coauthVersionLast="45" xr6:coauthVersionMax="45" xr10:uidLastSave="{00000000-0000-0000-0000-000000000000}"/>
  <bookViews>
    <workbookView xWindow="-120" yWindow="-120" windowWidth="29040" windowHeight="15840" tabRatio="500" activeTab="5" xr2:uid="{00000000-000D-0000-FFFF-FFFF00000000}"/>
  </bookViews>
  <sheets>
    <sheet name="Palabras clave" sheetId="1" r:id="rId1"/>
    <sheet name="Ecuaciones Finales" sheetId="2" r:id="rId2"/>
    <sheet name="Lista de Revistas" sheetId="3" r:id="rId3"/>
    <sheet name="Lista de Autores" sheetId="4" r:id="rId4"/>
    <sheet name="Ramas" sheetId="5" r:id="rId5"/>
    <sheet name="Articulos de mecanismos de Eval" sheetId="6" r:id="rId6"/>
    <sheet name="Articulos Etiquetados" sheetId="7" r:id="rId7"/>
    <sheet name="Articulos Etiquetados Ergonomía" sheetId="8" r:id="rId8"/>
    <sheet name="CombinacionesMatrices" sheetId="9" r:id="rId9"/>
    <sheet name="Matrices" sheetId="10" r:id="rId10"/>
    <sheet name="Criterios" sheetId="11" r:id="rId11"/>
    <sheet name="Oportunidades_C1" sheetId="12" state="hidden" r:id="rId12"/>
    <sheet name="Oportunidades_C1-2-3" sheetId="13" r:id="rId13"/>
    <sheet name="Valores" sheetId="14" r:id="rId14"/>
    <sheet name="EcuacionesEnBruto" sheetId="15" r:id="rId15"/>
    <sheet name="NOT Keywords" sheetId="16" r:id="rId16"/>
    <sheet name="Builder" sheetId="17" r:id="rId17"/>
    <sheet name="1-500" sheetId="18" r:id="rId18"/>
    <sheet name="501-828" sheetId="19" r:id="rId19"/>
    <sheet name="Autoresbase" sheetId="20" r:id="rId20"/>
    <sheet name="savedrecs186-e77" sheetId="21" r:id="rId21"/>
    <sheet name="savedrecs-E78" sheetId="22" r:id="rId22"/>
    <sheet name="savedrecs-E79" sheetId="23" r:id="rId23"/>
    <sheet name="savedrecs-E80" sheetId="24" r:id="rId24"/>
    <sheet name="savedrecs-E81" sheetId="25" r:id="rId25"/>
    <sheet name="savedrecs-E82" sheetId="26" r:id="rId26"/>
    <sheet name="savedrecs-E83" sheetId="27" r:id="rId27"/>
    <sheet name="savedrecs-E84" sheetId="28" r:id="rId28"/>
    <sheet name="savedrecs-E85" sheetId="29" r:id="rId29"/>
    <sheet name="savedrecs-E86" sheetId="30" r:id="rId30"/>
  </sheets>
  <definedNames>
    <definedName name="_xlnm._FilterDatabase" localSheetId="18" hidden="1">'501-828'!$A$28:$AN$356</definedName>
    <definedName name="_xlnm._FilterDatabase" localSheetId="6">'Articulos Etiquetados'!$A$2:$AO$255</definedName>
    <definedName name="_xlnm._FilterDatabase" localSheetId="7" hidden="1">'Articulos Etiquetados Ergonomía'!$D$2:$AN$2</definedName>
    <definedName name="_xlnm._FilterDatabase" localSheetId="3">'Lista de Autores'!$C$1:$E$1</definedName>
    <definedName name="_xlnm._FilterDatabase" localSheetId="11" hidden="1">Oportunidades_C1!$A$4:$CZ$85</definedName>
    <definedName name="_xlnm._FilterDatabase" localSheetId="12" hidden="1">'Oportunidades_C1-2-3'!$A$4:$DH$85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4" i="17" l="1"/>
  <c r="F4" i="17"/>
  <c r="G2" i="17"/>
  <c r="F2" i="17"/>
  <c r="CW85" i="13"/>
  <c r="CX85" i="13" s="1"/>
  <c r="DG85" i="13" s="1"/>
  <c r="CS85" i="13"/>
  <c r="CR85" i="13"/>
  <c r="CQ85" i="13"/>
  <c r="CT85" i="13" s="1"/>
  <c r="CU85" i="13" s="1"/>
  <c r="CJ85" i="13"/>
  <c r="CI85" i="13"/>
  <c r="CE85" i="13"/>
  <c r="CF85" i="13" s="1"/>
  <c r="CD85" i="13"/>
  <c r="CC85" i="13"/>
  <c r="BX85" i="13"/>
  <c r="BY85" i="13" s="1"/>
  <c r="BZ85" i="13" s="1"/>
  <c r="BW85" i="13"/>
  <c r="BS85" i="13"/>
  <c r="BQ85" i="13"/>
  <c r="BP85" i="13"/>
  <c r="BO85" i="13"/>
  <c r="BR85" i="13" s="1"/>
  <c r="BT85" i="13" s="1"/>
  <c r="DD85" i="13" s="1"/>
  <c r="BI85" i="13"/>
  <c r="BH85" i="13"/>
  <c r="BG85" i="13"/>
  <c r="BF85" i="13"/>
  <c r="BE85" i="13"/>
  <c r="BD85" i="13"/>
  <c r="AW85" i="13"/>
  <c r="AV85" i="13"/>
  <c r="AY85" i="13" s="1"/>
  <c r="DB85" i="13" s="1"/>
  <c r="AU85" i="13"/>
  <c r="AN85" i="13"/>
  <c r="AM85" i="13"/>
  <c r="AL85" i="13"/>
  <c r="AK85" i="13"/>
  <c r="AP85" i="13" s="1"/>
  <c r="AJ85" i="13"/>
  <c r="AB85" i="13"/>
  <c r="AA85" i="13"/>
  <c r="V85" i="13"/>
  <c r="W85" i="13" s="1"/>
  <c r="U85" i="13"/>
  <c r="T85" i="13"/>
  <c r="O85" i="13"/>
  <c r="N85" i="13"/>
  <c r="M85" i="13"/>
  <c r="CW84" i="13"/>
  <c r="CX84" i="13" s="1"/>
  <c r="DG84" i="13" s="1"/>
  <c r="CT84" i="13"/>
  <c r="CU84" i="13" s="1"/>
  <c r="CS84" i="13"/>
  <c r="CR84" i="13"/>
  <c r="CQ84" i="13"/>
  <c r="CK84" i="13"/>
  <c r="CL84" i="13" s="1"/>
  <c r="CJ84" i="13"/>
  <c r="CI84" i="13"/>
  <c r="CD84" i="13"/>
  <c r="CC84" i="13"/>
  <c r="CE84" i="13" s="1"/>
  <c r="CF84" i="13" s="1"/>
  <c r="BX84" i="13"/>
  <c r="BW84" i="13"/>
  <c r="BY84" i="13" s="1"/>
  <c r="BZ84" i="13" s="1"/>
  <c r="BQ84" i="13"/>
  <c r="BP84" i="13"/>
  <c r="BO84" i="13"/>
  <c r="BR84" i="13" s="1"/>
  <c r="BG84" i="13"/>
  <c r="BF84" i="13"/>
  <c r="BE84" i="13"/>
  <c r="BD84" i="13"/>
  <c r="BH84" i="13" s="1"/>
  <c r="AW84" i="13"/>
  <c r="AV84" i="13"/>
  <c r="AU84" i="13"/>
  <c r="AN84" i="13"/>
  <c r="AM84" i="13"/>
  <c r="AL84" i="13"/>
  <c r="AK84" i="13"/>
  <c r="AJ84" i="13"/>
  <c r="AD84" i="13"/>
  <c r="CZ84" i="13" s="1"/>
  <c r="AB84" i="13"/>
  <c r="AA84" i="13"/>
  <c r="AC84" i="13" s="1"/>
  <c r="V84" i="13"/>
  <c r="U84" i="13"/>
  <c r="T84" i="13"/>
  <c r="W84" i="13" s="1"/>
  <c r="X84" i="13" s="1"/>
  <c r="CY84" i="13" s="1"/>
  <c r="O84" i="13"/>
  <c r="N84" i="13"/>
  <c r="M84" i="13"/>
  <c r="P84" i="13" s="1"/>
  <c r="CW83" i="13"/>
  <c r="CX83" i="13" s="1"/>
  <c r="DG83" i="13" s="1"/>
  <c r="CS83" i="13"/>
  <c r="CR83" i="13"/>
  <c r="CT83" i="13" s="1"/>
  <c r="CU83" i="13" s="1"/>
  <c r="CQ83" i="13"/>
  <c r="CK83" i="13"/>
  <c r="CL83" i="13" s="1"/>
  <c r="CJ83" i="13"/>
  <c r="CI83" i="13"/>
  <c r="CD83" i="13"/>
  <c r="CC83" i="13"/>
  <c r="BY83" i="13"/>
  <c r="BZ83" i="13" s="1"/>
  <c r="BX83" i="13"/>
  <c r="BW83" i="13"/>
  <c r="BT83" i="13"/>
  <c r="DD83" i="13" s="1"/>
  <c r="BS83" i="13"/>
  <c r="BR83" i="13"/>
  <c r="BQ83" i="13"/>
  <c r="BP83" i="13"/>
  <c r="BO83" i="13"/>
  <c r="BG83" i="13"/>
  <c r="BF83" i="13"/>
  <c r="BE83" i="13"/>
  <c r="BI83" i="13" s="1"/>
  <c r="BD83" i="13"/>
  <c r="BH83" i="13" s="1"/>
  <c r="BJ83" i="13" s="1"/>
  <c r="BK83" i="13" s="1"/>
  <c r="AW83" i="13"/>
  <c r="AV83" i="13"/>
  <c r="AU83" i="13"/>
  <c r="AN83" i="13"/>
  <c r="AM83" i="13"/>
  <c r="AL83" i="13"/>
  <c r="AK83" i="13"/>
  <c r="AJ83" i="13"/>
  <c r="AP83" i="13" s="1"/>
  <c r="AB83" i="13"/>
  <c r="AA83" i="13"/>
  <c r="V83" i="13"/>
  <c r="W83" i="13" s="1"/>
  <c r="U83" i="13"/>
  <c r="T83" i="13"/>
  <c r="O83" i="13"/>
  <c r="P83" i="13" s="1"/>
  <c r="N83" i="13"/>
  <c r="M83" i="13"/>
  <c r="CX82" i="13"/>
  <c r="DG82" i="13" s="1"/>
  <c r="CW82" i="13"/>
  <c r="CT82" i="13"/>
  <c r="CU82" i="13" s="1"/>
  <c r="CS82" i="13"/>
  <c r="CR82" i="13"/>
  <c r="CQ82" i="13"/>
  <c r="CJ82" i="13"/>
  <c r="CI82" i="13"/>
  <c r="CK82" i="13" s="1"/>
  <c r="CL82" i="13" s="1"/>
  <c r="CM82" i="13" s="1"/>
  <c r="DE82" i="13" s="1"/>
  <c r="BQ82" i="13"/>
  <c r="BP82" i="13"/>
  <c r="BS82" i="13" s="1"/>
  <c r="BO82" i="13"/>
  <c r="BR82" i="13" s="1"/>
  <c r="BT82" i="13" s="1"/>
  <c r="DD82" i="13" s="1"/>
  <c r="BH82" i="13"/>
  <c r="BG82" i="13"/>
  <c r="BF82" i="13"/>
  <c r="BE82" i="13"/>
  <c r="BD82" i="13"/>
  <c r="AX82" i="13"/>
  <c r="AW82" i="13"/>
  <c r="AV82" i="13"/>
  <c r="AU82" i="13"/>
  <c r="AY82" i="13" s="1"/>
  <c r="DB82" i="13" s="1"/>
  <c r="AN82" i="13"/>
  <c r="AM82" i="13"/>
  <c r="AL82" i="13"/>
  <c r="AK82" i="13"/>
  <c r="AJ82" i="13"/>
  <c r="AC82" i="13"/>
  <c r="AB82" i="13"/>
  <c r="AA82" i="13"/>
  <c r="V82" i="13"/>
  <c r="U82" i="13"/>
  <c r="T82" i="13"/>
  <c r="W82" i="13" s="1"/>
  <c r="O82" i="13"/>
  <c r="N82" i="13"/>
  <c r="M82" i="13"/>
  <c r="P82" i="13" s="1"/>
  <c r="CW81" i="13"/>
  <c r="CX81" i="13" s="1"/>
  <c r="DG81" i="13" s="1"/>
  <c r="CT81" i="13"/>
  <c r="CU81" i="13" s="1"/>
  <c r="CS81" i="13"/>
  <c r="CR81" i="13"/>
  <c r="CQ81" i="13"/>
  <c r="CK81" i="13"/>
  <c r="CL81" i="13" s="1"/>
  <c r="CM81" i="13" s="1"/>
  <c r="DE81" i="13" s="1"/>
  <c r="CJ81" i="13"/>
  <c r="CI81" i="13"/>
  <c r="BS81" i="13"/>
  <c r="BQ81" i="13"/>
  <c r="BP81" i="13"/>
  <c r="BO81" i="13"/>
  <c r="BR81" i="13" s="1"/>
  <c r="BT81" i="13" s="1"/>
  <c r="DD81" i="13" s="1"/>
  <c r="BI81" i="13"/>
  <c r="BH81" i="13"/>
  <c r="BJ81" i="13" s="1"/>
  <c r="BK81" i="13" s="1"/>
  <c r="BG81" i="13"/>
  <c r="BF81" i="13"/>
  <c r="BE81" i="13"/>
  <c r="BD81" i="13"/>
  <c r="AY81" i="13"/>
  <c r="DB81" i="13" s="1"/>
  <c r="AX81" i="13"/>
  <c r="AW81" i="13"/>
  <c r="AV81" i="13"/>
  <c r="AU81" i="13"/>
  <c r="AP81" i="13"/>
  <c r="AO81" i="13"/>
  <c r="AN81" i="13"/>
  <c r="AM81" i="13"/>
  <c r="AL81" i="13"/>
  <c r="AK81" i="13"/>
  <c r="AJ81" i="13"/>
  <c r="AB81" i="13"/>
  <c r="AA81" i="13"/>
  <c r="W81" i="13"/>
  <c r="V81" i="13"/>
  <c r="U81" i="13"/>
  <c r="T81" i="13"/>
  <c r="O81" i="13"/>
  <c r="N81" i="13"/>
  <c r="M81" i="13"/>
  <c r="DG80" i="13"/>
  <c r="CX80" i="13"/>
  <c r="CW80" i="13"/>
  <c r="CT80" i="13"/>
  <c r="CU80" i="13" s="1"/>
  <c r="CS80" i="13"/>
  <c r="CR80" i="13"/>
  <c r="CQ80" i="13"/>
  <c r="CM80" i="13"/>
  <c r="DE80" i="13" s="1"/>
  <c r="CK80" i="13"/>
  <c r="CL80" i="13" s="1"/>
  <c r="CJ80" i="13"/>
  <c r="CI80" i="13"/>
  <c r="BS80" i="13"/>
  <c r="BR80" i="13"/>
  <c r="BT80" i="13" s="1"/>
  <c r="DD80" i="13" s="1"/>
  <c r="BQ80" i="13"/>
  <c r="BP80" i="13"/>
  <c r="BO80" i="13"/>
  <c r="BJ80" i="13"/>
  <c r="BK80" i="13" s="1"/>
  <c r="BI80" i="13"/>
  <c r="BG80" i="13"/>
  <c r="BF80" i="13"/>
  <c r="BE80" i="13"/>
  <c r="BD80" i="13"/>
  <c r="BH80" i="13" s="1"/>
  <c r="AW80" i="13"/>
  <c r="AV80" i="13"/>
  <c r="AU80" i="13"/>
  <c r="AY80" i="13" s="1"/>
  <c r="DB80" i="13" s="1"/>
  <c r="AN80" i="13"/>
  <c r="AM80" i="13"/>
  <c r="AL80" i="13"/>
  <c r="AK80" i="13"/>
  <c r="AJ80" i="13"/>
  <c r="AB80" i="13"/>
  <c r="AA80" i="13"/>
  <c r="AC80" i="13" s="1"/>
  <c r="V80" i="13"/>
  <c r="U80" i="13"/>
  <c r="T80" i="13"/>
  <c r="W80" i="13" s="1"/>
  <c r="X80" i="13" s="1"/>
  <c r="CY80" i="13" s="1"/>
  <c r="O80" i="13"/>
  <c r="N80" i="13"/>
  <c r="M80" i="13"/>
  <c r="P80" i="13" s="1"/>
  <c r="CW79" i="13"/>
  <c r="CX79" i="13" s="1"/>
  <c r="DG79" i="13" s="1"/>
  <c r="CS79" i="13"/>
  <c r="CR79" i="13"/>
  <c r="CQ79" i="13"/>
  <c r="CK79" i="13"/>
  <c r="CL79" i="13" s="1"/>
  <c r="CM79" i="13" s="1"/>
  <c r="DE79" i="13" s="1"/>
  <c r="CJ79" i="13"/>
  <c r="CI79" i="13"/>
  <c r="BS79" i="13"/>
  <c r="BQ79" i="13"/>
  <c r="BP79" i="13"/>
  <c r="BO79" i="13"/>
  <c r="BR79" i="13" s="1"/>
  <c r="BT79" i="13" s="1"/>
  <c r="DD79" i="13" s="1"/>
  <c r="BG79" i="13"/>
  <c r="BF79" i="13"/>
  <c r="BE79" i="13"/>
  <c r="BI79" i="13" s="1"/>
  <c r="BD79" i="13"/>
  <c r="BH79" i="13" s="1"/>
  <c r="BJ79" i="13" s="1"/>
  <c r="BK79" i="13" s="1"/>
  <c r="AW79" i="13"/>
  <c r="AV79" i="13"/>
  <c r="AU79" i="13"/>
  <c r="AO79" i="13"/>
  <c r="AN79" i="13"/>
  <c r="AM79" i="13"/>
  <c r="AL79" i="13"/>
  <c r="AK79" i="13"/>
  <c r="AJ79" i="13"/>
  <c r="AB79" i="13"/>
  <c r="AD79" i="13" s="1"/>
  <c r="CZ79" i="13" s="1"/>
  <c r="AA79" i="13"/>
  <c r="V79" i="13"/>
  <c r="U79" i="13"/>
  <c r="T79" i="13"/>
  <c r="W79" i="13" s="1"/>
  <c r="O79" i="13"/>
  <c r="P79" i="13" s="1"/>
  <c r="N79" i="13"/>
  <c r="M79" i="13"/>
  <c r="CW78" i="13"/>
  <c r="CX78" i="13" s="1"/>
  <c r="DG78" i="13" s="1"/>
  <c r="CU78" i="13"/>
  <c r="CT78" i="13"/>
  <c r="CS78" i="13"/>
  <c r="CR78" i="13"/>
  <c r="CQ78" i="13"/>
  <c r="CJ78" i="13"/>
  <c r="CI78" i="13"/>
  <c r="CK78" i="13" s="1"/>
  <c r="CL78" i="13" s="1"/>
  <c r="CD78" i="13"/>
  <c r="CC78" i="13"/>
  <c r="CE78" i="13" s="1"/>
  <c r="CF78" i="13" s="1"/>
  <c r="BX78" i="13"/>
  <c r="BW78" i="13"/>
  <c r="BY78" i="13" s="1"/>
  <c r="BZ78" i="13" s="1"/>
  <c r="BR78" i="13"/>
  <c r="BQ78" i="13"/>
  <c r="BS78" i="13" s="1"/>
  <c r="BT78" i="13" s="1"/>
  <c r="DD78" i="13" s="1"/>
  <c r="BP78" i="13"/>
  <c r="BO78" i="13"/>
  <c r="BG78" i="13"/>
  <c r="BF78" i="13"/>
  <c r="BE78" i="13"/>
  <c r="BI78" i="13" s="1"/>
  <c r="BD78" i="13"/>
  <c r="BH78" i="13" s="1"/>
  <c r="AY78" i="13"/>
  <c r="DB78" i="13" s="1"/>
  <c r="AW78" i="13"/>
  <c r="AV78" i="13"/>
  <c r="AU78" i="13"/>
  <c r="AX78" i="13" s="1"/>
  <c r="AN78" i="13"/>
  <c r="AM78" i="13"/>
  <c r="AP78" i="13" s="1"/>
  <c r="AL78" i="13"/>
  <c r="AK78" i="13"/>
  <c r="AJ78" i="13"/>
  <c r="AO78" i="13" s="1"/>
  <c r="AD78" i="13"/>
  <c r="CZ78" i="13" s="1"/>
  <c r="AB78" i="13"/>
  <c r="AA78" i="13"/>
  <c r="AC78" i="13" s="1"/>
  <c r="V78" i="13"/>
  <c r="U78" i="13"/>
  <c r="T78" i="13"/>
  <c r="W78" i="13" s="1"/>
  <c r="O78" i="13"/>
  <c r="N78" i="13"/>
  <c r="M78" i="13"/>
  <c r="P78" i="13" s="1"/>
  <c r="DE77" i="13"/>
  <c r="CW77" i="13"/>
  <c r="CX77" i="13" s="1"/>
  <c r="DG77" i="13" s="1"/>
  <c r="CS77" i="13"/>
  <c r="CR77" i="13"/>
  <c r="CT77" i="13" s="1"/>
  <c r="CU77" i="13" s="1"/>
  <c r="CQ77" i="13"/>
  <c r="CJ77" i="13"/>
  <c r="CI77" i="13"/>
  <c r="CK77" i="13" s="1"/>
  <c r="CL77" i="13" s="1"/>
  <c r="CM77" i="13" s="1"/>
  <c r="BS77" i="13"/>
  <c r="BT77" i="13" s="1"/>
  <c r="DD77" i="13" s="1"/>
  <c r="BQ77" i="13"/>
  <c r="BP77" i="13"/>
  <c r="BO77" i="13"/>
  <c r="BR77" i="13" s="1"/>
  <c r="BH77" i="13"/>
  <c r="BG77" i="13"/>
  <c r="BF77" i="13"/>
  <c r="BE77" i="13"/>
  <c r="BI77" i="13" s="1"/>
  <c r="BD77" i="13"/>
  <c r="AW77" i="13"/>
  <c r="AV77" i="13"/>
  <c r="AU77" i="13"/>
  <c r="AN77" i="13"/>
  <c r="AM77" i="13"/>
  <c r="AL77" i="13"/>
  <c r="AK77" i="13"/>
  <c r="AJ77" i="13"/>
  <c r="AB77" i="13"/>
  <c r="AC77" i="13" s="1"/>
  <c r="AA77" i="13"/>
  <c r="V77" i="13"/>
  <c r="U77" i="13"/>
  <c r="T77" i="13"/>
  <c r="W77" i="13" s="1"/>
  <c r="O77" i="13"/>
  <c r="P77" i="13" s="1"/>
  <c r="N77" i="13"/>
  <c r="M77" i="13"/>
  <c r="DB76" i="13"/>
  <c r="CZ76" i="13"/>
  <c r="CW76" i="13"/>
  <c r="CX76" i="13" s="1"/>
  <c r="DG76" i="13" s="1"/>
  <c r="CS76" i="13"/>
  <c r="CT76" i="13" s="1"/>
  <c r="CU76" i="13" s="1"/>
  <c r="CR76" i="13"/>
  <c r="CQ76" i="13"/>
  <c r="CJ76" i="13"/>
  <c r="CI76" i="13"/>
  <c r="CK76" i="13" s="1"/>
  <c r="CL76" i="13" s="1"/>
  <c r="CM76" i="13" s="1"/>
  <c r="DE76" i="13" s="1"/>
  <c r="BR76" i="13"/>
  <c r="BQ76" i="13"/>
  <c r="BS76" i="13" s="1"/>
  <c r="BP76" i="13"/>
  <c r="BO76" i="13"/>
  <c r="BH76" i="13"/>
  <c r="BG76" i="13"/>
  <c r="BI76" i="13" s="1"/>
  <c r="BF76" i="13"/>
  <c r="BE76" i="13"/>
  <c r="BD76" i="13"/>
  <c r="AY76" i="13"/>
  <c r="AX76" i="13"/>
  <c r="AW76" i="13"/>
  <c r="AV76" i="13"/>
  <c r="AU76" i="13"/>
  <c r="AN76" i="13"/>
  <c r="AM76" i="13"/>
  <c r="AL76" i="13"/>
  <c r="AK76" i="13"/>
  <c r="AJ76" i="13"/>
  <c r="AD76" i="13"/>
  <c r="AB76" i="13"/>
  <c r="AC76" i="13" s="1"/>
  <c r="AA76" i="13"/>
  <c r="V76" i="13"/>
  <c r="W76" i="13" s="1"/>
  <c r="X76" i="13" s="1"/>
  <c r="CY76" i="13" s="1"/>
  <c r="U76" i="13"/>
  <c r="T76" i="13"/>
  <c r="O76" i="13"/>
  <c r="N76" i="13"/>
  <c r="M76" i="13"/>
  <c r="P76" i="13" s="1"/>
  <c r="CW75" i="13"/>
  <c r="CX75" i="13" s="1"/>
  <c r="DG75" i="13" s="1"/>
  <c r="CS75" i="13"/>
  <c r="CR75" i="13"/>
  <c r="CQ75" i="13"/>
  <c r="CT75" i="13" s="1"/>
  <c r="CU75" i="13" s="1"/>
  <c r="CK75" i="13"/>
  <c r="CL75" i="13" s="1"/>
  <c r="CM75" i="13" s="1"/>
  <c r="DE75" i="13" s="1"/>
  <c r="CJ75" i="13"/>
  <c r="CI75" i="13"/>
  <c r="BS75" i="13"/>
  <c r="BQ75" i="13"/>
  <c r="BP75" i="13"/>
  <c r="BO75" i="13"/>
  <c r="BR75" i="13" s="1"/>
  <c r="BT75" i="13" s="1"/>
  <c r="DD75" i="13" s="1"/>
  <c r="BG75" i="13"/>
  <c r="BF75" i="13"/>
  <c r="BE75" i="13"/>
  <c r="BI75" i="13" s="1"/>
  <c r="BD75" i="13"/>
  <c r="BH75" i="13" s="1"/>
  <c r="BJ75" i="13" s="1"/>
  <c r="BK75" i="13" s="1"/>
  <c r="AW75" i="13"/>
  <c r="AV75" i="13"/>
  <c r="AU75" i="13"/>
  <c r="AP75" i="13"/>
  <c r="DA75" i="13" s="1"/>
  <c r="AN75" i="13"/>
  <c r="AM75" i="13"/>
  <c r="AL75" i="13"/>
  <c r="AK75" i="13"/>
  <c r="AJ75" i="13"/>
  <c r="AO75" i="13" s="1"/>
  <c r="AB75" i="13"/>
  <c r="AA75" i="13"/>
  <c r="V75" i="13"/>
  <c r="W75" i="13" s="1"/>
  <c r="U75" i="13"/>
  <c r="T75" i="13"/>
  <c r="O75" i="13"/>
  <c r="P75" i="13" s="1"/>
  <c r="N75" i="13"/>
  <c r="M75" i="13"/>
  <c r="CX74" i="13"/>
  <c r="DG74" i="13" s="1"/>
  <c r="CW74" i="13"/>
  <c r="CT74" i="13"/>
  <c r="CU74" i="13" s="1"/>
  <c r="CS74" i="13"/>
  <c r="CR74" i="13"/>
  <c r="CQ74" i="13"/>
  <c r="CJ74" i="13"/>
  <c r="CI74" i="13"/>
  <c r="CK74" i="13" s="1"/>
  <c r="CL74" i="13" s="1"/>
  <c r="CM74" i="13" s="1"/>
  <c r="DE74" i="13" s="1"/>
  <c r="BQ74" i="13"/>
  <c r="BP74" i="13"/>
  <c r="BS74" i="13" s="1"/>
  <c r="BO74" i="13"/>
  <c r="BR74" i="13" s="1"/>
  <c r="BH74" i="13"/>
  <c r="BG74" i="13"/>
  <c r="BF74" i="13"/>
  <c r="BE74" i="13"/>
  <c r="BD74" i="13"/>
  <c r="AX74" i="13"/>
  <c r="AW74" i="13"/>
  <c r="AV74" i="13"/>
  <c r="AU74" i="13"/>
  <c r="AY74" i="13" s="1"/>
  <c r="DB74" i="13" s="1"/>
  <c r="AN74" i="13"/>
  <c r="AM74" i="13"/>
  <c r="AL74" i="13"/>
  <c r="AK74" i="13"/>
  <c r="AJ74" i="13"/>
  <c r="AC74" i="13"/>
  <c r="AB74" i="13"/>
  <c r="AA74" i="13"/>
  <c r="V74" i="13"/>
  <c r="U74" i="13"/>
  <c r="T74" i="13"/>
  <c r="W74" i="13" s="1"/>
  <c r="X74" i="13" s="1"/>
  <c r="CY74" i="13" s="1"/>
  <c r="O74" i="13"/>
  <c r="N74" i="13"/>
  <c r="M74" i="13"/>
  <c r="P74" i="13" s="1"/>
  <c r="CW73" i="13"/>
  <c r="CX73" i="13" s="1"/>
  <c r="DG73" i="13" s="1"/>
  <c r="CT73" i="13"/>
  <c r="CU73" i="13" s="1"/>
  <c r="CS73" i="13"/>
  <c r="CR73" i="13"/>
  <c r="CQ73" i="13"/>
  <c r="CK73" i="13"/>
  <c r="CL73" i="13" s="1"/>
  <c r="CM73" i="13" s="1"/>
  <c r="DE73" i="13" s="1"/>
  <c r="CJ73" i="13"/>
  <c r="CI73" i="13"/>
  <c r="BS73" i="13"/>
  <c r="BQ73" i="13"/>
  <c r="BP73" i="13"/>
  <c r="BO73" i="13"/>
  <c r="BR73" i="13" s="1"/>
  <c r="BI73" i="13"/>
  <c r="BH73" i="13"/>
  <c r="BG73" i="13"/>
  <c r="BF73" i="13"/>
  <c r="BE73" i="13"/>
  <c r="BD73" i="13"/>
  <c r="AY73" i="13"/>
  <c r="DB73" i="13" s="1"/>
  <c r="AX73" i="13"/>
  <c r="AW73" i="13"/>
  <c r="AV73" i="13"/>
  <c r="AU73" i="13"/>
  <c r="AP73" i="13"/>
  <c r="AO73" i="13"/>
  <c r="AN73" i="13"/>
  <c r="AM73" i="13"/>
  <c r="AL73" i="13"/>
  <c r="AK73" i="13"/>
  <c r="AJ73" i="13"/>
  <c r="AB73" i="13"/>
  <c r="AA73" i="13"/>
  <c r="W73" i="13"/>
  <c r="V73" i="13"/>
  <c r="U73" i="13"/>
  <c r="T73" i="13"/>
  <c r="O73" i="13"/>
  <c r="N73" i="13"/>
  <c r="M73" i="13"/>
  <c r="P73" i="13" s="1"/>
  <c r="DG72" i="13"/>
  <c r="CX72" i="13"/>
  <c r="CW72" i="13"/>
  <c r="CT72" i="13"/>
  <c r="CU72" i="13" s="1"/>
  <c r="CS72" i="13"/>
  <c r="CR72" i="13"/>
  <c r="CQ72" i="13"/>
  <c r="CM72" i="13"/>
  <c r="DE72" i="13" s="1"/>
  <c r="CK72" i="13"/>
  <c r="CL72" i="13" s="1"/>
  <c r="CJ72" i="13"/>
  <c r="CI72" i="13"/>
  <c r="BS72" i="13"/>
  <c r="BR72" i="13"/>
  <c r="BT72" i="13" s="1"/>
  <c r="DD72" i="13" s="1"/>
  <c r="BQ72" i="13"/>
  <c r="BP72" i="13"/>
  <c r="BO72" i="13"/>
  <c r="BJ72" i="13"/>
  <c r="BK72" i="13" s="1"/>
  <c r="BI72" i="13"/>
  <c r="BG72" i="13"/>
  <c r="BF72" i="13"/>
  <c r="BE72" i="13"/>
  <c r="BD72" i="13"/>
  <c r="BH72" i="13" s="1"/>
  <c r="AW72" i="13"/>
  <c r="AV72" i="13"/>
  <c r="AU72" i="13"/>
  <c r="AY72" i="13" s="1"/>
  <c r="DB72" i="13" s="1"/>
  <c r="AN72" i="13"/>
  <c r="AM72" i="13"/>
  <c r="AL72" i="13"/>
  <c r="AK72" i="13"/>
  <c r="AJ72" i="13"/>
  <c r="AB72" i="13"/>
  <c r="AA72" i="13"/>
  <c r="AC72" i="13" s="1"/>
  <c r="V72" i="13"/>
  <c r="U72" i="13"/>
  <c r="T72" i="13"/>
  <c r="W72" i="13" s="1"/>
  <c r="X72" i="13" s="1"/>
  <c r="CY72" i="13" s="1"/>
  <c r="O72" i="13"/>
  <c r="N72" i="13"/>
  <c r="M72" i="13"/>
  <c r="P72" i="13" s="1"/>
  <c r="CW71" i="13"/>
  <c r="CX71" i="13" s="1"/>
  <c r="DG71" i="13" s="1"/>
  <c r="CS71" i="13"/>
  <c r="CR71" i="13"/>
  <c r="CQ71" i="13"/>
  <c r="CK71" i="13"/>
  <c r="CL71" i="13" s="1"/>
  <c r="CM71" i="13" s="1"/>
  <c r="DE71" i="13" s="1"/>
  <c r="CJ71" i="13"/>
  <c r="CI71" i="13"/>
  <c r="BS71" i="13"/>
  <c r="BQ71" i="13"/>
  <c r="BP71" i="13"/>
  <c r="BO71" i="13"/>
  <c r="BR71" i="13" s="1"/>
  <c r="BT71" i="13" s="1"/>
  <c r="DD71" i="13" s="1"/>
  <c r="BG71" i="13"/>
  <c r="BF71" i="13"/>
  <c r="BE71" i="13"/>
  <c r="BI71" i="13" s="1"/>
  <c r="BD71" i="13"/>
  <c r="BH71" i="13" s="1"/>
  <c r="BJ71" i="13" s="1"/>
  <c r="BK71" i="13" s="1"/>
  <c r="AW71" i="13"/>
  <c r="AV71" i="13"/>
  <c r="AU71" i="13"/>
  <c r="AO71" i="13"/>
  <c r="AN71" i="13"/>
  <c r="AM71" i="13"/>
  <c r="AL71" i="13"/>
  <c r="AK71" i="13"/>
  <c r="AJ71" i="13"/>
  <c r="AB71" i="13"/>
  <c r="AD71" i="13" s="1"/>
  <c r="CZ71" i="13" s="1"/>
  <c r="AA71" i="13"/>
  <c r="V71" i="13"/>
  <c r="U71" i="13"/>
  <c r="T71" i="13"/>
  <c r="W71" i="13" s="1"/>
  <c r="O71" i="13"/>
  <c r="P71" i="13" s="1"/>
  <c r="N71" i="13"/>
  <c r="M71" i="13"/>
  <c r="CY70" i="13"/>
  <c r="CW70" i="13"/>
  <c r="CX70" i="13" s="1"/>
  <c r="DG70" i="13" s="1"/>
  <c r="CU70" i="13"/>
  <c r="CT70" i="13"/>
  <c r="CS70" i="13"/>
  <c r="CR70" i="13"/>
  <c r="CQ70" i="13"/>
  <c r="CJ70" i="13"/>
  <c r="CI70" i="13"/>
  <c r="CK70" i="13" s="1"/>
  <c r="CL70" i="13" s="1"/>
  <c r="CM70" i="13" s="1"/>
  <c r="DE70" i="13" s="1"/>
  <c r="BR70" i="13"/>
  <c r="BQ70" i="13"/>
  <c r="BP70" i="13"/>
  <c r="BO70" i="13"/>
  <c r="BJ70" i="13"/>
  <c r="BK70" i="13" s="1"/>
  <c r="DF70" i="13" s="1"/>
  <c r="BH70" i="13"/>
  <c r="BG70" i="13"/>
  <c r="BF70" i="13"/>
  <c r="BI70" i="13" s="1"/>
  <c r="BE70" i="13"/>
  <c r="BD70" i="13"/>
  <c r="AY70" i="13"/>
  <c r="DB70" i="13" s="1"/>
  <c r="AX70" i="13"/>
  <c r="AW70" i="13"/>
  <c r="AV70" i="13"/>
  <c r="AU70" i="13"/>
  <c r="AP70" i="13"/>
  <c r="AN70" i="13"/>
  <c r="AM70" i="13"/>
  <c r="AL70" i="13"/>
  <c r="AK70" i="13"/>
  <c r="AJ70" i="13"/>
  <c r="AO70" i="13" s="1"/>
  <c r="AD70" i="13"/>
  <c r="CZ70" i="13" s="1"/>
  <c r="AC70" i="13"/>
  <c r="AB70" i="13"/>
  <c r="AA70" i="13"/>
  <c r="X70" i="13"/>
  <c r="V70" i="13"/>
  <c r="U70" i="13"/>
  <c r="T70" i="13"/>
  <c r="W70" i="13" s="1"/>
  <c r="O70" i="13"/>
  <c r="N70" i="13"/>
  <c r="M70" i="13"/>
  <c r="P70" i="13" s="1"/>
  <c r="DA69" i="13"/>
  <c r="CW69" i="13"/>
  <c r="CX69" i="13" s="1"/>
  <c r="DG69" i="13" s="1"/>
  <c r="CS69" i="13"/>
  <c r="CR69" i="13"/>
  <c r="CQ69" i="13"/>
  <c r="CK69" i="13"/>
  <c r="CL69" i="13" s="1"/>
  <c r="CM69" i="13" s="1"/>
  <c r="DE69" i="13" s="1"/>
  <c r="CJ69" i="13"/>
  <c r="CI69" i="13"/>
  <c r="BS69" i="13"/>
  <c r="BQ69" i="13"/>
  <c r="BP69" i="13"/>
  <c r="BO69" i="13"/>
  <c r="BR69" i="13" s="1"/>
  <c r="BT69" i="13" s="1"/>
  <c r="DD69" i="13" s="1"/>
  <c r="BH69" i="13"/>
  <c r="BG69" i="13"/>
  <c r="BF69" i="13"/>
  <c r="BE69" i="13"/>
  <c r="BI69" i="13" s="1"/>
  <c r="BJ69" i="13" s="1"/>
  <c r="BK69" i="13" s="1"/>
  <c r="BD69" i="13"/>
  <c r="AW69" i="13"/>
  <c r="AV69" i="13"/>
  <c r="AY69" i="13" s="1"/>
  <c r="DB69" i="13" s="1"/>
  <c r="AU69" i="13"/>
  <c r="AX69" i="13" s="1"/>
  <c r="AO69" i="13"/>
  <c r="AN69" i="13"/>
  <c r="AM69" i="13"/>
  <c r="AL69" i="13"/>
  <c r="AK69" i="13"/>
  <c r="AP69" i="13" s="1"/>
  <c r="AJ69" i="13"/>
  <c r="AB69" i="13"/>
  <c r="AA69" i="13"/>
  <c r="V69" i="13"/>
  <c r="W69" i="13" s="1"/>
  <c r="X69" i="13" s="1"/>
  <c r="CY69" i="13" s="1"/>
  <c r="U69" i="13"/>
  <c r="T69" i="13"/>
  <c r="P69" i="13"/>
  <c r="O69" i="13"/>
  <c r="N69" i="13"/>
  <c r="M69" i="13"/>
  <c r="CW68" i="13"/>
  <c r="CX68" i="13" s="1"/>
  <c r="DG68" i="13" s="1"/>
  <c r="CS68" i="13"/>
  <c r="CR68" i="13"/>
  <c r="CQ68" i="13"/>
  <c r="CT68" i="13" s="1"/>
  <c r="CU68" i="13" s="1"/>
  <c r="CJ68" i="13"/>
  <c r="CI68" i="13"/>
  <c r="BQ68" i="13"/>
  <c r="BP68" i="13"/>
  <c r="BO68" i="13"/>
  <c r="BR68" i="13" s="1"/>
  <c r="BG68" i="13"/>
  <c r="BF68" i="13"/>
  <c r="BI68" i="13" s="1"/>
  <c r="BJ68" i="13" s="1"/>
  <c r="BK68" i="13" s="1"/>
  <c r="BE68" i="13"/>
  <c r="BD68" i="13"/>
  <c r="BH68" i="13" s="1"/>
  <c r="AW68" i="13"/>
  <c r="AV68" i="13"/>
  <c r="AU68" i="13"/>
  <c r="AN68" i="13"/>
  <c r="AM68" i="13"/>
  <c r="AL68" i="13"/>
  <c r="AK68" i="13"/>
  <c r="AJ68" i="13"/>
  <c r="AD68" i="13"/>
  <c r="CZ68" i="13" s="1"/>
  <c r="AC68" i="13"/>
  <c r="AB68" i="13"/>
  <c r="AA68" i="13"/>
  <c r="V68" i="13"/>
  <c r="U68" i="13"/>
  <c r="T68" i="13"/>
  <c r="O68" i="13"/>
  <c r="N68" i="13"/>
  <c r="M68" i="13"/>
  <c r="P68" i="13" s="1"/>
  <c r="DG67" i="13"/>
  <c r="CW67" i="13"/>
  <c r="CX67" i="13" s="1"/>
  <c r="CS67" i="13"/>
  <c r="CR67" i="13"/>
  <c r="CT67" i="13" s="1"/>
  <c r="CU67" i="13" s="1"/>
  <c r="CQ67" i="13"/>
  <c r="CK67" i="13"/>
  <c r="CL67" i="13" s="1"/>
  <c r="CM67" i="13" s="1"/>
  <c r="DE67" i="13" s="1"/>
  <c r="CJ67" i="13"/>
  <c r="CI67" i="13"/>
  <c r="BR67" i="13"/>
  <c r="BT67" i="13" s="1"/>
  <c r="DD67" i="13" s="1"/>
  <c r="BQ67" i="13"/>
  <c r="BP67" i="13"/>
  <c r="BS67" i="13" s="1"/>
  <c r="BO67" i="13"/>
  <c r="BI67" i="13"/>
  <c r="BG67" i="13"/>
  <c r="BF67" i="13"/>
  <c r="BE67" i="13"/>
  <c r="BD67" i="13"/>
  <c r="BH67" i="13" s="1"/>
  <c r="BJ67" i="13" s="1"/>
  <c r="BK67" i="13" s="1"/>
  <c r="AW67" i="13"/>
  <c r="AV67" i="13"/>
  <c r="AU67" i="13"/>
  <c r="AP67" i="13"/>
  <c r="DA67" i="13" s="1"/>
  <c r="AN67" i="13"/>
  <c r="AM67" i="13"/>
  <c r="AL67" i="13"/>
  <c r="AK67" i="13"/>
  <c r="AJ67" i="13"/>
  <c r="AO67" i="13" s="1"/>
  <c r="AB67" i="13"/>
  <c r="AA67" i="13"/>
  <c r="W67" i="13"/>
  <c r="V67" i="13"/>
  <c r="U67" i="13"/>
  <c r="T67" i="13"/>
  <c r="O67" i="13"/>
  <c r="N67" i="13"/>
  <c r="M67" i="13"/>
  <c r="CX66" i="13"/>
  <c r="DG66" i="13" s="1"/>
  <c r="CW66" i="13"/>
  <c r="CT66" i="13"/>
  <c r="CU66" i="13" s="1"/>
  <c r="CS66" i="13"/>
  <c r="CR66" i="13"/>
  <c r="CQ66" i="13"/>
  <c r="CL66" i="13"/>
  <c r="CM66" i="13" s="1"/>
  <c r="DE66" i="13" s="1"/>
  <c r="CJ66" i="13"/>
  <c r="CI66" i="13"/>
  <c r="CK66" i="13" s="1"/>
  <c r="BR66" i="13"/>
  <c r="BQ66" i="13"/>
  <c r="BS66" i="13" s="1"/>
  <c r="BT66" i="13" s="1"/>
  <c r="DD66" i="13" s="1"/>
  <c r="BP66" i="13"/>
  <c r="BO66" i="13"/>
  <c r="BG66" i="13"/>
  <c r="BF66" i="13"/>
  <c r="BE66" i="13"/>
  <c r="BI66" i="13" s="1"/>
  <c r="BJ66" i="13" s="1"/>
  <c r="BK66" i="13" s="1"/>
  <c r="BD66" i="13"/>
  <c r="BH66" i="13" s="1"/>
  <c r="AW66" i="13"/>
  <c r="AV66" i="13"/>
  <c r="AU66" i="13"/>
  <c r="AY66" i="13" s="1"/>
  <c r="DB66" i="13" s="1"/>
  <c r="AP66" i="13"/>
  <c r="DA66" i="13" s="1"/>
  <c r="AN66" i="13"/>
  <c r="AM66" i="13"/>
  <c r="AL66" i="13"/>
  <c r="AK66" i="13"/>
  <c r="AJ66" i="13"/>
  <c r="AO66" i="13" s="1"/>
  <c r="AB66" i="13"/>
  <c r="AA66" i="13"/>
  <c r="AC66" i="13" s="1"/>
  <c r="X66" i="13"/>
  <c r="CY66" i="13" s="1"/>
  <c r="V66" i="13"/>
  <c r="U66" i="13"/>
  <c r="T66" i="13"/>
  <c r="W66" i="13" s="1"/>
  <c r="O66" i="13"/>
  <c r="N66" i="13"/>
  <c r="M66" i="13"/>
  <c r="P66" i="13" s="1"/>
  <c r="CW65" i="13"/>
  <c r="CX65" i="13" s="1"/>
  <c r="DG65" i="13" s="1"/>
  <c r="CS65" i="13"/>
  <c r="CR65" i="13"/>
  <c r="CQ65" i="13"/>
  <c r="CJ65" i="13"/>
  <c r="CI65" i="13"/>
  <c r="CK65" i="13" s="1"/>
  <c r="CL65" i="13" s="1"/>
  <c r="CM65" i="13" s="1"/>
  <c r="DE65" i="13" s="1"/>
  <c r="BS65" i="13"/>
  <c r="BT65" i="13" s="1"/>
  <c r="DD65" i="13" s="1"/>
  <c r="BQ65" i="13"/>
  <c r="BP65" i="13"/>
  <c r="BO65" i="13"/>
  <c r="BR65" i="13" s="1"/>
  <c r="BH65" i="13"/>
  <c r="BJ65" i="13" s="1"/>
  <c r="BK65" i="13" s="1"/>
  <c r="BG65" i="13"/>
  <c r="BF65" i="13"/>
  <c r="BE65" i="13"/>
  <c r="BI65" i="13" s="1"/>
  <c r="BD65" i="13"/>
  <c r="AW65" i="13"/>
  <c r="AV65" i="13"/>
  <c r="AU65" i="13"/>
  <c r="AN65" i="13"/>
  <c r="AM65" i="13"/>
  <c r="AL65" i="13"/>
  <c r="AK65" i="13"/>
  <c r="AO65" i="13" s="1"/>
  <c r="AJ65" i="13"/>
  <c r="AB65" i="13"/>
  <c r="AA65" i="13"/>
  <c r="AD65" i="13" s="1"/>
  <c r="CZ65" i="13" s="1"/>
  <c r="V65" i="13"/>
  <c r="U65" i="13"/>
  <c r="T65" i="13"/>
  <c r="O65" i="13"/>
  <c r="P65" i="13" s="1"/>
  <c r="N65" i="13"/>
  <c r="M65" i="13"/>
  <c r="DG64" i="13"/>
  <c r="CZ64" i="13"/>
  <c r="CW64" i="13"/>
  <c r="CX64" i="13" s="1"/>
  <c r="CT64" i="13"/>
  <c r="CU64" i="13" s="1"/>
  <c r="CS64" i="13"/>
  <c r="CR64" i="13"/>
  <c r="CQ64" i="13"/>
  <c r="CJ64" i="13"/>
  <c r="CI64" i="13"/>
  <c r="CK64" i="13" s="1"/>
  <c r="CL64" i="13" s="1"/>
  <c r="CM64" i="13" s="1"/>
  <c r="DE64" i="13" s="1"/>
  <c r="BR64" i="13"/>
  <c r="BT64" i="13" s="1"/>
  <c r="DD64" i="13" s="1"/>
  <c r="BQ64" i="13"/>
  <c r="BS64" i="13" s="1"/>
  <c r="BP64" i="13"/>
  <c r="BO64" i="13"/>
  <c r="BH64" i="13"/>
  <c r="BG64" i="13"/>
  <c r="BF64" i="13"/>
  <c r="BI64" i="13" s="1"/>
  <c r="BE64" i="13"/>
  <c r="BD64" i="13"/>
  <c r="AW64" i="13"/>
  <c r="AY64" i="13" s="1"/>
  <c r="DB64" i="13" s="1"/>
  <c r="AV64" i="13"/>
  <c r="AU64" i="13"/>
  <c r="AN64" i="13"/>
  <c r="AM64" i="13"/>
  <c r="AL64" i="13"/>
  <c r="AK64" i="13"/>
  <c r="AJ64" i="13"/>
  <c r="AD64" i="13"/>
  <c r="AB64" i="13"/>
  <c r="AC64" i="13" s="1"/>
  <c r="AA64" i="13"/>
  <c r="V64" i="13"/>
  <c r="U64" i="13"/>
  <c r="W64" i="13" s="1"/>
  <c r="X64" i="13" s="1"/>
  <c r="CY64" i="13" s="1"/>
  <c r="T64" i="13"/>
  <c r="O64" i="13"/>
  <c r="N64" i="13"/>
  <c r="M64" i="13"/>
  <c r="P64" i="13" s="1"/>
  <c r="CW63" i="13"/>
  <c r="CX63" i="13" s="1"/>
  <c r="DG63" i="13" s="1"/>
  <c r="CS63" i="13"/>
  <c r="CR63" i="13"/>
  <c r="CQ63" i="13"/>
  <c r="CT63" i="13" s="1"/>
  <c r="CU63" i="13" s="1"/>
  <c r="CK63" i="13"/>
  <c r="CL63" i="13" s="1"/>
  <c r="CM63" i="13" s="1"/>
  <c r="DE63" i="13" s="1"/>
  <c r="CJ63" i="13"/>
  <c r="CI63" i="13"/>
  <c r="BS63" i="13"/>
  <c r="BR63" i="13"/>
  <c r="BT63" i="13" s="1"/>
  <c r="DD63" i="13" s="1"/>
  <c r="BQ63" i="13"/>
  <c r="BP63" i="13"/>
  <c r="BO63" i="13"/>
  <c r="BH63" i="13"/>
  <c r="BJ63" i="13" s="1"/>
  <c r="BK63" i="13" s="1"/>
  <c r="BG63" i="13"/>
  <c r="BF63" i="13"/>
  <c r="BE63" i="13"/>
  <c r="BI63" i="13" s="1"/>
  <c r="BD63" i="13"/>
  <c r="AW63" i="13"/>
  <c r="AV63" i="13"/>
  <c r="AU63" i="13"/>
  <c r="AP63" i="13"/>
  <c r="AO63" i="13"/>
  <c r="AN63" i="13"/>
  <c r="AM63" i="13"/>
  <c r="AL63" i="13"/>
  <c r="AK63" i="13"/>
  <c r="AJ63" i="13"/>
  <c r="AB63" i="13"/>
  <c r="AA63" i="13"/>
  <c r="V63" i="13"/>
  <c r="W63" i="13" s="1"/>
  <c r="U63" i="13"/>
  <c r="T63" i="13"/>
  <c r="P63" i="13"/>
  <c r="O63" i="13"/>
  <c r="N63" i="13"/>
  <c r="M63" i="13"/>
  <c r="DD62" i="13"/>
  <c r="CX62" i="13"/>
  <c r="DG62" i="13" s="1"/>
  <c r="CW62" i="13"/>
  <c r="CT62" i="13"/>
  <c r="CU62" i="13" s="1"/>
  <c r="CS62" i="13"/>
  <c r="CR62" i="13"/>
  <c r="CQ62" i="13"/>
  <c r="CJ62" i="13"/>
  <c r="CI62" i="13"/>
  <c r="CK62" i="13" s="1"/>
  <c r="CL62" i="13" s="1"/>
  <c r="CM62" i="13" s="1"/>
  <c r="DE62" i="13" s="1"/>
  <c r="BQ62" i="13"/>
  <c r="BP62" i="13"/>
  <c r="BS62" i="13" s="1"/>
  <c r="BO62" i="13"/>
  <c r="BR62" i="13" s="1"/>
  <c r="BT62" i="13" s="1"/>
  <c r="BH62" i="13"/>
  <c r="BG62" i="13"/>
  <c r="BF62" i="13"/>
  <c r="BE62" i="13"/>
  <c r="BI62" i="13" s="1"/>
  <c r="BJ62" i="13" s="1"/>
  <c r="BK62" i="13" s="1"/>
  <c r="BD62" i="13"/>
  <c r="AX62" i="13"/>
  <c r="AW62" i="13"/>
  <c r="AV62" i="13"/>
  <c r="AU62" i="13"/>
  <c r="AY62" i="13" s="1"/>
  <c r="DB62" i="13" s="1"/>
  <c r="AN62" i="13"/>
  <c r="AM62" i="13"/>
  <c r="AL62" i="13"/>
  <c r="AK62" i="13"/>
  <c r="AP62" i="13" s="1"/>
  <c r="AJ62" i="13"/>
  <c r="AB62" i="13"/>
  <c r="AA62" i="13"/>
  <c r="V62" i="13"/>
  <c r="U62" i="13"/>
  <c r="T62" i="13"/>
  <c r="W62" i="13" s="1"/>
  <c r="O62" i="13"/>
  <c r="N62" i="13"/>
  <c r="M62" i="13"/>
  <c r="P62" i="13" s="1"/>
  <c r="X62" i="13" s="1"/>
  <c r="CY62" i="13" s="1"/>
  <c r="CW61" i="13"/>
  <c r="CX61" i="13" s="1"/>
  <c r="DG61" i="13" s="1"/>
  <c r="CS61" i="13"/>
  <c r="CT61" i="13" s="1"/>
  <c r="CU61" i="13" s="1"/>
  <c r="CR61" i="13"/>
  <c r="CQ61" i="13"/>
  <c r="CJ61" i="13"/>
  <c r="CK61" i="13" s="1"/>
  <c r="CL61" i="13" s="1"/>
  <c r="CM61" i="13" s="1"/>
  <c r="DE61" i="13" s="1"/>
  <c r="CI61" i="13"/>
  <c r="BS61" i="13"/>
  <c r="BQ61" i="13"/>
  <c r="BP61" i="13"/>
  <c r="BO61" i="13"/>
  <c r="BR61" i="13" s="1"/>
  <c r="BT61" i="13" s="1"/>
  <c r="DD61" i="13" s="1"/>
  <c r="BI61" i="13"/>
  <c r="BH61" i="13"/>
  <c r="BG61" i="13"/>
  <c r="BF61" i="13"/>
  <c r="BE61" i="13"/>
  <c r="BD61" i="13"/>
  <c r="AW61" i="13"/>
  <c r="AY61" i="13" s="1"/>
  <c r="DB61" i="13" s="1"/>
  <c r="AV61" i="13"/>
  <c r="AX61" i="13" s="1"/>
  <c r="AU61" i="13"/>
  <c r="AN61" i="13"/>
  <c r="AO61" i="13" s="1"/>
  <c r="AM61" i="13"/>
  <c r="AL61" i="13"/>
  <c r="AK61" i="13"/>
  <c r="AP61" i="13" s="1"/>
  <c r="AJ61" i="13"/>
  <c r="AB61" i="13"/>
  <c r="AA61" i="13"/>
  <c r="V61" i="13"/>
  <c r="W61" i="13" s="1"/>
  <c r="X61" i="13" s="1"/>
  <c r="CY61" i="13" s="1"/>
  <c r="U61" i="13"/>
  <c r="T61" i="13"/>
  <c r="O61" i="13"/>
  <c r="N61" i="13"/>
  <c r="M61" i="13"/>
  <c r="P61" i="13" s="1"/>
  <c r="DG60" i="13"/>
  <c r="CX60" i="13"/>
  <c r="CW60" i="13"/>
  <c r="CT60" i="13"/>
  <c r="CU60" i="13" s="1"/>
  <c r="CS60" i="13"/>
  <c r="CR60" i="13"/>
  <c r="CQ60" i="13"/>
  <c r="CK60" i="13"/>
  <c r="CL60" i="13" s="1"/>
  <c r="CM60" i="13" s="1"/>
  <c r="DE60" i="13" s="1"/>
  <c r="CJ60" i="13"/>
  <c r="CI60" i="13"/>
  <c r="BT60" i="13"/>
  <c r="DD60" i="13" s="1"/>
  <c r="BS60" i="13"/>
  <c r="BR60" i="13"/>
  <c r="BQ60" i="13"/>
  <c r="BP60" i="13"/>
  <c r="BO60" i="13"/>
  <c r="BG60" i="13"/>
  <c r="BF60" i="13"/>
  <c r="BI60" i="13" s="1"/>
  <c r="BE60" i="13"/>
  <c r="BD60" i="13"/>
  <c r="BH60" i="13" s="1"/>
  <c r="BJ60" i="13" s="1"/>
  <c r="BK60" i="13" s="1"/>
  <c r="AX60" i="13"/>
  <c r="AW60" i="13"/>
  <c r="AV60" i="13"/>
  <c r="AU60" i="13"/>
  <c r="AY60" i="13" s="1"/>
  <c r="DB60" i="13" s="1"/>
  <c r="AN60" i="13"/>
  <c r="AM60" i="13"/>
  <c r="AL60" i="13"/>
  <c r="AK60" i="13"/>
  <c r="AJ60" i="13"/>
  <c r="AD60" i="13"/>
  <c r="CZ60" i="13" s="1"/>
  <c r="AB60" i="13"/>
  <c r="AA60" i="13"/>
  <c r="AC60" i="13" s="1"/>
  <c r="V60" i="13"/>
  <c r="U60" i="13"/>
  <c r="T60" i="13"/>
  <c r="W60" i="13" s="1"/>
  <c r="X60" i="13" s="1"/>
  <c r="CY60" i="13" s="1"/>
  <c r="O60" i="13"/>
  <c r="N60" i="13"/>
  <c r="M60" i="13"/>
  <c r="P60" i="13" s="1"/>
  <c r="DE59" i="13"/>
  <c r="CW59" i="13"/>
  <c r="CX59" i="13" s="1"/>
  <c r="DG59" i="13" s="1"/>
  <c r="CS59" i="13"/>
  <c r="CR59" i="13"/>
  <c r="CQ59" i="13"/>
  <c r="CT59" i="13" s="1"/>
  <c r="CU59" i="13" s="1"/>
  <c r="CK59" i="13"/>
  <c r="CL59" i="13" s="1"/>
  <c r="CM59" i="13" s="1"/>
  <c r="CJ59" i="13"/>
  <c r="CI59" i="13"/>
  <c r="BQ59" i="13"/>
  <c r="BP59" i="13"/>
  <c r="BS59" i="13" s="1"/>
  <c r="BO59" i="13"/>
  <c r="BR59" i="13" s="1"/>
  <c r="BG59" i="13"/>
  <c r="BF59" i="13"/>
  <c r="BE59" i="13"/>
  <c r="BI59" i="13" s="1"/>
  <c r="BD59" i="13"/>
  <c r="BH59" i="13" s="1"/>
  <c r="AW59" i="13"/>
  <c r="AV59" i="13"/>
  <c r="AU59" i="13"/>
  <c r="AN59" i="13"/>
  <c r="AM59" i="13"/>
  <c r="AL59" i="13"/>
  <c r="AK59" i="13"/>
  <c r="AO59" i="13" s="1"/>
  <c r="AJ59" i="13"/>
  <c r="AC59" i="13"/>
  <c r="AB59" i="13"/>
  <c r="AD59" i="13" s="1"/>
  <c r="CZ59" i="13" s="1"/>
  <c r="AA59" i="13"/>
  <c r="V59" i="13"/>
  <c r="U59" i="13"/>
  <c r="T59" i="13"/>
  <c r="O59" i="13"/>
  <c r="P59" i="13" s="1"/>
  <c r="N59" i="13"/>
  <c r="M59" i="13"/>
  <c r="DG58" i="13"/>
  <c r="CW58" i="13"/>
  <c r="CX58" i="13" s="1"/>
  <c r="CT58" i="13"/>
  <c r="CU58" i="13" s="1"/>
  <c r="CS58" i="13"/>
  <c r="CR58" i="13"/>
  <c r="CQ58" i="13"/>
  <c r="CK58" i="13"/>
  <c r="CL58" i="13" s="1"/>
  <c r="CM58" i="13" s="1"/>
  <c r="DE58" i="13" s="1"/>
  <c r="CJ58" i="13"/>
  <c r="CI58" i="13"/>
  <c r="BR58" i="13"/>
  <c r="BQ58" i="13"/>
  <c r="BP58" i="13"/>
  <c r="BS58" i="13" s="1"/>
  <c r="BO58" i="13"/>
  <c r="BH58" i="13"/>
  <c r="BG58" i="13"/>
  <c r="BF58" i="13"/>
  <c r="BI58" i="13" s="1"/>
  <c r="BJ58" i="13" s="1"/>
  <c r="BK58" i="13" s="1"/>
  <c r="BE58" i="13"/>
  <c r="BD58" i="13"/>
  <c r="AY58" i="13"/>
  <c r="DB58" i="13" s="1"/>
  <c r="AX58" i="13"/>
  <c r="AW58" i="13"/>
  <c r="AV58" i="13"/>
  <c r="AU58" i="13"/>
  <c r="AN58" i="13"/>
  <c r="AM58" i="13"/>
  <c r="AL58" i="13"/>
  <c r="AK58" i="13"/>
  <c r="AJ58" i="13"/>
  <c r="AP58" i="13" s="1"/>
  <c r="AD58" i="13"/>
  <c r="CZ58" i="13" s="1"/>
  <c r="AC58" i="13"/>
  <c r="AB58" i="13"/>
  <c r="AA58" i="13"/>
  <c r="V58" i="13"/>
  <c r="U58" i="13"/>
  <c r="T58" i="13"/>
  <c r="W58" i="13" s="1"/>
  <c r="O58" i="13"/>
  <c r="N58" i="13"/>
  <c r="M58" i="13"/>
  <c r="CW57" i="13"/>
  <c r="CX57" i="13" s="1"/>
  <c r="DG57" i="13" s="1"/>
  <c r="CS57" i="13"/>
  <c r="CR57" i="13"/>
  <c r="CQ57" i="13"/>
  <c r="CT57" i="13" s="1"/>
  <c r="CU57" i="13" s="1"/>
  <c r="CK57" i="13"/>
  <c r="CL57" i="13" s="1"/>
  <c r="CM57" i="13" s="1"/>
  <c r="DE57" i="13" s="1"/>
  <c r="CJ57" i="13"/>
  <c r="CI57" i="13"/>
  <c r="BS57" i="13"/>
  <c r="BQ57" i="13"/>
  <c r="BP57" i="13"/>
  <c r="BO57" i="13"/>
  <c r="BR57" i="13" s="1"/>
  <c r="BT57" i="13" s="1"/>
  <c r="DD57" i="13" s="1"/>
  <c r="BI57" i="13"/>
  <c r="BH57" i="13"/>
  <c r="BJ57" i="13" s="1"/>
  <c r="BK57" i="13" s="1"/>
  <c r="BG57" i="13"/>
  <c r="BF57" i="13"/>
  <c r="BE57" i="13"/>
  <c r="BD57" i="13"/>
  <c r="AW57" i="13"/>
  <c r="AV57" i="13"/>
  <c r="AU57" i="13"/>
  <c r="AX57" i="13" s="1"/>
  <c r="AN57" i="13"/>
  <c r="AM57" i="13"/>
  <c r="AL57" i="13"/>
  <c r="AK57" i="13"/>
  <c r="AJ57" i="13"/>
  <c r="AB57" i="13"/>
  <c r="AA57" i="13"/>
  <c r="V57" i="13"/>
  <c r="W57" i="13" s="1"/>
  <c r="U57" i="13"/>
  <c r="T57" i="13"/>
  <c r="O57" i="13"/>
  <c r="N57" i="13"/>
  <c r="P57" i="13" s="1"/>
  <c r="M57" i="13"/>
  <c r="DG56" i="13"/>
  <c r="CW56" i="13"/>
  <c r="CX56" i="13" s="1"/>
  <c r="CS56" i="13"/>
  <c r="CR56" i="13"/>
  <c r="CQ56" i="13"/>
  <c r="CT56" i="13" s="1"/>
  <c r="CU56" i="13" s="1"/>
  <c r="CJ56" i="13"/>
  <c r="CI56" i="13"/>
  <c r="BQ56" i="13"/>
  <c r="BP56" i="13"/>
  <c r="BO56" i="13"/>
  <c r="BR56" i="13" s="1"/>
  <c r="BG56" i="13"/>
  <c r="BF56" i="13"/>
  <c r="BI56" i="13" s="1"/>
  <c r="BJ56" i="13" s="1"/>
  <c r="BK56" i="13" s="1"/>
  <c r="BE56" i="13"/>
  <c r="BD56" i="13"/>
  <c r="BH56" i="13" s="1"/>
  <c r="AW56" i="13"/>
  <c r="AV56" i="13"/>
  <c r="AU56" i="13"/>
  <c r="AN56" i="13"/>
  <c r="AM56" i="13"/>
  <c r="AL56" i="13"/>
  <c r="AK56" i="13"/>
  <c r="AP56" i="13" s="1"/>
  <c r="DA56" i="13" s="1"/>
  <c r="AJ56" i="13"/>
  <c r="AD56" i="13"/>
  <c r="CZ56" i="13" s="1"/>
  <c r="AC56" i="13"/>
  <c r="AB56" i="13"/>
  <c r="AA56" i="13"/>
  <c r="V56" i="13"/>
  <c r="U56" i="13"/>
  <c r="T56" i="13"/>
  <c r="W56" i="13" s="1"/>
  <c r="O56" i="13"/>
  <c r="N56" i="13"/>
  <c r="M56" i="13"/>
  <c r="DA55" i="13"/>
  <c r="CZ55" i="13"/>
  <c r="CW55" i="13"/>
  <c r="CX55" i="13" s="1"/>
  <c r="DG55" i="13" s="1"/>
  <c r="CS55" i="13"/>
  <c r="CR55" i="13"/>
  <c r="CT55" i="13" s="1"/>
  <c r="CU55" i="13" s="1"/>
  <c r="CQ55" i="13"/>
  <c r="CJ55" i="13"/>
  <c r="CI55" i="13"/>
  <c r="CK55" i="13" s="1"/>
  <c r="CL55" i="13" s="1"/>
  <c r="CM55" i="13" s="1"/>
  <c r="DE55" i="13" s="1"/>
  <c r="BR55" i="13"/>
  <c r="BQ55" i="13"/>
  <c r="BP55" i="13"/>
  <c r="BO55" i="13"/>
  <c r="BI55" i="13"/>
  <c r="BG55" i="13"/>
  <c r="BF55" i="13"/>
  <c r="BE55" i="13"/>
  <c r="BD55" i="13"/>
  <c r="BH55" i="13" s="1"/>
  <c r="BJ55" i="13" s="1"/>
  <c r="BK55" i="13" s="1"/>
  <c r="AW55" i="13"/>
  <c r="AV55" i="13"/>
  <c r="AX55" i="13" s="1"/>
  <c r="AU55" i="13"/>
  <c r="AP55" i="13"/>
  <c r="AO55" i="13"/>
  <c r="AN55" i="13"/>
  <c r="AM55" i="13"/>
  <c r="AL55" i="13"/>
  <c r="AK55" i="13"/>
  <c r="AJ55" i="13"/>
  <c r="AB55" i="13"/>
  <c r="AD55" i="13" s="1"/>
  <c r="AA55" i="13"/>
  <c r="W55" i="13"/>
  <c r="V55" i="13"/>
  <c r="U55" i="13"/>
  <c r="T55" i="13"/>
  <c r="O55" i="13"/>
  <c r="N55" i="13"/>
  <c r="M55" i="13"/>
  <c r="CW54" i="13"/>
  <c r="CX54" i="13" s="1"/>
  <c r="DG54" i="13" s="1"/>
  <c r="CU54" i="13"/>
  <c r="CT54" i="13"/>
  <c r="CS54" i="13"/>
  <c r="CR54" i="13"/>
  <c r="CQ54" i="13"/>
  <c r="CJ54" i="13"/>
  <c r="CI54" i="13"/>
  <c r="CK54" i="13" s="1"/>
  <c r="CL54" i="13" s="1"/>
  <c r="CD54" i="13"/>
  <c r="CC54" i="13"/>
  <c r="CE54" i="13" s="1"/>
  <c r="CF54" i="13" s="1"/>
  <c r="BX54" i="13"/>
  <c r="BW54" i="13"/>
  <c r="BS54" i="13"/>
  <c r="BQ54" i="13"/>
  <c r="BP54" i="13"/>
  <c r="BO54" i="13"/>
  <c r="BR54" i="13" s="1"/>
  <c r="BH54" i="13"/>
  <c r="BG54" i="13"/>
  <c r="BF54" i="13"/>
  <c r="BE54" i="13"/>
  <c r="BI54" i="13" s="1"/>
  <c r="BJ54" i="13" s="1"/>
  <c r="BK54" i="13" s="1"/>
  <c r="BD54" i="13"/>
  <c r="AX54" i="13"/>
  <c r="AW54" i="13"/>
  <c r="AV54" i="13"/>
  <c r="AU54" i="13"/>
  <c r="AY54" i="13" s="1"/>
  <c r="DB54" i="13" s="1"/>
  <c r="AN54" i="13"/>
  <c r="AM54" i="13"/>
  <c r="AL54" i="13"/>
  <c r="AK54" i="13"/>
  <c r="AJ54" i="13"/>
  <c r="AC54" i="13"/>
  <c r="AB54" i="13"/>
  <c r="AA54" i="13"/>
  <c r="V54" i="13"/>
  <c r="U54" i="13"/>
  <c r="T54" i="13"/>
  <c r="P54" i="13"/>
  <c r="O54" i="13"/>
  <c r="N54" i="13"/>
  <c r="M54" i="13"/>
  <c r="DE53" i="13"/>
  <c r="DA53" i="13"/>
  <c r="CW53" i="13"/>
  <c r="CX53" i="13" s="1"/>
  <c r="DG53" i="13" s="1"/>
  <c r="CT53" i="13"/>
  <c r="CU53" i="13" s="1"/>
  <c r="CS53" i="13"/>
  <c r="CR53" i="13"/>
  <c r="CQ53" i="13"/>
  <c r="CJ53" i="13"/>
  <c r="CK53" i="13" s="1"/>
  <c r="CL53" i="13" s="1"/>
  <c r="CM53" i="13" s="1"/>
  <c r="CI53" i="13"/>
  <c r="BR53" i="13"/>
  <c r="BQ53" i="13"/>
  <c r="BP53" i="13"/>
  <c r="BS53" i="13" s="1"/>
  <c r="BO53" i="13"/>
  <c r="BI53" i="13"/>
  <c r="BH53" i="13"/>
  <c r="BJ53" i="13" s="1"/>
  <c r="BK53" i="13" s="1"/>
  <c r="BG53" i="13"/>
  <c r="BF53" i="13"/>
  <c r="BE53" i="13"/>
  <c r="BD53" i="13"/>
  <c r="AY53" i="13"/>
  <c r="DB53" i="13" s="1"/>
  <c r="AX53" i="13"/>
  <c r="AW53" i="13"/>
  <c r="AV53" i="13"/>
  <c r="AU53" i="13"/>
  <c r="AN53" i="13"/>
  <c r="AM53" i="13"/>
  <c r="AL53" i="13"/>
  <c r="AK53" i="13"/>
  <c r="AJ53" i="13"/>
  <c r="AP53" i="13" s="1"/>
  <c r="AC53" i="13"/>
  <c r="AB53" i="13"/>
  <c r="AD53" i="13" s="1"/>
  <c r="CZ53" i="13" s="1"/>
  <c r="AA53" i="13"/>
  <c r="V53" i="13"/>
  <c r="U53" i="13"/>
  <c r="T53" i="13"/>
  <c r="W53" i="13" s="1"/>
  <c r="O53" i="13"/>
  <c r="N53" i="13"/>
  <c r="M53" i="13"/>
  <c r="CW52" i="13"/>
  <c r="CX52" i="13" s="1"/>
  <c r="DG52" i="13" s="1"/>
  <c r="CS52" i="13"/>
  <c r="CR52" i="13"/>
  <c r="CQ52" i="13"/>
  <c r="CT52" i="13" s="1"/>
  <c r="CU52" i="13" s="1"/>
  <c r="CM52" i="13"/>
  <c r="DE52" i="13" s="1"/>
  <c r="CK52" i="13"/>
  <c r="CL52" i="13" s="1"/>
  <c r="CJ52" i="13"/>
  <c r="CI52" i="13"/>
  <c r="BR52" i="13"/>
  <c r="BT52" i="13" s="1"/>
  <c r="DD52" i="13" s="1"/>
  <c r="BQ52" i="13"/>
  <c r="BS52" i="13" s="1"/>
  <c r="BP52" i="13"/>
  <c r="BO52" i="13"/>
  <c r="BG52" i="13"/>
  <c r="BF52" i="13"/>
  <c r="BI52" i="13" s="1"/>
  <c r="BJ52" i="13" s="1"/>
  <c r="BK52" i="13" s="1"/>
  <c r="BE52" i="13"/>
  <c r="BD52" i="13"/>
  <c r="BH52" i="13" s="1"/>
  <c r="AX52" i="13"/>
  <c r="AW52" i="13"/>
  <c r="AV52" i="13"/>
  <c r="AU52" i="13"/>
  <c r="AY52" i="13" s="1"/>
  <c r="DB52" i="13" s="1"/>
  <c r="AN52" i="13"/>
  <c r="AM52" i="13"/>
  <c r="AL52" i="13"/>
  <c r="AK52" i="13"/>
  <c r="AO52" i="13" s="1"/>
  <c r="AJ52" i="13"/>
  <c r="AB52" i="13"/>
  <c r="AA52" i="13"/>
  <c r="AC52" i="13" s="1"/>
  <c r="V52" i="13"/>
  <c r="U52" i="13"/>
  <c r="T52" i="13"/>
  <c r="W52" i="13" s="1"/>
  <c r="O52" i="13"/>
  <c r="P52" i="13" s="1"/>
  <c r="N52" i="13"/>
  <c r="M52" i="13"/>
  <c r="CW51" i="13"/>
  <c r="CX51" i="13" s="1"/>
  <c r="DG51" i="13" s="1"/>
  <c r="CS51" i="13"/>
  <c r="CR51" i="13"/>
  <c r="CQ51" i="13"/>
  <c r="CK51" i="13"/>
  <c r="CL51" i="13" s="1"/>
  <c r="CM51" i="13" s="1"/>
  <c r="DE51" i="13" s="1"/>
  <c r="CJ51" i="13"/>
  <c r="CI51" i="13"/>
  <c r="BS51" i="13"/>
  <c r="BT51" i="13" s="1"/>
  <c r="DD51" i="13" s="1"/>
  <c r="BQ51" i="13"/>
  <c r="BP51" i="13"/>
  <c r="BO51" i="13"/>
  <c r="BR51" i="13" s="1"/>
  <c r="BG51" i="13"/>
  <c r="BF51" i="13"/>
  <c r="BE51" i="13"/>
  <c r="BD51" i="13"/>
  <c r="BH51" i="13" s="1"/>
  <c r="AW51" i="13"/>
  <c r="AV51" i="13"/>
  <c r="AU51" i="13"/>
  <c r="AN51" i="13"/>
  <c r="AM51" i="13"/>
  <c r="AL51" i="13"/>
  <c r="AK51" i="13"/>
  <c r="AO51" i="13" s="1"/>
  <c r="AJ51" i="13"/>
  <c r="AP51" i="13" s="1"/>
  <c r="AC51" i="13"/>
  <c r="AB51" i="13"/>
  <c r="AD51" i="13" s="1"/>
  <c r="CZ51" i="13" s="1"/>
  <c r="AA51" i="13"/>
  <c r="V51" i="13"/>
  <c r="U51" i="13"/>
  <c r="T51" i="13"/>
  <c r="W51" i="13" s="1"/>
  <c r="X51" i="13" s="1"/>
  <c r="CY51" i="13" s="1"/>
  <c r="P51" i="13"/>
  <c r="O51" i="13"/>
  <c r="N51" i="13"/>
  <c r="M51" i="13"/>
  <c r="DG50" i="13"/>
  <c r="CW50" i="13"/>
  <c r="CX50" i="13" s="1"/>
  <c r="CS50" i="13"/>
  <c r="CR50" i="13"/>
  <c r="CT50" i="13" s="1"/>
  <c r="CU50" i="13" s="1"/>
  <c r="CQ50" i="13"/>
  <c r="CK50" i="13"/>
  <c r="CL50" i="13" s="1"/>
  <c r="CM50" i="13" s="1"/>
  <c r="DE50" i="13" s="1"/>
  <c r="CJ50" i="13"/>
  <c r="CI50" i="13"/>
  <c r="BR50" i="13"/>
  <c r="BQ50" i="13"/>
  <c r="BP50" i="13"/>
  <c r="BS50" i="13" s="1"/>
  <c r="BO50" i="13"/>
  <c r="BH50" i="13"/>
  <c r="BJ50" i="13" s="1"/>
  <c r="BK50" i="13" s="1"/>
  <c r="DC50" i="13" s="1"/>
  <c r="BG50" i="13"/>
  <c r="BF50" i="13"/>
  <c r="BI50" i="13" s="1"/>
  <c r="BE50" i="13"/>
  <c r="BD50" i="13"/>
  <c r="AX50" i="13"/>
  <c r="AW50" i="13"/>
  <c r="AV50" i="13"/>
  <c r="AY50" i="13" s="1"/>
  <c r="DB50" i="13" s="1"/>
  <c r="AU50" i="13"/>
  <c r="AN50" i="13"/>
  <c r="AO50" i="13" s="1"/>
  <c r="AM50" i="13"/>
  <c r="AP50" i="13" s="1"/>
  <c r="AL50" i="13"/>
  <c r="AK50" i="13"/>
  <c r="AJ50" i="13"/>
  <c r="AD50" i="13"/>
  <c r="CZ50" i="13" s="1"/>
  <c r="AC50" i="13"/>
  <c r="AB50" i="13"/>
  <c r="AA50" i="13"/>
  <c r="V50" i="13"/>
  <c r="U50" i="13"/>
  <c r="T50" i="13"/>
  <c r="W50" i="13" s="1"/>
  <c r="X50" i="13" s="1"/>
  <c r="CY50" i="13" s="1"/>
  <c r="P50" i="13"/>
  <c r="O50" i="13"/>
  <c r="N50" i="13"/>
  <c r="M50" i="13"/>
  <c r="CW49" i="13"/>
  <c r="CX49" i="13" s="1"/>
  <c r="DG49" i="13" s="1"/>
  <c r="CS49" i="13"/>
  <c r="CR49" i="13"/>
  <c r="CQ49" i="13"/>
  <c r="CJ49" i="13"/>
  <c r="CK49" i="13" s="1"/>
  <c r="CL49" i="13" s="1"/>
  <c r="CM49" i="13" s="1"/>
  <c r="DE49" i="13" s="1"/>
  <c r="CI49" i="13"/>
  <c r="BQ49" i="13"/>
  <c r="BS49" i="13" s="1"/>
  <c r="BP49" i="13"/>
  <c r="BO49" i="13"/>
  <c r="BR49" i="13" s="1"/>
  <c r="BT49" i="13" s="1"/>
  <c r="DD49" i="13" s="1"/>
  <c r="BG49" i="13"/>
  <c r="BF49" i="13"/>
  <c r="BE49" i="13"/>
  <c r="BI49" i="13" s="1"/>
  <c r="BD49" i="13"/>
  <c r="BH49" i="13" s="1"/>
  <c r="BJ49" i="13" s="1"/>
  <c r="BK49" i="13" s="1"/>
  <c r="AY49" i="13"/>
  <c r="DB49" i="13" s="1"/>
  <c r="AW49" i="13"/>
  <c r="AV49" i="13"/>
  <c r="AU49" i="13"/>
  <c r="AN49" i="13"/>
  <c r="AM49" i="13"/>
  <c r="AL49" i="13"/>
  <c r="AK49" i="13"/>
  <c r="AJ49" i="13"/>
  <c r="AB49" i="13"/>
  <c r="AA49" i="13"/>
  <c r="V49" i="13"/>
  <c r="W49" i="13" s="1"/>
  <c r="U49" i="13"/>
  <c r="T49" i="13"/>
  <c r="O49" i="13"/>
  <c r="N49" i="13"/>
  <c r="P49" i="13" s="1"/>
  <c r="X49" i="13" s="1"/>
  <c r="CY49" i="13" s="1"/>
  <c r="M49" i="13"/>
  <c r="DF48" i="13"/>
  <c r="CW48" i="13"/>
  <c r="CX48" i="13" s="1"/>
  <c r="DG48" i="13" s="1"/>
  <c r="CS48" i="13"/>
  <c r="CR48" i="13"/>
  <c r="CQ48" i="13"/>
  <c r="CT48" i="13" s="1"/>
  <c r="CU48" i="13" s="1"/>
  <c r="CJ48" i="13"/>
  <c r="CI48" i="13"/>
  <c r="BQ48" i="13"/>
  <c r="BP48" i="13"/>
  <c r="BO48" i="13"/>
  <c r="BR48" i="13" s="1"/>
  <c r="BH48" i="13"/>
  <c r="BJ48" i="13" s="1"/>
  <c r="BK48" i="13" s="1"/>
  <c r="DC48" i="13" s="1"/>
  <c r="BG48" i="13"/>
  <c r="BF48" i="13"/>
  <c r="BI48" i="13" s="1"/>
  <c r="BE48" i="13"/>
  <c r="BD48" i="13"/>
  <c r="AW48" i="13"/>
  <c r="AV48" i="13"/>
  <c r="AU48" i="13"/>
  <c r="AN48" i="13"/>
  <c r="AM48" i="13"/>
  <c r="AL48" i="13"/>
  <c r="AK48" i="13"/>
  <c r="AJ48" i="13"/>
  <c r="AD48" i="13"/>
  <c r="CZ48" i="13" s="1"/>
  <c r="AC48" i="13"/>
  <c r="AB48" i="13"/>
  <c r="AA48" i="13"/>
  <c r="V48" i="13"/>
  <c r="U48" i="13"/>
  <c r="T48" i="13"/>
  <c r="W48" i="13" s="1"/>
  <c r="X48" i="13" s="1"/>
  <c r="CY48" i="13" s="1"/>
  <c r="O48" i="13"/>
  <c r="N48" i="13"/>
  <c r="M48" i="13"/>
  <c r="P48" i="13" s="1"/>
  <c r="CW47" i="13"/>
  <c r="CX47" i="13" s="1"/>
  <c r="DG47" i="13" s="1"/>
  <c r="CS47" i="13"/>
  <c r="CR47" i="13"/>
  <c r="CQ47" i="13"/>
  <c r="CT47" i="13" s="1"/>
  <c r="CU47" i="13" s="1"/>
  <c r="CJ47" i="13"/>
  <c r="CI47" i="13"/>
  <c r="CK47" i="13" s="1"/>
  <c r="CL47" i="13" s="1"/>
  <c r="CM47" i="13" s="1"/>
  <c r="DE47" i="13" s="1"/>
  <c r="BR47" i="13"/>
  <c r="BT47" i="13" s="1"/>
  <c r="DD47" i="13" s="1"/>
  <c r="BQ47" i="13"/>
  <c r="BP47" i="13"/>
  <c r="BS47" i="13" s="1"/>
  <c r="BO47" i="13"/>
  <c r="BG47" i="13"/>
  <c r="BI47" i="13" s="1"/>
  <c r="BF47" i="13"/>
  <c r="BE47" i="13"/>
  <c r="BD47" i="13"/>
  <c r="BH47" i="13" s="1"/>
  <c r="AW47" i="13"/>
  <c r="AV47" i="13"/>
  <c r="AU47" i="13"/>
  <c r="AN47" i="13"/>
  <c r="AM47" i="13"/>
  <c r="AL47" i="13"/>
  <c r="AK47" i="13"/>
  <c r="AJ47" i="13"/>
  <c r="AC47" i="13"/>
  <c r="AB47" i="13"/>
  <c r="AD47" i="13" s="1"/>
  <c r="CZ47" i="13" s="1"/>
  <c r="AA47" i="13"/>
  <c r="V47" i="13"/>
  <c r="U47" i="13"/>
  <c r="W47" i="13" s="1"/>
  <c r="T47" i="13"/>
  <c r="O47" i="13"/>
  <c r="N47" i="13"/>
  <c r="M47" i="13"/>
  <c r="P47" i="13" s="1"/>
  <c r="CW46" i="13"/>
  <c r="CX46" i="13" s="1"/>
  <c r="DG46" i="13" s="1"/>
  <c r="CU46" i="13"/>
  <c r="CT46" i="13"/>
  <c r="CS46" i="13"/>
  <c r="CR46" i="13"/>
  <c r="CQ46" i="13"/>
  <c r="CJ46" i="13"/>
  <c r="CI46" i="13"/>
  <c r="CK46" i="13" s="1"/>
  <c r="CL46" i="13" s="1"/>
  <c r="CM46" i="13" s="1"/>
  <c r="DE46" i="13" s="1"/>
  <c r="BS46" i="13"/>
  <c r="BQ46" i="13"/>
  <c r="BP46" i="13"/>
  <c r="BO46" i="13"/>
  <c r="BR46" i="13" s="1"/>
  <c r="BT46" i="13" s="1"/>
  <c r="DD46" i="13" s="1"/>
  <c r="BJ46" i="13"/>
  <c r="BK46" i="13" s="1"/>
  <c r="BH46" i="13"/>
  <c r="BG46" i="13"/>
  <c r="BF46" i="13"/>
  <c r="BE46" i="13"/>
  <c r="BI46" i="13" s="1"/>
  <c r="BD46" i="13"/>
  <c r="AY46" i="13"/>
  <c r="DB46" i="13" s="1"/>
  <c r="AX46" i="13"/>
  <c r="AW46" i="13"/>
  <c r="AV46" i="13"/>
  <c r="AU46" i="13"/>
  <c r="AN46" i="13"/>
  <c r="AM46" i="13"/>
  <c r="AL46" i="13"/>
  <c r="AK46" i="13"/>
  <c r="AJ46" i="13"/>
  <c r="AO46" i="13" s="1"/>
  <c r="AC46" i="13"/>
  <c r="AB46" i="13"/>
  <c r="AD46" i="13" s="1"/>
  <c r="CZ46" i="13" s="1"/>
  <c r="AA46" i="13"/>
  <c r="V46" i="13"/>
  <c r="U46" i="13"/>
  <c r="T46" i="13"/>
  <c r="O46" i="13"/>
  <c r="P46" i="13" s="1"/>
  <c r="N46" i="13"/>
  <c r="M46" i="13"/>
  <c r="CW45" i="13"/>
  <c r="CX45" i="13" s="1"/>
  <c r="DG45" i="13" s="1"/>
  <c r="CS45" i="13"/>
  <c r="CR45" i="13"/>
  <c r="CT45" i="13" s="1"/>
  <c r="CU45" i="13" s="1"/>
  <c r="CQ45" i="13"/>
  <c r="CJ45" i="13"/>
  <c r="CI45" i="13"/>
  <c r="BQ45" i="13"/>
  <c r="BP45" i="13"/>
  <c r="BS45" i="13" s="1"/>
  <c r="BO45" i="13"/>
  <c r="BR45" i="13" s="1"/>
  <c r="BT45" i="13" s="1"/>
  <c r="DD45" i="13" s="1"/>
  <c r="BG45" i="13"/>
  <c r="BF45" i="13"/>
  <c r="BE45" i="13"/>
  <c r="BI45" i="13" s="1"/>
  <c r="BD45" i="13"/>
  <c r="BH45" i="13" s="1"/>
  <c r="AY45" i="13"/>
  <c r="DB45" i="13" s="1"/>
  <c r="AW45" i="13"/>
  <c r="AV45" i="13"/>
  <c r="AX45" i="13" s="1"/>
  <c r="AU45" i="13"/>
  <c r="AN45" i="13"/>
  <c r="AM45" i="13"/>
  <c r="AL45" i="13"/>
  <c r="AK45" i="13"/>
  <c r="AO45" i="13" s="1"/>
  <c r="AJ45" i="13"/>
  <c r="AP45" i="13" s="1"/>
  <c r="AC45" i="13"/>
  <c r="AB45" i="13"/>
  <c r="AA45" i="13"/>
  <c r="AD45" i="13" s="1"/>
  <c r="CZ45" i="13" s="1"/>
  <c r="V45" i="13"/>
  <c r="U45" i="13"/>
  <c r="T45" i="13"/>
  <c r="O45" i="13"/>
  <c r="P45" i="13" s="1"/>
  <c r="N45" i="13"/>
  <c r="M45" i="13"/>
  <c r="DG44" i="13"/>
  <c r="DB44" i="13"/>
  <c r="CW44" i="13"/>
  <c r="CX44" i="13" s="1"/>
  <c r="CT44" i="13"/>
  <c r="CU44" i="13" s="1"/>
  <c r="CS44" i="13"/>
  <c r="CR44" i="13"/>
  <c r="CQ44" i="13"/>
  <c r="CL44" i="13"/>
  <c r="CM44" i="13" s="1"/>
  <c r="DE44" i="13" s="1"/>
  <c r="CJ44" i="13"/>
  <c r="CI44" i="13"/>
  <c r="CK44" i="13" s="1"/>
  <c r="BR44" i="13"/>
  <c r="BQ44" i="13"/>
  <c r="BS44" i="13" s="1"/>
  <c r="BP44" i="13"/>
  <c r="BO44" i="13"/>
  <c r="BH44" i="13"/>
  <c r="BG44" i="13"/>
  <c r="BF44" i="13"/>
  <c r="BI44" i="13" s="1"/>
  <c r="BE44" i="13"/>
  <c r="BD44" i="13"/>
  <c r="AX44" i="13"/>
  <c r="AW44" i="13"/>
  <c r="AY44" i="13" s="1"/>
  <c r="AV44" i="13"/>
  <c r="AU44" i="13"/>
  <c r="AN44" i="13"/>
  <c r="AM44" i="13"/>
  <c r="AL44" i="13"/>
  <c r="AK44" i="13"/>
  <c r="AJ44" i="13"/>
  <c r="AB44" i="13"/>
  <c r="AA44" i="13"/>
  <c r="V44" i="13"/>
  <c r="U44" i="13"/>
  <c r="T44" i="13"/>
  <c r="W44" i="13" s="1"/>
  <c r="O44" i="13"/>
  <c r="N44" i="13"/>
  <c r="M44" i="13"/>
  <c r="CW43" i="13"/>
  <c r="CX43" i="13" s="1"/>
  <c r="DG43" i="13" s="1"/>
  <c r="CS43" i="13"/>
  <c r="CR43" i="13"/>
  <c r="CQ43" i="13"/>
  <c r="CT43" i="13" s="1"/>
  <c r="CU43" i="13" s="1"/>
  <c r="CK43" i="13"/>
  <c r="CL43" i="13" s="1"/>
  <c r="CM43" i="13" s="1"/>
  <c r="DE43" i="13" s="1"/>
  <c r="CJ43" i="13"/>
  <c r="CI43" i="13"/>
  <c r="BS43" i="13"/>
  <c r="BR43" i="13"/>
  <c r="BQ43" i="13"/>
  <c r="BP43" i="13"/>
  <c r="BO43" i="13"/>
  <c r="BG43" i="13"/>
  <c r="BF43" i="13"/>
  <c r="BE43" i="13"/>
  <c r="BI43" i="13" s="1"/>
  <c r="BD43" i="13"/>
  <c r="BH43" i="13" s="1"/>
  <c r="AX43" i="13"/>
  <c r="AW43" i="13"/>
  <c r="AV43" i="13"/>
  <c r="AU43" i="13"/>
  <c r="AY43" i="13" s="1"/>
  <c r="DB43" i="13" s="1"/>
  <c r="AN43" i="13"/>
  <c r="AM43" i="13"/>
  <c r="AL43" i="13"/>
  <c r="AK43" i="13"/>
  <c r="AJ43" i="13"/>
  <c r="AP43" i="13" s="1"/>
  <c r="AB43" i="13"/>
  <c r="AA43" i="13"/>
  <c r="V43" i="13"/>
  <c r="U43" i="13"/>
  <c r="W43" i="13" s="1"/>
  <c r="X43" i="13" s="1"/>
  <c r="CY43" i="13" s="1"/>
  <c r="T43" i="13"/>
  <c r="O43" i="13"/>
  <c r="N43" i="13"/>
  <c r="M43" i="13"/>
  <c r="P43" i="13" s="1"/>
  <c r="CZ42" i="13"/>
  <c r="CY42" i="13"/>
  <c r="CX42" i="13"/>
  <c r="DG42" i="13" s="1"/>
  <c r="CW42" i="13"/>
  <c r="CT42" i="13"/>
  <c r="CU42" i="13" s="1"/>
  <c r="CS42" i="13"/>
  <c r="CR42" i="13"/>
  <c r="CQ42" i="13"/>
  <c r="CK42" i="13"/>
  <c r="CL42" i="13" s="1"/>
  <c r="CM42" i="13" s="1"/>
  <c r="DE42" i="13" s="1"/>
  <c r="CJ42" i="13"/>
  <c r="CI42" i="13"/>
  <c r="BQ42" i="13"/>
  <c r="BP42" i="13"/>
  <c r="BS42" i="13" s="1"/>
  <c r="BO42" i="13"/>
  <c r="BR42" i="13" s="1"/>
  <c r="BH42" i="13"/>
  <c r="BG42" i="13"/>
  <c r="BF42" i="13"/>
  <c r="BE42" i="13"/>
  <c r="BD42" i="13"/>
  <c r="AW42" i="13"/>
  <c r="AV42" i="13"/>
  <c r="AU42" i="13"/>
  <c r="AN42" i="13"/>
  <c r="AM42" i="13"/>
  <c r="AL42" i="13"/>
  <c r="AK42" i="13"/>
  <c r="AJ42" i="13"/>
  <c r="AB42" i="13"/>
  <c r="AA42" i="13"/>
  <c r="AD42" i="13" s="1"/>
  <c r="V42" i="13"/>
  <c r="U42" i="13"/>
  <c r="T42" i="13"/>
  <c r="W42" i="13" s="1"/>
  <c r="X42" i="13" s="1"/>
  <c r="P42" i="13"/>
  <c r="O42" i="13"/>
  <c r="N42" i="13"/>
  <c r="M42" i="13"/>
  <c r="CW41" i="13"/>
  <c r="CX41" i="13" s="1"/>
  <c r="DG41" i="13" s="1"/>
  <c r="CT41" i="13"/>
  <c r="CU41" i="13" s="1"/>
  <c r="CS41" i="13"/>
  <c r="CR41" i="13"/>
  <c r="CQ41" i="13"/>
  <c r="CJ41" i="13"/>
  <c r="CK41" i="13" s="1"/>
  <c r="CL41" i="13" s="1"/>
  <c r="CM41" i="13" s="1"/>
  <c r="DE41" i="13" s="1"/>
  <c r="CI41" i="13"/>
  <c r="BR41" i="13"/>
  <c r="BQ41" i="13"/>
  <c r="BP41" i="13"/>
  <c r="BS41" i="13" s="1"/>
  <c r="BO41" i="13"/>
  <c r="BH41" i="13"/>
  <c r="BG41" i="13"/>
  <c r="BF41" i="13"/>
  <c r="BI41" i="13" s="1"/>
  <c r="BE41" i="13"/>
  <c r="BD41" i="13"/>
  <c r="AW41" i="13"/>
  <c r="AV41" i="13"/>
  <c r="AU41" i="13"/>
  <c r="AN41" i="13"/>
  <c r="AM41" i="13"/>
  <c r="AL41" i="13"/>
  <c r="AK41" i="13"/>
  <c r="AJ41" i="13"/>
  <c r="AD41" i="13"/>
  <c r="CZ41" i="13" s="1"/>
  <c r="AB41" i="13"/>
  <c r="AC41" i="13" s="1"/>
  <c r="AA41" i="13"/>
  <c r="V41" i="13"/>
  <c r="U41" i="13"/>
  <c r="T41" i="13"/>
  <c r="W41" i="13" s="1"/>
  <c r="O41" i="13"/>
  <c r="N41" i="13"/>
  <c r="M41" i="13"/>
  <c r="CW40" i="13"/>
  <c r="CX40" i="13" s="1"/>
  <c r="DG40" i="13" s="1"/>
  <c r="CS40" i="13"/>
  <c r="CR40" i="13"/>
  <c r="CQ40" i="13"/>
  <c r="CM40" i="13"/>
  <c r="DE40" i="13" s="1"/>
  <c r="CK40" i="13"/>
  <c r="CL40" i="13" s="1"/>
  <c r="CJ40" i="13"/>
  <c r="CI40" i="13"/>
  <c r="BS40" i="13"/>
  <c r="BT40" i="13" s="1"/>
  <c r="DD40" i="13" s="1"/>
  <c r="BR40" i="13"/>
  <c r="BQ40" i="13"/>
  <c r="BP40" i="13"/>
  <c r="BO40" i="13"/>
  <c r="BG40" i="13"/>
  <c r="BF40" i="13"/>
  <c r="BI40" i="13" s="1"/>
  <c r="BJ40" i="13" s="1"/>
  <c r="BK40" i="13" s="1"/>
  <c r="BE40" i="13"/>
  <c r="BD40" i="13"/>
  <c r="BH40" i="13" s="1"/>
  <c r="AX40" i="13"/>
  <c r="AW40" i="13"/>
  <c r="AV40" i="13"/>
  <c r="AU40" i="13"/>
  <c r="AY40" i="13" s="1"/>
  <c r="DB40" i="13" s="1"/>
  <c r="AN40" i="13"/>
  <c r="AM40" i="13"/>
  <c r="AL40" i="13"/>
  <c r="AK40" i="13"/>
  <c r="AJ40" i="13"/>
  <c r="AD40" i="13"/>
  <c r="CZ40" i="13" s="1"/>
  <c r="AB40" i="13"/>
  <c r="AA40" i="13"/>
  <c r="AC40" i="13" s="1"/>
  <c r="X40" i="13"/>
  <c r="CY40" i="13" s="1"/>
  <c r="V40" i="13"/>
  <c r="U40" i="13"/>
  <c r="T40" i="13"/>
  <c r="W40" i="13" s="1"/>
  <c r="O40" i="13"/>
  <c r="P40" i="13" s="1"/>
  <c r="N40" i="13"/>
  <c r="M40" i="13"/>
  <c r="CW39" i="13"/>
  <c r="CX39" i="13" s="1"/>
  <c r="DG39" i="13" s="1"/>
  <c r="CS39" i="13"/>
  <c r="CR39" i="13"/>
  <c r="CQ39" i="13"/>
  <c r="CT39" i="13" s="1"/>
  <c r="CU39" i="13" s="1"/>
  <c r="CJ39" i="13"/>
  <c r="CI39" i="13"/>
  <c r="CK39" i="13" s="1"/>
  <c r="CL39" i="13" s="1"/>
  <c r="CM39" i="13" s="1"/>
  <c r="DE39" i="13" s="1"/>
  <c r="BQ39" i="13"/>
  <c r="BP39" i="13"/>
  <c r="BS39" i="13" s="1"/>
  <c r="BT39" i="13" s="1"/>
  <c r="DD39" i="13" s="1"/>
  <c r="BO39" i="13"/>
  <c r="BR39" i="13" s="1"/>
  <c r="BG39" i="13"/>
  <c r="BF39" i="13"/>
  <c r="BE39" i="13"/>
  <c r="BD39" i="13"/>
  <c r="BH39" i="13" s="1"/>
  <c r="AW39" i="13"/>
  <c r="AV39" i="13"/>
  <c r="AU39" i="13"/>
  <c r="AN39" i="13"/>
  <c r="AM39" i="13"/>
  <c r="AL39" i="13"/>
  <c r="AK39" i="13"/>
  <c r="AJ39" i="13"/>
  <c r="AP39" i="13" s="1"/>
  <c r="AB39" i="13"/>
  <c r="AD39" i="13" s="1"/>
  <c r="CZ39" i="13" s="1"/>
  <c r="AA39" i="13"/>
  <c r="V39" i="13"/>
  <c r="U39" i="13"/>
  <c r="T39" i="13"/>
  <c r="W39" i="13" s="1"/>
  <c r="P39" i="13"/>
  <c r="X39" i="13" s="1"/>
  <c r="CY39" i="13" s="1"/>
  <c r="O39" i="13"/>
  <c r="N39" i="13"/>
  <c r="M39" i="13"/>
  <c r="CZ38" i="13"/>
  <c r="CX38" i="13"/>
  <c r="DG38" i="13" s="1"/>
  <c r="CW38" i="13"/>
  <c r="CS38" i="13"/>
  <c r="CR38" i="13"/>
  <c r="CT38" i="13" s="1"/>
  <c r="CU38" i="13" s="1"/>
  <c r="CQ38" i="13"/>
  <c r="CK38" i="13"/>
  <c r="CL38" i="13" s="1"/>
  <c r="CM38" i="13" s="1"/>
  <c r="DE38" i="13" s="1"/>
  <c r="CJ38" i="13"/>
  <c r="CI38" i="13"/>
  <c r="BR38" i="13"/>
  <c r="BQ38" i="13"/>
  <c r="BP38" i="13"/>
  <c r="BS38" i="13" s="1"/>
  <c r="BO38" i="13"/>
  <c r="BG38" i="13"/>
  <c r="BI38" i="13" s="1"/>
  <c r="BF38" i="13"/>
  <c r="BE38" i="13"/>
  <c r="BD38" i="13"/>
  <c r="BH38" i="13" s="1"/>
  <c r="BJ38" i="13" s="1"/>
  <c r="BK38" i="13" s="1"/>
  <c r="AW38" i="13"/>
  <c r="AV38" i="13"/>
  <c r="AY38" i="13" s="1"/>
  <c r="DB38" i="13" s="1"/>
  <c r="AU38" i="13"/>
  <c r="AP38" i="13"/>
  <c r="AN38" i="13"/>
  <c r="AM38" i="13"/>
  <c r="AO38" i="13" s="1"/>
  <c r="AL38" i="13"/>
  <c r="AK38" i="13"/>
  <c r="AJ38" i="13"/>
  <c r="AD38" i="13"/>
  <c r="AC38" i="13"/>
  <c r="AB38" i="13"/>
  <c r="AA38" i="13"/>
  <c r="V38" i="13"/>
  <c r="U38" i="13"/>
  <c r="T38" i="13"/>
  <c r="W38" i="13" s="1"/>
  <c r="X38" i="13" s="1"/>
  <c r="CY38" i="13" s="1"/>
  <c r="O38" i="13"/>
  <c r="N38" i="13"/>
  <c r="M38" i="13"/>
  <c r="P38" i="13" s="1"/>
  <c r="CW37" i="13"/>
  <c r="CX37" i="13" s="1"/>
  <c r="DG37" i="13" s="1"/>
  <c r="CS37" i="13"/>
  <c r="CR37" i="13"/>
  <c r="CQ37" i="13"/>
  <c r="CK37" i="13"/>
  <c r="CL37" i="13" s="1"/>
  <c r="CM37" i="13" s="1"/>
  <c r="DE37" i="13" s="1"/>
  <c r="CJ37" i="13"/>
  <c r="CI37" i="13"/>
  <c r="BS37" i="13"/>
  <c r="BQ37" i="13"/>
  <c r="BP37" i="13"/>
  <c r="BO37" i="13"/>
  <c r="BR37" i="13" s="1"/>
  <c r="BT37" i="13" s="1"/>
  <c r="DD37" i="13" s="1"/>
  <c r="BI37" i="13"/>
  <c r="BG37" i="13"/>
  <c r="BF37" i="13"/>
  <c r="BE37" i="13"/>
  <c r="BD37" i="13"/>
  <c r="BH37" i="13" s="1"/>
  <c r="BJ37" i="13" s="1"/>
  <c r="BK37" i="13" s="1"/>
  <c r="DF37" i="13" s="1"/>
  <c r="AW37" i="13"/>
  <c r="AV37" i="13"/>
  <c r="AY37" i="13" s="1"/>
  <c r="DB37" i="13" s="1"/>
  <c r="AU37" i="13"/>
  <c r="AN37" i="13"/>
  <c r="AM37" i="13"/>
  <c r="AL37" i="13"/>
  <c r="AK37" i="13"/>
  <c r="AJ37" i="13"/>
  <c r="AD37" i="13"/>
  <c r="CZ37" i="13" s="1"/>
  <c r="AB37" i="13"/>
  <c r="AA37" i="13"/>
  <c r="AC37" i="13" s="1"/>
  <c r="W37" i="13"/>
  <c r="V37" i="13"/>
  <c r="U37" i="13"/>
  <c r="T37" i="13"/>
  <c r="O37" i="13"/>
  <c r="N37" i="13"/>
  <c r="P37" i="13" s="1"/>
  <c r="M37" i="13"/>
  <c r="DG36" i="13"/>
  <c r="DD36" i="13"/>
  <c r="CW36" i="13"/>
  <c r="CX36" i="13" s="1"/>
  <c r="CS36" i="13"/>
  <c r="CR36" i="13"/>
  <c r="CQ36" i="13"/>
  <c r="CJ36" i="13"/>
  <c r="CI36" i="13"/>
  <c r="BQ36" i="13"/>
  <c r="BP36" i="13"/>
  <c r="BS36" i="13" s="1"/>
  <c r="BO36" i="13"/>
  <c r="BR36" i="13" s="1"/>
  <c r="BT36" i="13" s="1"/>
  <c r="BI36" i="13"/>
  <c r="BG36" i="13"/>
  <c r="BF36" i="13"/>
  <c r="BE36" i="13"/>
  <c r="BD36" i="13"/>
  <c r="BH36" i="13" s="1"/>
  <c r="BJ36" i="13" s="1"/>
  <c r="BK36" i="13" s="1"/>
  <c r="AW36" i="13"/>
  <c r="AV36" i="13"/>
  <c r="AU36" i="13"/>
  <c r="AN36" i="13"/>
  <c r="AM36" i="13"/>
  <c r="AL36" i="13"/>
  <c r="AK36" i="13"/>
  <c r="AJ36" i="13"/>
  <c r="AC36" i="13"/>
  <c r="AB36" i="13"/>
  <c r="AA36" i="13"/>
  <c r="AD36" i="13" s="1"/>
  <c r="CZ36" i="13" s="1"/>
  <c r="V36" i="13"/>
  <c r="U36" i="13"/>
  <c r="T36" i="13"/>
  <c r="W36" i="13" s="1"/>
  <c r="O36" i="13"/>
  <c r="N36" i="13"/>
  <c r="M36" i="13"/>
  <c r="DE35" i="13"/>
  <c r="CW35" i="13"/>
  <c r="CX35" i="13" s="1"/>
  <c r="DG35" i="13" s="1"/>
  <c r="CU35" i="13"/>
  <c r="CT35" i="13"/>
  <c r="CS35" i="13"/>
  <c r="CR35" i="13"/>
  <c r="CQ35" i="13"/>
  <c r="CJ35" i="13"/>
  <c r="CI35" i="13"/>
  <c r="CK35" i="13" s="1"/>
  <c r="CL35" i="13" s="1"/>
  <c r="CM35" i="13" s="1"/>
  <c r="BR35" i="13"/>
  <c r="BQ35" i="13"/>
  <c r="BP35" i="13"/>
  <c r="BS35" i="13" s="1"/>
  <c r="BO35" i="13"/>
  <c r="BI35" i="13"/>
  <c r="BG35" i="13"/>
  <c r="BF35" i="13"/>
  <c r="BE35" i="13"/>
  <c r="BD35" i="13"/>
  <c r="BH35" i="13" s="1"/>
  <c r="BJ35" i="13" s="1"/>
  <c r="BK35" i="13" s="1"/>
  <c r="AW35" i="13"/>
  <c r="AV35" i="13"/>
  <c r="AU35" i="13"/>
  <c r="AO35" i="13"/>
  <c r="AN35" i="13"/>
  <c r="AM35" i="13"/>
  <c r="AL35" i="13"/>
  <c r="AK35" i="13"/>
  <c r="AJ35" i="13"/>
  <c r="AP35" i="13" s="1"/>
  <c r="DA35" i="13" s="1"/>
  <c r="AB35" i="13"/>
  <c r="AD35" i="13" s="1"/>
  <c r="AA35" i="13"/>
  <c r="V35" i="13"/>
  <c r="U35" i="13"/>
  <c r="W35" i="13" s="1"/>
  <c r="T35" i="13"/>
  <c r="O35" i="13"/>
  <c r="N35" i="13"/>
  <c r="M35" i="13"/>
  <c r="CW34" i="13"/>
  <c r="CX34" i="13" s="1"/>
  <c r="DG34" i="13" s="1"/>
  <c r="CS34" i="13"/>
  <c r="CR34" i="13"/>
  <c r="CQ34" i="13"/>
  <c r="CT34" i="13" s="1"/>
  <c r="CU34" i="13" s="1"/>
  <c r="CJ34" i="13"/>
  <c r="CI34" i="13"/>
  <c r="CK34" i="13" s="1"/>
  <c r="CL34" i="13" s="1"/>
  <c r="CM34" i="13" s="1"/>
  <c r="DE34" i="13" s="1"/>
  <c r="BR34" i="13"/>
  <c r="BQ34" i="13"/>
  <c r="BP34" i="13"/>
  <c r="BS34" i="13" s="1"/>
  <c r="BT34" i="13" s="1"/>
  <c r="DD34" i="13" s="1"/>
  <c r="BO34" i="13"/>
  <c r="BH34" i="13"/>
  <c r="BG34" i="13"/>
  <c r="BF34" i="13"/>
  <c r="BE34" i="13"/>
  <c r="BD34" i="13"/>
  <c r="AX34" i="13"/>
  <c r="AW34" i="13"/>
  <c r="AV34" i="13"/>
  <c r="AU34" i="13"/>
  <c r="AY34" i="13" s="1"/>
  <c r="DB34" i="13" s="1"/>
  <c r="AN34" i="13"/>
  <c r="AM34" i="13"/>
  <c r="AL34" i="13"/>
  <c r="AK34" i="13"/>
  <c r="AJ34" i="13"/>
  <c r="AC34" i="13"/>
  <c r="AB34" i="13"/>
  <c r="AA34" i="13"/>
  <c r="AD34" i="13" s="1"/>
  <c r="CZ34" i="13" s="1"/>
  <c r="V34" i="13"/>
  <c r="U34" i="13"/>
  <c r="T34" i="13"/>
  <c r="W34" i="13" s="1"/>
  <c r="O34" i="13"/>
  <c r="P34" i="13" s="1"/>
  <c r="N34" i="13"/>
  <c r="M34" i="13"/>
  <c r="CX33" i="13"/>
  <c r="DG33" i="13" s="1"/>
  <c r="CW33" i="13"/>
  <c r="CS33" i="13"/>
  <c r="CR33" i="13"/>
  <c r="CT33" i="13" s="1"/>
  <c r="CU33" i="13" s="1"/>
  <c r="CQ33" i="13"/>
  <c r="CJ33" i="13"/>
  <c r="CK33" i="13" s="1"/>
  <c r="CL33" i="13" s="1"/>
  <c r="CM33" i="13" s="1"/>
  <c r="DE33" i="13" s="1"/>
  <c r="CI33" i="13"/>
  <c r="BQ33" i="13"/>
  <c r="BP33" i="13"/>
  <c r="BS33" i="13" s="1"/>
  <c r="BO33" i="13"/>
  <c r="BR33" i="13" s="1"/>
  <c r="BT33" i="13" s="1"/>
  <c r="DD33" i="13" s="1"/>
  <c r="BH33" i="13"/>
  <c r="BG33" i="13"/>
  <c r="BF33" i="13"/>
  <c r="BE33" i="13"/>
  <c r="BD33" i="13"/>
  <c r="AW33" i="13"/>
  <c r="AX33" i="13" s="1"/>
  <c r="AV33" i="13"/>
  <c r="AU33" i="13"/>
  <c r="AO33" i="13"/>
  <c r="AN33" i="13"/>
  <c r="AM33" i="13"/>
  <c r="AL33" i="13"/>
  <c r="AK33" i="13"/>
  <c r="AJ33" i="13"/>
  <c r="AP33" i="13" s="1"/>
  <c r="DA33" i="13" s="1"/>
  <c r="AB33" i="13"/>
  <c r="AA33" i="13"/>
  <c r="AD33" i="13" s="1"/>
  <c r="CZ33" i="13" s="1"/>
  <c r="V33" i="13"/>
  <c r="U33" i="13"/>
  <c r="T33" i="13"/>
  <c r="O33" i="13"/>
  <c r="N33" i="13"/>
  <c r="M33" i="13"/>
  <c r="P33" i="13" s="1"/>
  <c r="CZ32" i="13"/>
  <c r="CW32" i="13"/>
  <c r="CX32" i="13" s="1"/>
  <c r="DG32" i="13" s="1"/>
  <c r="CS32" i="13"/>
  <c r="CT32" i="13" s="1"/>
  <c r="CU32" i="13" s="1"/>
  <c r="CR32" i="13"/>
  <c r="CQ32" i="13"/>
  <c r="CJ32" i="13"/>
  <c r="CI32" i="13"/>
  <c r="CK32" i="13" s="1"/>
  <c r="CL32" i="13" s="1"/>
  <c r="CM32" i="13" s="1"/>
  <c r="DE32" i="13" s="1"/>
  <c r="BR32" i="13"/>
  <c r="BQ32" i="13"/>
  <c r="BS32" i="13" s="1"/>
  <c r="BT32" i="13" s="1"/>
  <c r="DD32" i="13" s="1"/>
  <c r="BP32" i="13"/>
  <c r="BO32" i="13"/>
  <c r="BG32" i="13"/>
  <c r="BF32" i="13"/>
  <c r="BE32" i="13"/>
  <c r="BD32" i="13"/>
  <c r="BH32" i="13" s="1"/>
  <c r="AY32" i="13"/>
  <c r="DB32" i="13" s="1"/>
  <c r="AX32" i="13"/>
  <c r="AW32" i="13"/>
  <c r="AV32" i="13"/>
  <c r="AU32" i="13"/>
  <c r="AN32" i="13"/>
  <c r="AM32" i="13"/>
  <c r="AL32" i="13"/>
  <c r="AK32" i="13"/>
  <c r="AJ32" i="13"/>
  <c r="AD32" i="13"/>
  <c r="AB32" i="13"/>
  <c r="AA32" i="13"/>
  <c r="AC32" i="13" s="1"/>
  <c r="V32" i="13"/>
  <c r="U32" i="13"/>
  <c r="T32" i="13"/>
  <c r="O32" i="13"/>
  <c r="N32" i="13"/>
  <c r="M32" i="13"/>
  <c r="P32" i="13" s="1"/>
  <c r="CW31" i="13"/>
  <c r="CX31" i="13" s="1"/>
  <c r="DG31" i="13" s="1"/>
  <c r="CT31" i="13"/>
  <c r="CU31" i="13" s="1"/>
  <c r="CS31" i="13"/>
  <c r="CR31" i="13"/>
  <c r="CQ31" i="13"/>
  <c r="CL31" i="13"/>
  <c r="CM31" i="13" s="1"/>
  <c r="DE31" i="13" s="1"/>
  <c r="CK31" i="13"/>
  <c r="CJ31" i="13"/>
  <c r="CI31" i="13"/>
  <c r="CE31" i="13"/>
  <c r="CF31" i="13" s="1"/>
  <c r="CD31" i="13"/>
  <c r="CC31" i="13"/>
  <c r="BX31" i="13"/>
  <c r="BW31" i="13"/>
  <c r="BY31" i="13" s="1"/>
  <c r="BZ31" i="13" s="1"/>
  <c r="BR31" i="13"/>
  <c r="BQ31" i="13"/>
  <c r="BS31" i="13" s="1"/>
  <c r="BT31" i="13" s="1"/>
  <c r="DD31" i="13" s="1"/>
  <c r="BP31" i="13"/>
  <c r="BO31" i="13"/>
  <c r="BH31" i="13"/>
  <c r="BG31" i="13"/>
  <c r="BF31" i="13"/>
  <c r="BE31" i="13"/>
  <c r="BD31" i="13"/>
  <c r="AW31" i="13"/>
  <c r="AV31" i="13"/>
  <c r="AU31" i="13"/>
  <c r="AN31" i="13"/>
  <c r="AM31" i="13"/>
  <c r="AL31" i="13"/>
  <c r="AK31" i="13"/>
  <c r="AJ31" i="13"/>
  <c r="AD31" i="13"/>
  <c r="CZ31" i="13" s="1"/>
  <c r="AB31" i="13"/>
  <c r="AC31" i="13" s="1"/>
  <c r="AA31" i="13"/>
  <c r="V31" i="13"/>
  <c r="U31" i="13"/>
  <c r="T31" i="13"/>
  <c r="P31" i="13"/>
  <c r="O31" i="13"/>
  <c r="N31" i="13"/>
  <c r="M31" i="13"/>
  <c r="CX30" i="13"/>
  <c r="DG30" i="13" s="1"/>
  <c r="CW30" i="13"/>
  <c r="CS30" i="13"/>
  <c r="CR30" i="13"/>
  <c r="CT30" i="13" s="1"/>
  <c r="CU30" i="13" s="1"/>
  <c r="CQ30" i="13"/>
  <c r="CK30" i="13"/>
  <c r="CL30" i="13" s="1"/>
  <c r="CM30" i="13" s="1"/>
  <c r="DE30" i="13" s="1"/>
  <c r="CJ30" i="13"/>
  <c r="CI30" i="13"/>
  <c r="BR30" i="13"/>
  <c r="BQ30" i="13"/>
  <c r="BP30" i="13"/>
  <c r="BS30" i="13" s="1"/>
  <c r="BO30" i="13"/>
  <c r="BG30" i="13"/>
  <c r="BF30" i="13"/>
  <c r="BE30" i="13"/>
  <c r="BI30" i="13" s="1"/>
  <c r="BD30" i="13"/>
  <c r="BH30" i="13" s="1"/>
  <c r="AW30" i="13"/>
  <c r="AV30" i="13"/>
  <c r="AY30" i="13" s="1"/>
  <c r="DB30" i="13" s="1"/>
  <c r="AU30" i="13"/>
  <c r="AO30" i="13"/>
  <c r="AN30" i="13"/>
  <c r="AM30" i="13"/>
  <c r="AP30" i="13" s="1"/>
  <c r="DA30" i="13" s="1"/>
  <c r="AL30" i="13"/>
  <c r="AK30" i="13"/>
  <c r="AJ30" i="13"/>
  <c r="AD30" i="13"/>
  <c r="CZ30" i="13" s="1"/>
  <c r="AC30" i="13"/>
  <c r="AB30" i="13"/>
  <c r="AA30" i="13"/>
  <c r="V30" i="13"/>
  <c r="U30" i="13"/>
  <c r="T30" i="13"/>
  <c r="W30" i="13" s="1"/>
  <c r="O30" i="13"/>
  <c r="N30" i="13"/>
  <c r="M30" i="13"/>
  <c r="P30" i="13" s="1"/>
  <c r="DG29" i="13"/>
  <c r="CY29" i="13"/>
  <c r="CX29" i="13"/>
  <c r="CW29" i="13"/>
  <c r="CS29" i="13"/>
  <c r="CR29" i="13"/>
  <c r="CQ29" i="13"/>
  <c r="CK29" i="13"/>
  <c r="CL29" i="13" s="1"/>
  <c r="CM29" i="13" s="1"/>
  <c r="DE29" i="13" s="1"/>
  <c r="CJ29" i="13"/>
  <c r="CI29" i="13"/>
  <c r="BS29" i="13"/>
  <c r="BQ29" i="13"/>
  <c r="BP29" i="13"/>
  <c r="BO29" i="13"/>
  <c r="BR29" i="13" s="1"/>
  <c r="BT29" i="13" s="1"/>
  <c r="DD29" i="13" s="1"/>
  <c r="BG29" i="13"/>
  <c r="BF29" i="13"/>
  <c r="BE29" i="13"/>
  <c r="BI29" i="13" s="1"/>
  <c r="BD29" i="13"/>
  <c r="BH29" i="13" s="1"/>
  <c r="AY29" i="13"/>
  <c r="DB29" i="13" s="1"/>
  <c r="AW29" i="13"/>
  <c r="AV29" i="13"/>
  <c r="AU29" i="13"/>
  <c r="AX29" i="13" s="1"/>
  <c r="AP29" i="13"/>
  <c r="DA29" i="13" s="1"/>
  <c r="AO29" i="13"/>
  <c r="AN29" i="13"/>
  <c r="AM29" i="13"/>
  <c r="AL29" i="13"/>
  <c r="AK29" i="13"/>
  <c r="AJ29" i="13"/>
  <c r="AB29" i="13"/>
  <c r="AA29" i="13"/>
  <c r="W29" i="13"/>
  <c r="X29" i="13" s="1"/>
  <c r="V29" i="13"/>
  <c r="U29" i="13"/>
  <c r="T29" i="13"/>
  <c r="P29" i="13"/>
  <c r="O29" i="13"/>
  <c r="N29" i="13"/>
  <c r="M29" i="13"/>
  <c r="DG28" i="13"/>
  <c r="DB28" i="13"/>
  <c r="CW28" i="13"/>
  <c r="CX28" i="13" s="1"/>
  <c r="CT28" i="13"/>
  <c r="CU28" i="13" s="1"/>
  <c r="CS28" i="13"/>
  <c r="CR28" i="13"/>
  <c r="CQ28" i="13"/>
  <c r="CJ28" i="13"/>
  <c r="CI28" i="13"/>
  <c r="CK28" i="13" s="1"/>
  <c r="CL28" i="13" s="1"/>
  <c r="CM28" i="13" s="1"/>
  <c r="DE28" i="13" s="1"/>
  <c r="BQ28" i="13"/>
  <c r="BP28" i="13"/>
  <c r="BS28" i="13" s="1"/>
  <c r="BO28" i="13"/>
  <c r="BR28" i="13" s="1"/>
  <c r="BT28" i="13" s="1"/>
  <c r="DD28" i="13" s="1"/>
  <c r="BI28" i="13"/>
  <c r="BG28" i="13"/>
  <c r="BF28" i="13"/>
  <c r="BE28" i="13"/>
  <c r="BD28" i="13"/>
  <c r="BH28" i="13" s="1"/>
  <c r="BJ28" i="13" s="1"/>
  <c r="BK28" i="13" s="1"/>
  <c r="AY28" i="13"/>
  <c r="AW28" i="13"/>
  <c r="AV28" i="13"/>
  <c r="AU28" i="13"/>
  <c r="AX28" i="13" s="1"/>
  <c r="AN28" i="13"/>
  <c r="AM28" i="13"/>
  <c r="AL28" i="13"/>
  <c r="AK28" i="13"/>
  <c r="AJ28" i="13"/>
  <c r="AB28" i="13"/>
  <c r="AA28" i="13"/>
  <c r="AD28" i="13" s="1"/>
  <c r="CZ28" i="13" s="1"/>
  <c r="V28" i="13"/>
  <c r="W28" i="13" s="1"/>
  <c r="U28" i="13"/>
  <c r="T28" i="13"/>
  <c r="O28" i="13"/>
  <c r="N28" i="13"/>
  <c r="M28" i="13"/>
  <c r="CZ27" i="13"/>
  <c r="CX27" i="13"/>
  <c r="DG27" i="13" s="1"/>
  <c r="CW27" i="13"/>
  <c r="CS27" i="13"/>
  <c r="CR27" i="13"/>
  <c r="CQ27" i="13"/>
  <c r="CT27" i="13" s="1"/>
  <c r="CU27" i="13" s="1"/>
  <c r="CJ27" i="13"/>
  <c r="CI27" i="13"/>
  <c r="CK27" i="13" s="1"/>
  <c r="CL27" i="13" s="1"/>
  <c r="CM27" i="13" s="1"/>
  <c r="DE27" i="13" s="1"/>
  <c r="BT27" i="13"/>
  <c r="DD27" i="13" s="1"/>
  <c r="BS27" i="13"/>
  <c r="BR27" i="13"/>
  <c r="BQ27" i="13"/>
  <c r="BP27" i="13"/>
  <c r="BO27" i="13"/>
  <c r="BG27" i="13"/>
  <c r="BF27" i="13"/>
  <c r="BE27" i="13"/>
  <c r="BI27" i="13" s="1"/>
  <c r="BD27" i="13"/>
  <c r="BH27" i="13" s="1"/>
  <c r="AW27" i="13"/>
  <c r="AV27" i="13"/>
  <c r="AY27" i="13" s="1"/>
  <c r="DB27" i="13" s="1"/>
  <c r="AU27" i="13"/>
  <c r="AN27" i="13"/>
  <c r="AM27" i="13"/>
  <c r="AL27" i="13"/>
  <c r="AP27" i="13" s="1"/>
  <c r="DA27" i="13" s="1"/>
  <c r="AK27" i="13"/>
  <c r="AJ27" i="13"/>
  <c r="AC27" i="13"/>
  <c r="AB27" i="13"/>
  <c r="AA27" i="13"/>
  <c r="AD27" i="13" s="1"/>
  <c r="V27" i="13"/>
  <c r="U27" i="13"/>
  <c r="T27" i="13"/>
  <c r="W27" i="13" s="1"/>
  <c r="P27" i="13"/>
  <c r="O27" i="13"/>
  <c r="N27" i="13"/>
  <c r="M27" i="13"/>
  <c r="DG26" i="13"/>
  <c r="CX26" i="13"/>
  <c r="CW26" i="13"/>
  <c r="CS26" i="13"/>
  <c r="CR26" i="13"/>
  <c r="CQ26" i="13"/>
  <c r="CT26" i="13" s="1"/>
  <c r="CU26" i="13" s="1"/>
  <c r="CJ26" i="13"/>
  <c r="CI26" i="13"/>
  <c r="CK26" i="13" s="1"/>
  <c r="CL26" i="13" s="1"/>
  <c r="CD26" i="13"/>
  <c r="CC26" i="13"/>
  <c r="CE26" i="13" s="1"/>
  <c r="CF26" i="13" s="1"/>
  <c r="BX26" i="13"/>
  <c r="BY26" i="13" s="1"/>
  <c r="BZ26" i="13" s="1"/>
  <c r="BW26" i="13"/>
  <c r="BR26" i="13"/>
  <c r="BQ26" i="13"/>
  <c r="BP26" i="13"/>
  <c r="BS26" i="13" s="1"/>
  <c r="BO26" i="13"/>
  <c r="BG26" i="13"/>
  <c r="BF26" i="13"/>
  <c r="BE26" i="13"/>
  <c r="BI26" i="13" s="1"/>
  <c r="BD26" i="13"/>
  <c r="BH26" i="13" s="1"/>
  <c r="BJ26" i="13" s="1"/>
  <c r="BK26" i="13" s="1"/>
  <c r="AY26" i="13"/>
  <c r="DB26" i="13" s="1"/>
  <c r="AX26" i="13"/>
  <c r="AW26" i="13"/>
  <c r="AV26" i="13"/>
  <c r="AU26" i="13"/>
  <c r="AN26" i="13"/>
  <c r="AM26" i="13"/>
  <c r="AL26" i="13"/>
  <c r="AK26" i="13"/>
  <c r="AJ26" i="13"/>
  <c r="AP26" i="13" s="1"/>
  <c r="AD26" i="13"/>
  <c r="CZ26" i="13" s="1"/>
  <c r="AC26" i="13"/>
  <c r="AB26" i="13"/>
  <c r="AA26" i="13"/>
  <c r="W26" i="13"/>
  <c r="V26" i="13"/>
  <c r="U26" i="13"/>
  <c r="T26" i="13"/>
  <c r="O26" i="13"/>
  <c r="N26" i="13"/>
  <c r="P26" i="13" s="1"/>
  <c r="M26" i="13"/>
  <c r="CW25" i="13"/>
  <c r="CX25" i="13" s="1"/>
  <c r="DG25" i="13" s="1"/>
  <c r="CS25" i="13"/>
  <c r="CR25" i="13"/>
  <c r="CQ25" i="13"/>
  <c r="CT25" i="13" s="1"/>
  <c r="CU25" i="13" s="1"/>
  <c r="CJ25" i="13"/>
  <c r="CI25" i="13"/>
  <c r="BR25" i="13"/>
  <c r="BQ25" i="13"/>
  <c r="BP25" i="13"/>
  <c r="BS25" i="13" s="1"/>
  <c r="BO25" i="13"/>
  <c r="BI25" i="13"/>
  <c r="BJ25" i="13" s="1"/>
  <c r="BK25" i="13" s="1"/>
  <c r="BG25" i="13"/>
  <c r="BF25" i="13"/>
  <c r="BE25" i="13"/>
  <c r="BD25" i="13"/>
  <c r="BH25" i="13" s="1"/>
  <c r="AY25" i="13"/>
  <c r="DB25" i="13" s="1"/>
  <c r="AW25" i="13"/>
  <c r="AV25" i="13"/>
  <c r="AU25" i="13"/>
  <c r="AX25" i="13" s="1"/>
  <c r="AN25" i="13"/>
  <c r="AM25" i="13"/>
  <c r="AL25" i="13"/>
  <c r="AK25" i="13"/>
  <c r="AJ25" i="13"/>
  <c r="AB25" i="13"/>
  <c r="AA25" i="13"/>
  <c r="AD25" i="13" s="1"/>
  <c r="CZ25" i="13" s="1"/>
  <c r="V25" i="13"/>
  <c r="U25" i="13"/>
  <c r="T25" i="13"/>
  <c r="W25" i="13" s="1"/>
  <c r="X25" i="13" s="1"/>
  <c r="CY25" i="13" s="1"/>
  <c r="O25" i="13"/>
  <c r="P25" i="13" s="1"/>
  <c r="N25" i="13"/>
  <c r="M25" i="13"/>
  <c r="CW24" i="13"/>
  <c r="CX24" i="13" s="1"/>
  <c r="DG24" i="13" s="1"/>
  <c r="CS24" i="13"/>
  <c r="CR24" i="13"/>
  <c r="CQ24" i="13"/>
  <c r="CT24" i="13" s="1"/>
  <c r="CU24" i="13" s="1"/>
  <c r="CJ24" i="13"/>
  <c r="CK24" i="13" s="1"/>
  <c r="CL24" i="13" s="1"/>
  <c r="CM24" i="13" s="1"/>
  <c r="DE24" i="13" s="1"/>
  <c r="CI24" i="13"/>
  <c r="BR24" i="13"/>
  <c r="BQ24" i="13"/>
  <c r="BP24" i="13"/>
  <c r="BS24" i="13" s="1"/>
  <c r="BT24" i="13" s="1"/>
  <c r="DD24" i="13" s="1"/>
  <c r="BO24" i="13"/>
  <c r="BI24" i="13"/>
  <c r="BH24" i="13"/>
  <c r="BG24" i="13"/>
  <c r="BF24" i="13"/>
  <c r="BE24" i="13"/>
  <c r="BD24" i="13"/>
  <c r="AW24" i="13"/>
  <c r="AV24" i="13"/>
  <c r="AU24" i="13"/>
  <c r="AY24" i="13" s="1"/>
  <c r="DB24" i="13" s="1"/>
  <c r="AO24" i="13"/>
  <c r="AN24" i="13"/>
  <c r="AM24" i="13"/>
  <c r="AL24" i="13"/>
  <c r="AP24" i="13" s="1"/>
  <c r="AK24" i="13"/>
  <c r="AJ24" i="13"/>
  <c r="AC24" i="13"/>
  <c r="AB24" i="13"/>
  <c r="AA24" i="13"/>
  <c r="AD24" i="13" s="1"/>
  <c r="CZ24" i="13" s="1"/>
  <c r="V24" i="13"/>
  <c r="U24" i="13"/>
  <c r="W24" i="13" s="1"/>
  <c r="X24" i="13" s="1"/>
  <c r="CY24" i="13" s="1"/>
  <c r="T24" i="13"/>
  <c r="P24" i="13"/>
  <c r="O24" i="13"/>
  <c r="N24" i="13"/>
  <c r="M24" i="13"/>
  <c r="DG23" i="13"/>
  <c r="CZ23" i="13"/>
  <c r="CX23" i="13"/>
  <c r="CW23" i="13"/>
  <c r="CS23" i="13"/>
  <c r="CR23" i="13"/>
  <c r="CQ23" i="13"/>
  <c r="CT23" i="13" s="1"/>
  <c r="CU23" i="13" s="1"/>
  <c r="CJ23" i="13"/>
  <c r="CI23" i="13"/>
  <c r="CK23" i="13" s="1"/>
  <c r="CL23" i="13" s="1"/>
  <c r="CM23" i="13" s="1"/>
  <c r="DE23" i="13" s="1"/>
  <c r="BS23" i="13"/>
  <c r="BT23" i="13" s="1"/>
  <c r="DD23" i="13" s="1"/>
  <c r="BR23" i="13"/>
  <c r="BQ23" i="13"/>
  <c r="BP23" i="13"/>
  <c r="BO23" i="13"/>
  <c r="BH23" i="13"/>
  <c r="BG23" i="13"/>
  <c r="BI23" i="13" s="1"/>
  <c r="BF23" i="13"/>
  <c r="BE23" i="13"/>
  <c r="BD23" i="13"/>
  <c r="AW23" i="13"/>
  <c r="AV23" i="13"/>
  <c r="AU23" i="13"/>
  <c r="AN23" i="13"/>
  <c r="AM23" i="13"/>
  <c r="AL23" i="13"/>
  <c r="AK23" i="13"/>
  <c r="AJ23" i="13"/>
  <c r="AP23" i="13" s="1"/>
  <c r="AD23" i="13"/>
  <c r="AC23" i="13"/>
  <c r="AB23" i="13"/>
  <c r="AA23" i="13"/>
  <c r="W23" i="13"/>
  <c r="X23" i="13" s="1"/>
  <c r="CY23" i="13" s="1"/>
  <c r="V23" i="13"/>
  <c r="U23" i="13"/>
  <c r="T23" i="13"/>
  <c r="P23" i="13"/>
  <c r="O23" i="13"/>
  <c r="N23" i="13"/>
  <c r="M23" i="13"/>
  <c r="CZ22" i="13"/>
  <c r="CW22" i="13"/>
  <c r="CX22" i="13" s="1"/>
  <c r="DG22" i="13" s="1"/>
  <c r="CS22" i="13"/>
  <c r="CR22" i="13"/>
  <c r="CQ22" i="13"/>
  <c r="CM22" i="13"/>
  <c r="DE22" i="13" s="1"/>
  <c r="CL22" i="13"/>
  <c r="CJ22" i="13"/>
  <c r="CI22" i="13"/>
  <c r="CK22" i="13" s="1"/>
  <c r="BQ22" i="13"/>
  <c r="BP22" i="13"/>
  <c r="BS22" i="13" s="1"/>
  <c r="BO22" i="13"/>
  <c r="BR22" i="13" s="1"/>
  <c r="BH22" i="13"/>
  <c r="BG22" i="13"/>
  <c r="BF22" i="13"/>
  <c r="BE22" i="13"/>
  <c r="BI22" i="13" s="1"/>
  <c r="BD22" i="13"/>
  <c r="AY22" i="13"/>
  <c r="DB22" i="13" s="1"/>
  <c r="AW22" i="13"/>
  <c r="AV22" i="13"/>
  <c r="AU22" i="13"/>
  <c r="AP22" i="13"/>
  <c r="DA22" i="13" s="1"/>
  <c r="AN22" i="13"/>
  <c r="AM22" i="13"/>
  <c r="AL22" i="13"/>
  <c r="AK22" i="13"/>
  <c r="AJ22" i="13"/>
  <c r="AO22" i="13" s="1"/>
  <c r="AC22" i="13"/>
  <c r="AB22" i="13"/>
  <c r="AA22" i="13"/>
  <c r="AD22" i="13" s="1"/>
  <c r="V22" i="13"/>
  <c r="U22" i="13"/>
  <c r="T22" i="13"/>
  <c r="W22" i="13" s="1"/>
  <c r="O22" i="13"/>
  <c r="P22" i="13" s="1"/>
  <c r="N22" i="13"/>
  <c r="M22" i="13"/>
  <c r="DG21" i="13"/>
  <c r="CX21" i="13"/>
  <c r="CW21" i="13"/>
  <c r="CS21" i="13"/>
  <c r="CR21" i="13"/>
  <c r="CQ21" i="13"/>
  <c r="CT21" i="13" s="1"/>
  <c r="CU21" i="13" s="1"/>
  <c r="CJ21" i="13"/>
  <c r="CI21" i="13"/>
  <c r="CK21" i="13" s="1"/>
  <c r="CL21" i="13" s="1"/>
  <c r="CM21" i="13" s="1"/>
  <c r="DE21" i="13" s="1"/>
  <c r="BQ21" i="13"/>
  <c r="BP21" i="13"/>
  <c r="BO21" i="13"/>
  <c r="BR21" i="13" s="1"/>
  <c r="BI21" i="13"/>
  <c r="BG21" i="13"/>
  <c r="BF21" i="13"/>
  <c r="BE21" i="13"/>
  <c r="BD21" i="13"/>
  <c r="BH21" i="13" s="1"/>
  <c r="BJ21" i="13" s="1"/>
  <c r="BK21" i="13" s="1"/>
  <c r="AW21" i="13"/>
  <c r="AV21" i="13"/>
  <c r="AU21" i="13"/>
  <c r="AY21" i="13" s="1"/>
  <c r="DB21" i="13" s="1"/>
  <c r="AN21" i="13"/>
  <c r="AP21" i="13" s="1"/>
  <c r="AM21" i="13"/>
  <c r="AL21" i="13"/>
  <c r="AO21" i="13" s="1"/>
  <c r="AK21" i="13"/>
  <c r="AJ21" i="13"/>
  <c r="AB21" i="13"/>
  <c r="AA21" i="13"/>
  <c r="AD21" i="13" s="1"/>
  <c r="CZ21" i="13" s="1"/>
  <c r="W21" i="13"/>
  <c r="V21" i="13"/>
  <c r="U21" i="13"/>
  <c r="T21" i="13"/>
  <c r="O21" i="13"/>
  <c r="N21" i="13"/>
  <c r="M21" i="13"/>
  <c r="P21" i="13" s="1"/>
  <c r="DG20" i="13"/>
  <c r="CW20" i="13"/>
  <c r="CX20" i="13" s="1"/>
  <c r="CS20" i="13"/>
  <c r="CT20" i="13" s="1"/>
  <c r="CU20" i="13" s="1"/>
  <c r="CR20" i="13"/>
  <c r="CQ20" i="13"/>
  <c r="CJ20" i="13"/>
  <c r="CI20" i="13"/>
  <c r="CK20" i="13" s="1"/>
  <c r="CL20" i="13" s="1"/>
  <c r="CD20" i="13"/>
  <c r="CE20" i="13" s="1"/>
  <c r="CF20" i="13" s="1"/>
  <c r="CC20" i="13"/>
  <c r="BX20" i="13"/>
  <c r="BW20" i="13"/>
  <c r="BY20" i="13" s="1"/>
  <c r="BZ20" i="13" s="1"/>
  <c r="BS20" i="13"/>
  <c r="BQ20" i="13"/>
  <c r="BP20" i="13"/>
  <c r="BO20" i="13"/>
  <c r="BR20" i="13" s="1"/>
  <c r="BT20" i="13" s="1"/>
  <c r="DD20" i="13" s="1"/>
  <c r="BJ20" i="13"/>
  <c r="BK20" i="13" s="1"/>
  <c r="BI20" i="13"/>
  <c r="BG20" i="13"/>
  <c r="BF20" i="13"/>
  <c r="BE20" i="13"/>
  <c r="BD20" i="13"/>
  <c r="BH20" i="13" s="1"/>
  <c r="AW20" i="13"/>
  <c r="AV20" i="13"/>
  <c r="AU20" i="13"/>
  <c r="AN20" i="13"/>
  <c r="AM20" i="13"/>
  <c r="AL20" i="13"/>
  <c r="AK20" i="13"/>
  <c r="AP20" i="13" s="1"/>
  <c r="AJ20" i="13"/>
  <c r="AB20" i="13"/>
  <c r="AA20" i="13"/>
  <c r="X20" i="13"/>
  <c r="CY20" i="13" s="1"/>
  <c r="W20" i="13"/>
  <c r="V20" i="13"/>
  <c r="U20" i="13"/>
  <c r="T20" i="13"/>
  <c r="P20" i="13"/>
  <c r="O20" i="13"/>
  <c r="N20" i="13"/>
  <c r="M20" i="13"/>
  <c r="CX19" i="13"/>
  <c r="DG19" i="13" s="1"/>
  <c r="CW19" i="13"/>
  <c r="CS19" i="13"/>
  <c r="CR19" i="13"/>
  <c r="CQ19" i="13"/>
  <c r="CT19" i="13" s="1"/>
  <c r="CU19" i="13" s="1"/>
  <c r="CJ19" i="13"/>
  <c r="CI19" i="13"/>
  <c r="CK19" i="13" s="1"/>
  <c r="CL19" i="13" s="1"/>
  <c r="CM19" i="13" s="1"/>
  <c r="DE19" i="13" s="1"/>
  <c r="BR19" i="13"/>
  <c r="BQ19" i="13"/>
  <c r="BP19" i="13"/>
  <c r="BS19" i="13" s="1"/>
  <c r="BO19" i="13"/>
  <c r="BG19" i="13"/>
  <c r="BF19" i="13"/>
  <c r="BE19" i="13"/>
  <c r="BI19" i="13" s="1"/>
  <c r="BD19" i="13"/>
  <c r="BH19" i="13" s="1"/>
  <c r="BJ19" i="13" s="1"/>
  <c r="BK19" i="13" s="1"/>
  <c r="AW19" i="13"/>
  <c r="AX19" i="13" s="1"/>
  <c r="AV19" i="13"/>
  <c r="AU19" i="13"/>
  <c r="AN19" i="13"/>
  <c r="AM19" i="13"/>
  <c r="AL19" i="13"/>
  <c r="AK19" i="13"/>
  <c r="AJ19" i="13"/>
  <c r="AB19" i="13"/>
  <c r="AA19" i="13"/>
  <c r="AC19" i="13" s="1"/>
  <c r="W19" i="13"/>
  <c r="V19" i="13"/>
  <c r="U19" i="13"/>
  <c r="T19" i="13"/>
  <c r="O19" i="13"/>
  <c r="N19" i="13"/>
  <c r="M19" i="13"/>
  <c r="P19" i="13" s="1"/>
  <c r="DF18" i="13"/>
  <c r="CX18" i="13"/>
  <c r="DG18" i="13" s="1"/>
  <c r="CW18" i="13"/>
  <c r="CS18" i="13"/>
  <c r="CR18" i="13"/>
  <c r="CQ18" i="13"/>
  <c r="CT18" i="13" s="1"/>
  <c r="CU18" i="13" s="1"/>
  <c r="CJ18" i="13"/>
  <c r="CI18" i="13"/>
  <c r="CK18" i="13" s="1"/>
  <c r="CL18" i="13" s="1"/>
  <c r="CM18" i="13" s="1"/>
  <c r="DE18" i="13" s="1"/>
  <c r="BS18" i="13"/>
  <c r="BR18" i="13"/>
  <c r="BT18" i="13" s="1"/>
  <c r="DD18" i="13" s="1"/>
  <c r="BQ18" i="13"/>
  <c r="BP18" i="13"/>
  <c r="BO18" i="13"/>
  <c r="BG18" i="13"/>
  <c r="BF18" i="13"/>
  <c r="BE18" i="13"/>
  <c r="BI18" i="13" s="1"/>
  <c r="BD18" i="13"/>
  <c r="BH18" i="13" s="1"/>
  <c r="BJ18" i="13" s="1"/>
  <c r="BK18" i="13" s="1"/>
  <c r="DC18" i="13" s="1"/>
  <c r="AW18" i="13"/>
  <c r="AX18" i="13" s="1"/>
  <c r="AV18" i="13"/>
  <c r="AU18" i="13"/>
  <c r="AY18" i="13" s="1"/>
  <c r="DB18" i="13" s="1"/>
  <c r="AN18" i="13"/>
  <c r="AM18" i="13"/>
  <c r="AL18" i="13"/>
  <c r="AK18" i="13"/>
  <c r="AJ18" i="13"/>
  <c r="AD18" i="13"/>
  <c r="CZ18" i="13" s="1"/>
  <c r="AC18" i="13"/>
  <c r="AB18" i="13"/>
  <c r="AA18" i="13"/>
  <c r="W18" i="13"/>
  <c r="V18" i="13"/>
  <c r="U18" i="13"/>
  <c r="T18" i="13"/>
  <c r="O18" i="13"/>
  <c r="N18" i="13"/>
  <c r="M18" i="13"/>
  <c r="P18" i="13" s="1"/>
  <c r="CX17" i="13"/>
  <c r="DG17" i="13" s="1"/>
  <c r="CW17" i="13"/>
  <c r="CU17" i="13"/>
  <c r="CS17" i="13"/>
  <c r="CR17" i="13"/>
  <c r="CQ17" i="13"/>
  <c r="CT17" i="13" s="1"/>
  <c r="CJ17" i="13"/>
  <c r="CI17" i="13"/>
  <c r="BQ17" i="13"/>
  <c r="BP17" i="13"/>
  <c r="BS17" i="13" s="1"/>
  <c r="BO17" i="13"/>
  <c r="BR17" i="13" s="1"/>
  <c r="BG17" i="13"/>
  <c r="BF17" i="13"/>
  <c r="BE17" i="13"/>
  <c r="BI17" i="13" s="1"/>
  <c r="BD17" i="13"/>
  <c r="BH17" i="13" s="1"/>
  <c r="AY17" i="13"/>
  <c r="DB17" i="13" s="1"/>
  <c r="AW17" i="13"/>
  <c r="AV17" i="13"/>
  <c r="AU17" i="13"/>
  <c r="AX17" i="13" s="1"/>
  <c r="AN17" i="13"/>
  <c r="AM17" i="13"/>
  <c r="AL17" i="13"/>
  <c r="AK17" i="13"/>
  <c r="AJ17" i="13"/>
  <c r="AB17" i="13"/>
  <c r="AA17" i="13"/>
  <c r="AD17" i="13" s="1"/>
  <c r="CZ17" i="13" s="1"/>
  <c r="V17" i="13"/>
  <c r="U17" i="13"/>
  <c r="T17" i="13"/>
  <c r="W17" i="13" s="1"/>
  <c r="X17" i="13" s="1"/>
  <c r="CY17" i="13" s="1"/>
  <c r="O17" i="13"/>
  <c r="N17" i="13"/>
  <c r="P17" i="13" s="1"/>
  <c r="M17" i="13"/>
  <c r="DA16" i="13"/>
  <c r="CX16" i="13"/>
  <c r="DG16" i="13" s="1"/>
  <c r="CW16" i="13"/>
  <c r="CS16" i="13"/>
  <c r="CR16" i="13"/>
  <c r="CQ16" i="13"/>
  <c r="CJ16" i="13"/>
  <c r="CI16" i="13"/>
  <c r="CK16" i="13" s="1"/>
  <c r="CL16" i="13" s="1"/>
  <c r="CM16" i="13" s="1"/>
  <c r="DE16" i="13" s="1"/>
  <c r="BR16" i="13"/>
  <c r="BQ16" i="13"/>
  <c r="BP16" i="13"/>
  <c r="BS16" i="13" s="1"/>
  <c r="BT16" i="13" s="1"/>
  <c r="DD16" i="13" s="1"/>
  <c r="BO16" i="13"/>
  <c r="BG16" i="13"/>
  <c r="BF16" i="13"/>
  <c r="BE16" i="13"/>
  <c r="BI16" i="13" s="1"/>
  <c r="BD16" i="13"/>
  <c r="BH16" i="13" s="1"/>
  <c r="BJ16" i="13" s="1"/>
  <c r="BK16" i="13" s="1"/>
  <c r="AW16" i="13"/>
  <c r="AV16" i="13"/>
  <c r="AY16" i="13" s="1"/>
  <c r="DB16" i="13" s="1"/>
  <c r="AU16" i="13"/>
  <c r="AP16" i="13"/>
  <c r="AO16" i="13"/>
  <c r="AN16" i="13"/>
  <c r="AM16" i="13"/>
  <c r="AL16" i="13"/>
  <c r="AK16" i="13"/>
  <c r="AJ16" i="13"/>
  <c r="AC16" i="13"/>
  <c r="AB16" i="13"/>
  <c r="AA16" i="13"/>
  <c r="AD16" i="13" s="1"/>
  <c r="CZ16" i="13" s="1"/>
  <c r="W16" i="13"/>
  <c r="V16" i="13"/>
  <c r="U16" i="13"/>
  <c r="T16" i="13"/>
  <c r="P16" i="13"/>
  <c r="O16" i="13"/>
  <c r="N16" i="13"/>
  <c r="M16" i="13"/>
  <c r="DG15" i="13"/>
  <c r="CX15" i="13"/>
  <c r="CW15" i="13"/>
  <c r="CS15" i="13"/>
  <c r="CR15" i="13"/>
  <c r="CQ15" i="13"/>
  <c r="CT15" i="13" s="1"/>
  <c r="CU15" i="13" s="1"/>
  <c r="CK15" i="13"/>
  <c r="CL15" i="13" s="1"/>
  <c r="CM15" i="13" s="1"/>
  <c r="DE15" i="13" s="1"/>
  <c r="CJ15" i="13"/>
  <c r="CI15" i="13"/>
  <c r="BS15" i="13"/>
  <c r="BQ15" i="13"/>
  <c r="BP15" i="13"/>
  <c r="BO15" i="13"/>
  <c r="BR15" i="13" s="1"/>
  <c r="BT15" i="13" s="1"/>
  <c r="DD15" i="13" s="1"/>
  <c r="BH15" i="13"/>
  <c r="BG15" i="13"/>
  <c r="BI15" i="13" s="1"/>
  <c r="BJ15" i="13" s="1"/>
  <c r="BK15" i="13" s="1"/>
  <c r="BF15" i="13"/>
  <c r="BE15" i="13"/>
  <c r="BD15" i="13"/>
  <c r="AW15" i="13"/>
  <c r="AV15" i="13"/>
  <c r="AU15" i="13"/>
  <c r="AN15" i="13"/>
  <c r="AM15" i="13"/>
  <c r="AL15" i="13"/>
  <c r="AK15" i="13"/>
  <c r="AJ15" i="13"/>
  <c r="AP15" i="13" s="1"/>
  <c r="AD15" i="13"/>
  <c r="CZ15" i="13" s="1"/>
  <c r="AB15" i="13"/>
  <c r="AA15" i="13"/>
  <c r="AC15" i="13" s="1"/>
  <c r="W15" i="13"/>
  <c r="X15" i="13" s="1"/>
  <c r="CY15" i="13" s="1"/>
  <c r="V15" i="13"/>
  <c r="U15" i="13"/>
  <c r="T15" i="13"/>
  <c r="O15" i="13"/>
  <c r="N15" i="13"/>
  <c r="P15" i="13" s="1"/>
  <c r="M15" i="13"/>
  <c r="CX14" i="13"/>
  <c r="DG14" i="13" s="1"/>
  <c r="CW14" i="13"/>
  <c r="CS14" i="13"/>
  <c r="CR14" i="13"/>
  <c r="CQ14" i="13"/>
  <c r="CT14" i="13" s="1"/>
  <c r="CU14" i="13" s="1"/>
  <c r="CJ14" i="13"/>
  <c r="CI14" i="13"/>
  <c r="BT14" i="13"/>
  <c r="DD14" i="13" s="1"/>
  <c r="BQ14" i="13"/>
  <c r="BP14" i="13"/>
  <c r="BS14" i="13" s="1"/>
  <c r="BO14" i="13"/>
  <c r="BR14" i="13" s="1"/>
  <c r="BG14" i="13"/>
  <c r="BF14" i="13"/>
  <c r="BE14" i="13"/>
  <c r="BI14" i="13" s="1"/>
  <c r="BD14" i="13"/>
  <c r="BH14" i="13" s="1"/>
  <c r="BJ14" i="13" s="1"/>
  <c r="BK14" i="13" s="1"/>
  <c r="AX14" i="13"/>
  <c r="AW14" i="13"/>
  <c r="AV14" i="13"/>
  <c r="AY14" i="13" s="1"/>
  <c r="DB14" i="13" s="1"/>
  <c r="AU14" i="13"/>
  <c r="AN14" i="13"/>
  <c r="AM14" i="13"/>
  <c r="AL14" i="13"/>
  <c r="AP14" i="13" s="1"/>
  <c r="DA14" i="13" s="1"/>
  <c r="AK14" i="13"/>
  <c r="AJ14" i="13"/>
  <c r="AB14" i="13"/>
  <c r="AA14" i="13"/>
  <c r="AD14" i="13" s="1"/>
  <c r="CZ14" i="13" s="1"/>
  <c r="W14" i="13"/>
  <c r="V14" i="13"/>
  <c r="U14" i="13"/>
  <c r="T14" i="13"/>
  <c r="O14" i="13"/>
  <c r="N14" i="13"/>
  <c r="M14" i="13"/>
  <c r="P14" i="13" s="1"/>
  <c r="DG13" i="13"/>
  <c r="CZ13" i="13"/>
  <c r="CX13" i="13"/>
  <c r="CW13" i="13"/>
  <c r="CS13" i="13"/>
  <c r="CR13" i="13"/>
  <c r="CT13" i="13" s="1"/>
  <c r="CU13" i="13" s="1"/>
  <c r="CQ13" i="13"/>
  <c r="CM13" i="13"/>
  <c r="DE13" i="13" s="1"/>
  <c r="CK13" i="13"/>
  <c r="CL13" i="13" s="1"/>
  <c r="CJ13" i="13"/>
  <c r="CI13" i="13"/>
  <c r="BQ13" i="13"/>
  <c r="BP13" i="13"/>
  <c r="BS13" i="13" s="1"/>
  <c r="BO13" i="13"/>
  <c r="BR13" i="13" s="1"/>
  <c r="BT13" i="13" s="1"/>
  <c r="DD13" i="13" s="1"/>
  <c r="BG13" i="13"/>
  <c r="BF13" i="13"/>
  <c r="BE13" i="13"/>
  <c r="BI13" i="13" s="1"/>
  <c r="BD13" i="13"/>
  <c r="BH13" i="13" s="1"/>
  <c r="AW13" i="13"/>
  <c r="AV13" i="13"/>
  <c r="AU13" i="13"/>
  <c r="AO13" i="13"/>
  <c r="AN13" i="13"/>
  <c r="AM13" i="13"/>
  <c r="AP13" i="13" s="1"/>
  <c r="DA13" i="13" s="1"/>
  <c r="AL13" i="13"/>
  <c r="AK13" i="13"/>
  <c r="AJ13" i="13"/>
  <c r="AB13" i="13"/>
  <c r="AA13" i="13"/>
  <c r="AD13" i="13" s="1"/>
  <c r="V13" i="13"/>
  <c r="U13" i="13"/>
  <c r="T13" i="13"/>
  <c r="W13" i="13" s="1"/>
  <c r="X13" i="13" s="1"/>
  <c r="O13" i="13"/>
  <c r="N13" i="13"/>
  <c r="M13" i="13"/>
  <c r="P13" i="13" s="1"/>
  <c r="DG12" i="13"/>
  <c r="DB12" i="13"/>
  <c r="CW12" i="13"/>
  <c r="CX12" i="13" s="1"/>
  <c r="CS12" i="13"/>
  <c r="CR12" i="13"/>
  <c r="CQ12" i="13"/>
  <c r="CT12" i="13" s="1"/>
  <c r="CU12" i="13" s="1"/>
  <c r="CJ12" i="13"/>
  <c r="CI12" i="13"/>
  <c r="BQ12" i="13"/>
  <c r="BP12" i="13"/>
  <c r="BS12" i="13" s="1"/>
  <c r="BO12" i="13"/>
  <c r="BR12" i="13" s="1"/>
  <c r="BT12" i="13" s="1"/>
  <c r="DD12" i="13" s="1"/>
  <c r="BH12" i="13"/>
  <c r="BJ12" i="13" s="1"/>
  <c r="BK12" i="13" s="1"/>
  <c r="BG12" i="13"/>
  <c r="BF12" i="13"/>
  <c r="BI12" i="13" s="1"/>
  <c r="BE12" i="13"/>
  <c r="BD12" i="13"/>
  <c r="AW12" i="13"/>
  <c r="AV12" i="13"/>
  <c r="AU12" i="13"/>
  <c r="AY12" i="13" s="1"/>
  <c r="AN12" i="13"/>
  <c r="AM12" i="13"/>
  <c r="AL12" i="13"/>
  <c r="AK12" i="13"/>
  <c r="AJ12" i="13"/>
  <c r="AD12" i="13"/>
  <c r="CZ12" i="13" s="1"/>
  <c r="AB12" i="13"/>
  <c r="AA12" i="13"/>
  <c r="AC12" i="13" s="1"/>
  <c r="V12" i="13"/>
  <c r="U12" i="13"/>
  <c r="W12" i="13" s="1"/>
  <c r="X12" i="13" s="1"/>
  <c r="CY12" i="13" s="1"/>
  <c r="T12" i="13"/>
  <c r="P12" i="13"/>
  <c r="O12" i="13"/>
  <c r="N12" i="13"/>
  <c r="M12" i="13"/>
  <c r="CZ11" i="13"/>
  <c r="CW11" i="13"/>
  <c r="CX11" i="13" s="1"/>
  <c r="DG11" i="13" s="1"/>
  <c r="CS11" i="13"/>
  <c r="CR11" i="13"/>
  <c r="CQ11" i="13"/>
  <c r="CT11" i="13" s="1"/>
  <c r="CU11" i="13" s="1"/>
  <c r="CJ11" i="13"/>
  <c r="CI11" i="13"/>
  <c r="BR11" i="13"/>
  <c r="BQ11" i="13"/>
  <c r="BP11" i="13"/>
  <c r="BS11" i="13" s="1"/>
  <c r="BT11" i="13" s="1"/>
  <c r="DD11" i="13" s="1"/>
  <c r="BO11" i="13"/>
  <c r="BG11" i="13"/>
  <c r="BF11" i="13"/>
  <c r="BE11" i="13"/>
  <c r="BI11" i="13" s="1"/>
  <c r="BD11" i="13"/>
  <c r="BH11" i="13" s="1"/>
  <c r="AW11" i="13"/>
  <c r="AY11" i="13" s="1"/>
  <c r="DB11" i="13" s="1"/>
  <c r="AV11" i="13"/>
  <c r="AU11" i="13"/>
  <c r="AP11" i="13"/>
  <c r="AN11" i="13"/>
  <c r="AM11" i="13"/>
  <c r="AL11" i="13"/>
  <c r="AO11" i="13" s="1"/>
  <c r="AK11" i="13"/>
  <c r="AJ11" i="13"/>
  <c r="AB11" i="13"/>
  <c r="AA11" i="13"/>
  <c r="AD11" i="13" s="1"/>
  <c r="V11" i="13"/>
  <c r="U11" i="13"/>
  <c r="T11" i="13"/>
  <c r="O11" i="13"/>
  <c r="N11" i="13"/>
  <c r="M11" i="13"/>
  <c r="P11" i="13" s="1"/>
  <c r="DG10" i="13"/>
  <c r="CX10" i="13"/>
  <c r="CW10" i="13"/>
  <c r="CS10" i="13"/>
  <c r="CR10" i="13"/>
  <c r="CQ10" i="13"/>
  <c r="CT10" i="13" s="1"/>
  <c r="CU10" i="13" s="1"/>
  <c r="CK10" i="13"/>
  <c r="CL10" i="13" s="1"/>
  <c r="CM10" i="13" s="1"/>
  <c r="DE10" i="13" s="1"/>
  <c r="CJ10" i="13"/>
  <c r="CI10" i="13"/>
  <c r="BS10" i="13"/>
  <c r="BQ10" i="13"/>
  <c r="BP10" i="13"/>
  <c r="BO10" i="13"/>
  <c r="BR10" i="13" s="1"/>
  <c r="BT10" i="13" s="1"/>
  <c r="DD10" i="13" s="1"/>
  <c r="BI10" i="13"/>
  <c r="BJ10" i="13" s="1"/>
  <c r="BK10" i="13" s="1"/>
  <c r="BH10" i="13"/>
  <c r="BG10" i="13"/>
  <c r="BF10" i="13"/>
  <c r="BE10" i="13"/>
  <c r="BD10" i="13"/>
  <c r="AW10" i="13"/>
  <c r="AV10" i="13"/>
  <c r="AU10" i="13"/>
  <c r="AX10" i="13" s="1"/>
  <c r="AN10" i="13"/>
  <c r="AM10" i="13"/>
  <c r="AL10" i="13"/>
  <c r="AK10" i="13"/>
  <c r="AJ10" i="13"/>
  <c r="AC10" i="13"/>
  <c r="AB10" i="13"/>
  <c r="AA10" i="13"/>
  <c r="AD10" i="13" s="1"/>
  <c r="CZ10" i="13" s="1"/>
  <c r="V10" i="13"/>
  <c r="U10" i="13"/>
  <c r="T10" i="13"/>
  <c r="P10" i="13"/>
  <c r="O10" i="13"/>
  <c r="N10" i="13"/>
  <c r="M10" i="13"/>
  <c r="CX9" i="13"/>
  <c r="DG9" i="13" s="1"/>
  <c r="CW9" i="13"/>
  <c r="CT9" i="13"/>
  <c r="CU9" i="13" s="1"/>
  <c r="CS9" i="13"/>
  <c r="CR9" i="13"/>
  <c r="CQ9" i="13"/>
  <c r="CK9" i="13"/>
  <c r="CL9" i="13" s="1"/>
  <c r="CM9" i="13" s="1"/>
  <c r="DE9" i="13" s="1"/>
  <c r="CJ9" i="13"/>
  <c r="CI9" i="13"/>
  <c r="BQ9" i="13"/>
  <c r="BP9" i="13"/>
  <c r="BS9" i="13" s="1"/>
  <c r="BO9" i="13"/>
  <c r="BR9" i="13" s="1"/>
  <c r="BT9" i="13" s="1"/>
  <c r="DD9" i="13" s="1"/>
  <c r="BG9" i="13"/>
  <c r="BF9" i="13"/>
  <c r="BE9" i="13"/>
  <c r="BI9" i="13" s="1"/>
  <c r="BD9" i="13"/>
  <c r="BH9" i="13" s="1"/>
  <c r="AY9" i="13"/>
  <c r="DB9" i="13" s="1"/>
  <c r="AW9" i="13"/>
  <c r="AV9" i="13"/>
  <c r="AU9" i="13"/>
  <c r="AX9" i="13" s="1"/>
  <c r="AP9" i="13"/>
  <c r="AN9" i="13"/>
  <c r="AM9" i="13"/>
  <c r="AL9" i="13"/>
  <c r="AO9" i="13" s="1"/>
  <c r="AK9" i="13"/>
  <c r="AJ9" i="13"/>
  <c r="AB9" i="13"/>
  <c r="AA9" i="13"/>
  <c r="V9" i="13"/>
  <c r="W9" i="13" s="1"/>
  <c r="X9" i="13" s="1"/>
  <c r="CY9" i="13" s="1"/>
  <c r="U9" i="13"/>
  <c r="T9" i="13"/>
  <c r="O9" i="13"/>
  <c r="N9" i="13"/>
  <c r="M9" i="13"/>
  <c r="P9" i="13" s="1"/>
  <c r="DG8" i="13"/>
  <c r="CX8" i="13"/>
  <c r="CW8" i="13"/>
  <c r="CS8" i="13"/>
  <c r="CR8" i="13"/>
  <c r="CQ8" i="13"/>
  <c r="CT8" i="13" s="1"/>
  <c r="CU8" i="13" s="1"/>
  <c r="CJ8" i="13"/>
  <c r="CI8" i="13"/>
  <c r="CK8" i="13" s="1"/>
  <c r="CL8" i="13" s="1"/>
  <c r="CM8" i="13" s="1"/>
  <c r="DE8" i="13" s="1"/>
  <c r="BS8" i="13"/>
  <c r="BR8" i="13"/>
  <c r="BQ8" i="13"/>
  <c r="BP8" i="13"/>
  <c r="BO8" i="13"/>
  <c r="BI8" i="13"/>
  <c r="BG8" i="13"/>
  <c r="BF8" i="13"/>
  <c r="BE8" i="13"/>
  <c r="BD8" i="13"/>
  <c r="BH8" i="13" s="1"/>
  <c r="BJ8" i="13" s="1"/>
  <c r="BK8" i="13" s="1"/>
  <c r="AW8" i="13"/>
  <c r="AV8" i="13"/>
  <c r="AU8" i="13"/>
  <c r="AY8" i="13" s="1"/>
  <c r="DB8" i="13" s="1"/>
  <c r="AN8" i="13"/>
  <c r="AM8" i="13"/>
  <c r="AL8" i="13"/>
  <c r="AK8" i="13"/>
  <c r="AJ8" i="13"/>
  <c r="AB8" i="13"/>
  <c r="AA8" i="13"/>
  <c r="X8" i="13"/>
  <c r="CY8" i="13" s="1"/>
  <c r="W8" i="13"/>
  <c r="V8" i="13"/>
  <c r="U8" i="13"/>
  <c r="T8" i="13"/>
  <c r="O8" i="13"/>
  <c r="P8" i="13" s="1"/>
  <c r="N8" i="13"/>
  <c r="M8" i="13"/>
  <c r="CZ7" i="13"/>
  <c r="CW7" i="13"/>
  <c r="CX7" i="13" s="1"/>
  <c r="DG7" i="13" s="1"/>
  <c r="CS7" i="13"/>
  <c r="CR7" i="13"/>
  <c r="CT7" i="13" s="1"/>
  <c r="CU7" i="13" s="1"/>
  <c r="CQ7" i="13"/>
  <c r="CJ7" i="13"/>
  <c r="CI7" i="13"/>
  <c r="CK7" i="13" s="1"/>
  <c r="CL7" i="13" s="1"/>
  <c r="CM7" i="13" s="1"/>
  <c r="DE7" i="13" s="1"/>
  <c r="BS7" i="13"/>
  <c r="BQ7" i="13"/>
  <c r="BP7" i="13"/>
  <c r="BO7" i="13"/>
  <c r="BR7" i="13" s="1"/>
  <c r="BT7" i="13" s="1"/>
  <c r="DD7" i="13" s="1"/>
  <c r="BG7" i="13"/>
  <c r="BF7" i="13"/>
  <c r="BE7" i="13"/>
  <c r="BD7" i="13"/>
  <c r="BH7" i="13" s="1"/>
  <c r="AX7" i="13"/>
  <c r="AW7" i="13"/>
  <c r="AV7" i="13"/>
  <c r="AU7" i="13"/>
  <c r="AY7" i="13" s="1"/>
  <c r="DB7" i="13" s="1"/>
  <c r="AN7" i="13"/>
  <c r="AM7" i="13"/>
  <c r="AL7" i="13"/>
  <c r="AK7" i="13"/>
  <c r="AP7" i="13" s="1"/>
  <c r="AJ7" i="13"/>
  <c r="AD7" i="13"/>
  <c r="AB7" i="13"/>
  <c r="AA7" i="13"/>
  <c r="AC7" i="13" s="1"/>
  <c r="V7" i="13"/>
  <c r="U7" i="13"/>
  <c r="T7" i="13"/>
  <c r="P7" i="13"/>
  <c r="O7" i="13"/>
  <c r="N7" i="13"/>
  <c r="M7" i="13"/>
  <c r="CW6" i="13"/>
  <c r="CX6" i="13" s="1"/>
  <c r="DG6" i="13" s="1"/>
  <c r="CT6" i="13"/>
  <c r="CU6" i="13" s="1"/>
  <c r="CS6" i="13"/>
  <c r="CR6" i="13"/>
  <c r="CQ6" i="13"/>
  <c r="CJ6" i="13"/>
  <c r="CI6" i="13"/>
  <c r="CK6" i="13" s="1"/>
  <c r="CL6" i="13" s="1"/>
  <c r="CM6" i="13" s="1"/>
  <c r="DE6" i="13" s="1"/>
  <c r="BS6" i="13"/>
  <c r="BR6" i="13"/>
  <c r="BT6" i="13" s="1"/>
  <c r="DD6" i="13" s="1"/>
  <c r="BQ6" i="13"/>
  <c r="BP6" i="13"/>
  <c r="BO6" i="13"/>
  <c r="BH6" i="13"/>
  <c r="BG6" i="13"/>
  <c r="BF6" i="13"/>
  <c r="BE6" i="13"/>
  <c r="BI6" i="13" s="1"/>
  <c r="BD6" i="13"/>
  <c r="AY6" i="13"/>
  <c r="DB6" i="13" s="1"/>
  <c r="AW6" i="13"/>
  <c r="AX6" i="13" s="1"/>
  <c r="AV6" i="13"/>
  <c r="AU6" i="13"/>
  <c r="AN6" i="13"/>
  <c r="AM6" i="13"/>
  <c r="AL6" i="13"/>
  <c r="AK6" i="13"/>
  <c r="AJ6" i="13"/>
  <c r="AB6" i="13"/>
  <c r="AA6" i="13"/>
  <c r="V6" i="13"/>
  <c r="W6" i="13" s="1"/>
  <c r="X6" i="13" s="1"/>
  <c r="CY6" i="13" s="1"/>
  <c r="U6" i="13"/>
  <c r="T6" i="13"/>
  <c r="O6" i="13"/>
  <c r="N6" i="13"/>
  <c r="M6" i="13"/>
  <c r="P6" i="13" s="1"/>
  <c r="CW5" i="13"/>
  <c r="CX5" i="13" s="1"/>
  <c r="DG5" i="13" s="1"/>
  <c r="CS5" i="13"/>
  <c r="CR5" i="13"/>
  <c r="CQ5" i="13"/>
  <c r="CT5" i="13" s="1"/>
  <c r="CU5" i="13" s="1"/>
  <c r="DF5" i="13" s="1"/>
  <c r="CK5" i="13"/>
  <c r="CL5" i="13" s="1"/>
  <c r="CJ5" i="13"/>
  <c r="CI5" i="13"/>
  <c r="CE5" i="13"/>
  <c r="CF5" i="13" s="1"/>
  <c r="CD5" i="13"/>
  <c r="CC5" i="13"/>
  <c r="BX5" i="13"/>
  <c r="BW5" i="13"/>
  <c r="BY5" i="13" s="1"/>
  <c r="BZ5" i="13" s="1"/>
  <c r="BQ5" i="13"/>
  <c r="BP5" i="13"/>
  <c r="BS5" i="13" s="1"/>
  <c r="BO5" i="13"/>
  <c r="BR5" i="13" s="1"/>
  <c r="BG5" i="13"/>
  <c r="BF5" i="13"/>
  <c r="BE5" i="13"/>
  <c r="BI5" i="13" s="1"/>
  <c r="BD5" i="13"/>
  <c r="BH5" i="13" s="1"/>
  <c r="AX5" i="13"/>
  <c r="AW5" i="13"/>
  <c r="AV5" i="13"/>
  <c r="AU5" i="13"/>
  <c r="AY5" i="13" s="1"/>
  <c r="DB5" i="13" s="1"/>
  <c r="AN5" i="13"/>
  <c r="AM5" i="13"/>
  <c r="AL5" i="13"/>
  <c r="AK5" i="13"/>
  <c r="AJ5" i="13"/>
  <c r="AD5" i="13"/>
  <c r="CZ5" i="13" s="1"/>
  <c r="AB5" i="13"/>
  <c r="AC5" i="13" s="1"/>
  <c r="AA5" i="13"/>
  <c r="V5" i="13"/>
  <c r="U5" i="13"/>
  <c r="T5" i="13"/>
  <c r="W5" i="13" s="1"/>
  <c r="X5" i="13" s="1"/>
  <c r="CY5" i="13" s="1"/>
  <c r="O5" i="13"/>
  <c r="N5" i="13"/>
  <c r="M5" i="13"/>
  <c r="P5" i="13" s="1"/>
  <c r="CM85" i="12"/>
  <c r="CL85" i="12"/>
  <c r="CP85" i="12" s="1"/>
  <c r="CY85" i="12" s="1"/>
  <c r="CK85" i="12"/>
  <c r="CJ85" i="12"/>
  <c r="CN85" i="12" s="1"/>
  <c r="CO85" i="12" s="1"/>
  <c r="CX85" i="12" s="1"/>
  <c r="CI85" i="12"/>
  <c r="CB85" i="12"/>
  <c r="CA85" i="12"/>
  <c r="BZ85" i="12"/>
  <c r="BY85" i="12"/>
  <c r="BX85" i="12"/>
  <c r="BW85" i="12"/>
  <c r="BO85" i="12"/>
  <c r="BN85" i="12"/>
  <c r="BP85" i="12" s="1"/>
  <c r="BQ85" i="12" s="1"/>
  <c r="BI85" i="12"/>
  <c r="BJ85" i="12" s="1"/>
  <c r="BK85" i="12" s="1"/>
  <c r="BH85" i="12"/>
  <c r="BD85" i="12"/>
  <c r="BE85" i="12" s="1"/>
  <c r="BC85" i="12"/>
  <c r="BB85" i="12"/>
  <c r="AW85" i="12"/>
  <c r="AV85" i="12"/>
  <c r="AU85" i="12"/>
  <c r="AX85" i="12" s="1"/>
  <c r="AY85" i="12" s="1"/>
  <c r="CU85" i="12" s="1"/>
  <c r="AQ85" i="12"/>
  <c r="CT85" i="12" s="1"/>
  <c r="AO85" i="12"/>
  <c r="AN85" i="12"/>
  <c r="AP85" i="12" s="1"/>
  <c r="AM85" i="12"/>
  <c r="AH85" i="12"/>
  <c r="CS85" i="12" s="1"/>
  <c r="AG85" i="12"/>
  <c r="AF85" i="12"/>
  <c r="AE85" i="12"/>
  <c r="AD85" i="12"/>
  <c r="AC85" i="12"/>
  <c r="AB85" i="12"/>
  <c r="T85" i="12"/>
  <c r="S85" i="12"/>
  <c r="U85" i="12" s="1"/>
  <c r="N85" i="12"/>
  <c r="M85" i="12"/>
  <c r="L85" i="12"/>
  <c r="O85" i="12" s="1"/>
  <c r="G85" i="12"/>
  <c r="F85" i="12"/>
  <c r="E85" i="12"/>
  <c r="H85" i="12" s="1"/>
  <c r="CO84" i="12"/>
  <c r="CX84" i="12" s="1"/>
  <c r="CM84" i="12"/>
  <c r="CL84" i="12"/>
  <c r="CP84" i="12" s="1"/>
  <c r="CY84" i="12" s="1"/>
  <c r="CK84" i="12"/>
  <c r="CJ84" i="12"/>
  <c r="CN84" i="12" s="1"/>
  <c r="CI84" i="12"/>
  <c r="BZ84" i="12"/>
  <c r="BY84" i="12"/>
  <c r="CB84" i="12" s="1"/>
  <c r="BX84" i="12"/>
  <c r="BW84" i="12"/>
  <c r="CA84" i="12" s="1"/>
  <c r="BO84" i="12"/>
  <c r="BP84" i="12" s="1"/>
  <c r="BQ84" i="12" s="1"/>
  <c r="BN84" i="12"/>
  <c r="BI84" i="12"/>
  <c r="BH84" i="12"/>
  <c r="BJ84" i="12" s="1"/>
  <c r="BK84" i="12" s="1"/>
  <c r="BC84" i="12"/>
  <c r="BB84" i="12"/>
  <c r="AW84" i="12"/>
  <c r="AV84" i="12"/>
  <c r="AU84" i="12"/>
  <c r="AX84" i="12" s="1"/>
  <c r="AY84" i="12" s="1"/>
  <c r="CU84" i="12" s="1"/>
  <c r="AP84" i="12"/>
  <c r="AO84" i="12"/>
  <c r="AN84" i="12"/>
  <c r="AQ84" i="12" s="1"/>
  <c r="CT84" i="12" s="1"/>
  <c r="AM84" i="12"/>
  <c r="AF84" i="12"/>
  <c r="AE84" i="12"/>
  <c r="AH84" i="12" s="1"/>
  <c r="CS84" i="12" s="1"/>
  <c r="AD84" i="12"/>
  <c r="AC84" i="12"/>
  <c r="AB84" i="12"/>
  <c r="T84" i="12"/>
  <c r="U84" i="12" s="1"/>
  <c r="S84" i="12"/>
  <c r="N84" i="12"/>
  <c r="M84" i="12"/>
  <c r="O84" i="12" s="1"/>
  <c r="L84" i="12"/>
  <c r="H84" i="12"/>
  <c r="G84" i="12"/>
  <c r="F84" i="12"/>
  <c r="E84" i="12"/>
  <c r="CL83" i="12"/>
  <c r="CP83" i="12" s="1"/>
  <c r="CY83" i="12" s="1"/>
  <c r="CK83" i="12"/>
  <c r="CJ83" i="12"/>
  <c r="CI83" i="12"/>
  <c r="CM83" i="12" s="1"/>
  <c r="BZ83" i="12"/>
  <c r="BY83" i="12"/>
  <c r="BX83" i="12"/>
  <c r="CB83" i="12" s="1"/>
  <c r="BW83" i="12"/>
  <c r="CA83" i="12" s="1"/>
  <c r="BO83" i="12"/>
  <c r="BN83" i="12"/>
  <c r="BP83" i="12" s="1"/>
  <c r="BQ83" i="12" s="1"/>
  <c r="BI83" i="12"/>
  <c r="BH83" i="12"/>
  <c r="BJ83" i="12" s="1"/>
  <c r="BK83" i="12" s="1"/>
  <c r="BC83" i="12"/>
  <c r="BD83" i="12" s="1"/>
  <c r="BE83" i="12" s="1"/>
  <c r="BB83" i="12"/>
  <c r="AW83" i="12"/>
  <c r="AV83" i="12"/>
  <c r="AU83" i="12"/>
  <c r="AX83" i="12" s="1"/>
  <c r="AY83" i="12" s="1"/>
  <c r="CU83" i="12" s="1"/>
  <c r="AO83" i="12"/>
  <c r="AN83" i="12"/>
  <c r="AM83" i="12"/>
  <c r="AQ83" i="12" s="1"/>
  <c r="CT83" i="12" s="1"/>
  <c r="AF83" i="12"/>
  <c r="AE83" i="12"/>
  <c r="AD83" i="12"/>
  <c r="AC83" i="12"/>
  <c r="AH83" i="12" s="1"/>
  <c r="CS83" i="12" s="1"/>
  <c r="AB83" i="12"/>
  <c r="T83" i="12"/>
  <c r="S83" i="12"/>
  <c r="V83" i="12" s="1"/>
  <c r="CR83" i="12" s="1"/>
  <c r="N83" i="12"/>
  <c r="M83" i="12"/>
  <c r="L83" i="12"/>
  <c r="O83" i="12" s="1"/>
  <c r="G83" i="12"/>
  <c r="F83" i="12"/>
  <c r="E83" i="12"/>
  <c r="H83" i="12" s="1"/>
  <c r="CL82" i="12"/>
  <c r="CP82" i="12" s="1"/>
  <c r="CY82" i="12" s="1"/>
  <c r="CK82" i="12"/>
  <c r="CJ82" i="12"/>
  <c r="CI82" i="12"/>
  <c r="CM82" i="12" s="1"/>
  <c r="BZ82" i="12"/>
  <c r="BY82" i="12"/>
  <c r="BX82" i="12"/>
  <c r="CB82" i="12" s="1"/>
  <c r="BW82" i="12"/>
  <c r="CA82" i="12" s="1"/>
  <c r="BO82" i="12"/>
  <c r="BP82" i="12" s="1"/>
  <c r="BQ82" i="12" s="1"/>
  <c r="BR82" i="12" s="1"/>
  <c r="CV82" i="12" s="1"/>
  <c r="BN82" i="12"/>
  <c r="BK82" i="12"/>
  <c r="BI82" i="12"/>
  <c r="BJ82" i="12" s="1"/>
  <c r="BH82" i="12"/>
  <c r="BC82" i="12"/>
  <c r="BB82" i="12"/>
  <c r="BD82" i="12" s="1"/>
  <c r="BE82" i="12" s="1"/>
  <c r="AW82" i="12"/>
  <c r="AV82" i="12"/>
  <c r="AU82" i="12"/>
  <c r="AO82" i="12"/>
  <c r="AN82" i="12"/>
  <c r="AM82" i="12"/>
  <c r="AQ82" i="12" s="1"/>
  <c r="CT82" i="12" s="1"/>
  <c r="AF82" i="12"/>
  <c r="AE82" i="12"/>
  <c r="AD82" i="12"/>
  <c r="AC82" i="12"/>
  <c r="AH82" i="12" s="1"/>
  <c r="AB82" i="12"/>
  <c r="V82" i="12"/>
  <c r="CR82" i="12" s="1"/>
  <c r="T82" i="12"/>
  <c r="S82" i="12"/>
  <c r="U82" i="12" s="1"/>
  <c r="N82" i="12"/>
  <c r="M82" i="12"/>
  <c r="L82" i="12"/>
  <c r="O82" i="12" s="1"/>
  <c r="G82" i="12"/>
  <c r="F82" i="12"/>
  <c r="E82" i="12"/>
  <c r="H82" i="12" s="1"/>
  <c r="CY81" i="12"/>
  <c r="CP81" i="12"/>
  <c r="CL81" i="12"/>
  <c r="CK81" i="12"/>
  <c r="CJ81" i="12"/>
  <c r="CN81" i="12" s="1"/>
  <c r="CO81" i="12" s="1"/>
  <c r="CX81" i="12" s="1"/>
  <c r="CI81" i="12"/>
  <c r="CM81" i="12" s="1"/>
  <c r="BZ81" i="12"/>
  <c r="BY81" i="12"/>
  <c r="BX81" i="12"/>
  <c r="CB81" i="12" s="1"/>
  <c r="BW81" i="12"/>
  <c r="CA81" i="12" s="1"/>
  <c r="BO81" i="12"/>
  <c r="BP81" i="12" s="1"/>
  <c r="BQ81" i="12" s="1"/>
  <c r="BN81" i="12"/>
  <c r="BI81" i="12"/>
  <c r="BH81" i="12"/>
  <c r="BE81" i="12"/>
  <c r="BC81" i="12"/>
  <c r="BB81" i="12"/>
  <c r="BD81" i="12" s="1"/>
  <c r="AW81" i="12"/>
  <c r="AV81" i="12"/>
  <c r="AU81" i="12"/>
  <c r="AQ81" i="12"/>
  <c r="CT81" i="12" s="1"/>
  <c r="AP81" i="12"/>
  <c r="AO81" i="12"/>
  <c r="AN81" i="12"/>
  <c r="AM81" i="12"/>
  <c r="AF81" i="12"/>
  <c r="AE81" i="12"/>
  <c r="AD81" i="12"/>
  <c r="AC81" i="12"/>
  <c r="AB81" i="12"/>
  <c r="T81" i="12"/>
  <c r="U81" i="12" s="1"/>
  <c r="S81" i="12"/>
  <c r="N81" i="12"/>
  <c r="M81" i="12"/>
  <c r="L81" i="12"/>
  <c r="O81" i="12" s="1"/>
  <c r="G81" i="12"/>
  <c r="F81" i="12"/>
  <c r="E81" i="12"/>
  <c r="H81" i="12" s="1"/>
  <c r="CY80" i="12"/>
  <c r="CP80" i="12"/>
  <c r="CN80" i="12"/>
  <c r="CM80" i="12"/>
  <c r="CO80" i="12" s="1"/>
  <c r="CX80" i="12" s="1"/>
  <c r="CL80" i="12"/>
  <c r="CK80" i="12"/>
  <c r="CJ80" i="12"/>
  <c r="CI80" i="12"/>
  <c r="CA80" i="12"/>
  <c r="BZ80" i="12"/>
  <c r="BY80" i="12"/>
  <c r="BX80" i="12"/>
  <c r="BW80" i="12"/>
  <c r="BO80" i="12"/>
  <c r="BN80" i="12"/>
  <c r="BP80" i="12" s="1"/>
  <c r="BQ80" i="12" s="1"/>
  <c r="BR80" i="12" s="1"/>
  <c r="CV80" i="12" s="1"/>
  <c r="BI80" i="12"/>
  <c r="BJ80" i="12" s="1"/>
  <c r="BK80" i="12" s="1"/>
  <c r="BH80" i="12"/>
  <c r="BC80" i="12"/>
  <c r="BD80" i="12" s="1"/>
  <c r="BE80" i="12" s="1"/>
  <c r="BB80" i="12"/>
  <c r="AW80" i="12"/>
  <c r="AV80" i="12"/>
  <c r="AU80" i="12"/>
  <c r="AX80" i="12" s="1"/>
  <c r="AY80" i="12" s="1"/>
  <c r="CU80" i="12" s="1"/>
  <c r="AP80" i="12"/>
  <c r="AO80" i="12"/>
  <c r="AN80" i="12"/>
  <c r="AM80" i="12"/>
  <c r="AQ80" i="12" s="1"/>
  <c r="CT80" i="12" s="1"/>
  <c r="AF80" i="12"/>
  <c r="AE80" i="12"/>
  <c r="AD80" i="12"/>
  <c r="AC80" i="12"/>
  <c r="AB80" i="12"/>
  <c r="V80" i="12"/>
  <c r="CR80" i="12" s="1"/>
  <c r="T80" i="12"/>
  <c r="S80" i="12"/>
  <c r="U80" i="12" s="1"/>
  <c r="N80" i="12"/>
  <c r="M80" i="12"/>
  <c r="L80" i="12"/>
  <c r="O80" i="12" s="1"/>
  <c r="P80" i="12" s="1"/>
  <c r="CQ80" i="12" s="1"/>
  <c r="G80" i="12"/>
  <c r="F80" i="12"/>
  <c r="E80" i="12"/>
  <c r="H80" i="12" s="1"/>
  <c r="CX79" i="12"/>
  <c r="CO79" i="12"/>
  <c r="CM79" i="12"/>
  <c r="CL79" i="12"/>
  <c r="CP79" i="12" s="1"/>
  <c r="CY79" i="12" s="1"/>
  <c r="CK79" i="12"/>
  <c r="CN79" i="12" s="1"/>
  <c r="CJ79" i="12"/>
  <c r="CI79" i="12"/>
  <c r="CA79" i="12"/>
  <c r="BZ79" i="12"/>
  <c r="BY79" i="12"/>
  <c r="BX79" i="12"/>
  <c r="BW79" i="12"/>
  <c r="BO79" i="12"/>
  <c r="BN79" i="12"/>
  <c r="BP79" i="12" s="1"/>
  <c r="BQ79" i="12" s="1"/>
  <c r="BI79" i="12"/>
  <c r="BJ79" i="12" s="1"/>
  <c r="BK79" i="12" s="1"/>
  <c r="BH79" i="12"/>
  <c r="BC79" i="12"/>
  <c r="BB79" i="12"/>
  <c r="AW79" i="12"/>
  <c r="AV79" i="12"/>
  <c r="AU79" i="12"/>
  <c r="AX79" i="12" s="1"/>
  <c r="AY79" i="12" s="1"/>
  <c r="CU79" i="12" s="1"/>
  <c r="AO79" i="12"/>
  <c r="AN79" i="12"/>
  <c r="AM79" i="12"/>
  <c r="AF79" i="12"/>
  <c r="AE79" i="12"/>
  <c r="AD79" i="12"/>
  <c r="AH79" i="12" s="1"/>
  <c r="AC79" i="12"/>
  <c r="AB79" i="12"/>
  <c r="AG79" i="12" s="1"/>
  <c r="T79" i="12"/>
  <c r="S79" i="12"/>
  <c r="N79" i="12"/>
  <c r="O79" i="12" s="1"/>
  <c r="P79" i="12" s="1"/>
  <c r="CQ79" i="12" s="1"/>
  <c r="M79" i="12"/>
  <c r="L79" i="12"/>
  <c r="G79" i="12"/>
  <c r="F79" i="12"/>
  <c r="E79" i="12"/>
  <c r="H79" i="12" s="1"/>
  <c r="CY78" i="12"/>
  <c r="CX78" i="12"/>
  <c r="CT78" i="12"/>
  <c r="CP78" i="12"/>
  <c r="CL78" i="12"/>
  <c r="CK78" i="12"/>
  <c r="CJ78" i="12"/>
  <c r="CN78" i="12" s="1"/>
  <c r="CI78" i="12"/>
  <c r="CM78" i="12" s="1"/>
  <c r="CO78" i="12" s="1"/>
  <c r="BZ78" i="12"/>
  <c r="BY78" i="12"/>
  <c r="BX78" i="12"/>
  <c r="CB78" i="12" s="1"/>
  <c r="BW78" i="12"/>
  <c r="CA78" i="12" s="1"/>
  <c r="BP78" i="12"/>
  <c r="BQ78" i="12" s="1"/>
  <c r="BO78" i="12"/>
  <c r="BN78" i="12"/>
  <c r="BI78" i="12"/>
  <c r="BH78" i="12"/>
  <c r="BE78" i="12"/>
  <c r="BC78" i="12"/>
  <c r="BD78" i="12" s="1"/>
  <c r="BB78" i="12"/>
  <c r="AW78" i="12"/>
  <c r="AX78" i="12" s="1"/>
  <c r="AY78" i="12" s="1"/>
  <c r="CU78" i="12" s="1"/>
  <c r="AV78" i="12"/>
  <c r="AU78" i="12"/>
  <c r="AO78" i="12"/>
  <c r="AN78" i="12"/>
  <c r="AM78" i="12"/>
  <c r="AQ78" i="12" s="1"/>
  <c r="AF78" i="12"/>
  <c r="AE78" i="12"/>
  <c r="AD78" i="12"/>
  <c r="AC78" i="12"/>
  <c r="AB78" i="12"/>
  <c r="T78" i="12"/>
  <c r="S78" i="12"/>
  <c r="N78" i="12"/>
  <c r="M78" i="12"/>
  <c r="L78" i="12"/>
  <c r="G78" i="12"/>
  <c r="F78" i="12"/>
  <c r="E78" i="12"/>
  <c r="H78" i="12" s="1"/>
  <c r="CP77" i="12"/>
  <c r="CY77" i="12" s="1"/>
  <c r="CN77" i="12"/>
  <c r="CL77" i="12"/>
  <c r="CK77" i="12"/>
  <c r="CJ77" i="12"/>
  <c r="CI77" i="12"/>
  <c r="CM77" i="12" s="1"/>
  <c r="CO77" i="12" s="1"/>
  <c r="CX77" i="12" s="1"/>
  <c r="BZ77" i="12"/>
  <c r="BY77" i="12"/>
  <c r="BX77" i="12"/>
  <c r="CB77" i="12" s="1"/>
  <c r="CC77" i="12" s="1"/>
  <c r="CD77" i="12" s="1"/>
  <c r="CW77" i="12" s="1"/>
  <c r="BW77" i="12"/>
  <c r="CA77" i="12" s="1"/>
  <c r="BO77" i="12"/>
  <c r="BN77" i="12"/>
  <c r="BP77" i="12" s="1"/>
  <c r="BQ77" i="12" s="1"/>
  <c r="BI77" i="12"/>
  <c r="BH77" i="12"/>
  <c r="BJ77" i="12" s="1"/>
  <c r="BK77" i="12" s="1"/>
  <c r="BE77" i="12"/>
  <c r="BC77" i="12"/>
  <c r="BD77" i="12" s="1"/>
  <c r="BB77" i="12"/>
  <c r="AW77" i="12"/>
  <c r="AV77" i="12"/>
  <c r="AU77" i="12"/>
  <c r="AX77" i="12" s="1"/>
  <c r="AY77" i="12" s="1"/>
  <c r="CU77" i="12" s="1"/>
  <c r="AO77" i="12"/>
  <c r="AN77" i="12"/>
  <c r="AM77" i="12"/>
  <c r="AQ77" i="12" s="1"/>
  <c r="CT77" i="12" s="1"/>
  <c r="AF77" i="12"/>
  <c r="AE77" i="12"/>
  <c r="AG77" i="12" s="1"/>
  <c r="AD77" i="12"/>
  <c r="AC77" i="12"/>
  <c r="AB77" i="12"/>
  <c r="T77" i="12"/>
  <c r="S77" i="12"/>
  <c r="V77" i="12" s="1"/>
  <c r="CR77" i="12" s="1"/>
  <c r="N77" i="12"/>
  <c r="M77" i="12"/>
  <c r="L77" i="12"/>
  <c r="G77" i="12"/>
  <c r="H77" i="12" s="1"/>
  <c r="F77" i="12"/>
  <c r="E77" i="12"/>
  <c r="CT76" i="12"/>
  <c r="CP76" i="12"/>
  <c r="CY76" i="12" s="1"/>
  <c r="CO76" i="12"/>
  <c r="CX76" i="12" s="1"/>
  <c r="CN76" i="12"/>
  <c r="CM76" i="12"/>
  <c r="CL76" i="12"/>
  <c r="CK76" i="12"/>
  <c r="CJ76" i="12"/>
  <c r="CI76" i="12"/>
  <c r="CB76" i="12"/>
  <c r="CA76" i="12"/>
  <c r="CC76" i="12" s="1"/>
  <c r="CD76" i="12" s="1"/>
  <c r="CW76" i="12" s="1"/>
  <c r="BZ76" i="12"/>
  <c r="BY76" i="12"/>
  <c r="BX76" i="12"/>
  <c r="BW76" i="12"/>
  <c r="BO76" i="12"/>
  <c r="BN76" i="12"/>
  <c r="BI76" i="12"/>
  <c r="BH76" i="12"/>
  <c r="BD76" i="12"/>
  <c r="BE76" i="12" s="1"/>
  <c r="BC76" i="12"/>
  <c r="BB76" i="12"/>
  <c r="AX76" i="12"/>
  <c r="AY76" i="12" s="1"/>
  <c r="CU76" i="12" s="1"/>
  <c r="AW76" i="12"/>
  <c r="AV76" i="12"/>
  <c r="AU76" i="12"/>
  <c r="AQ76" i="12"/>
  <c r="AP76" i="12"/>
  <c r="AO76" i="12"/>
  <c r="AN76" i="12"/>
  <c r="AM76" i="12"/>
  <c r="AF76" i="12"/>
  <c r="AE76" i="12"/>
  <c r="AD76" i="12"/>
  <c r="AC76" i="12"/>
  <c r="AB76" i="12"/>
  <c r="T76" i="12"/>
  <c r="V76" i="12" s="1"/>
  <c r="CR76" i="12" s="1"/>
  <c r="S76" i="12"/>
  <c r="N76" i="12"/>
  <c r="M76" i="12"/>
  <c r="O76" i="12" s="1"/>
  <c r="L76" i="12"/>
  <c r="G76" i="12"/>
  <c r="F76" i="12"/>
  <c r="E76" i="12"/>
  <c r="CM75" i="12"/>
  <c r="CL75" i="12"/>
  <c r="CP75" i="12" s="1"/>
  <c r="CY75" i="12" s="1"/>
  <c r="CK75" i="12"/>
  <c r="CJ75" i="12"/>
  <c r="CN75" i="12" s="1"/>
  <c r="CI75" i="12"/>
  <c r="CD75" i="12"/>
  <c r="CW75" i="12" s="1"/>
  <c r="CA75" i="12"/>
  <c r="CC75" i="12" s="1"/>
  <c r="BZ75" i="12"/>
  <c r="BY75" i="12"/>
  <c r="CB75" i="12" s="1"/>
  <c r="BX75" i="12"/>
  <c r="BW75" i="12"/>
  <c r="BO75" i="12"/>
  <c r="BP75" i="12" s="1"/>
  <c r="BQ75" i="12" s="1"/>
  <c r="BR75" i="12" s="1"/>
  <c r="CV75" i="12" s="1"/>
  <c r="BN75" i="12"/>
  <c r="BK75" i="12"/>
  <c r="BI75" i="12"/>
  <c r="BJ75" i="12" s="1"/>
  <c r="BH75" i="12"/>
  <c r="BC75" i="12"/>
  <c r="BB75" i="12"/>
  <c r="BD75" i="12" s="1"/>
  <c r="BE75" i="12" s="1"/>
  <c r="AW75" i="12"/>
  <c r="AV75" i="12"/>
  <c r="AU75" i="12"/>
  <c r="AO75" i="12"/>
  <c r="AN75" i="12"/>
  <c r="AM75" i="12"/>
  <c r="AF75" i="12"/>
  <c r="AE75" i="12"/>
  <c r="AD75" i="12"/>
  <c r="AC75" i="12"/>
  <c r="AB75" i="12"/>
  <c r="V75" i="12"/>
  <c r="CR75" i="12" s="1"/>
  <c r="T75" i="12"/>
  <c r="U75" i="12" s="1"/>
  <c r="S75" i="12"/>
  <c r="N75" i="12"/>
  <c r="M75" i="12"/>
  <c r="L75" i="12"/>
  <c r="O75" i="12" s="1"/>
  <c r="G75" i="12"/>
  <c r="F75" i="12"/>
  <c r="E75" i="12"/>
  <c r="H75" i="12" s="1"/>
  <c r="CS74" i="12"/>
  <c r="CO74" i="12"/>
  <c r="CX74" i="12" s="1"/>
  <c r="CM74" i="12"/>
  <c r="CL74" i="12"/>
  <c r="CP74" i="12" s="1"/>
  <c r="CY74" i="12" s="1"/>
  <c r="CK74" i="12"/>
  <c r="CJ74" i="12"/>
  <c r="CN74" i="12" s="1"/>
  <c r="CI74" i="12"/>
  <c r="CD74" i="12"/>
  <c r="CW74" i="12" s="1"/>
  <c r="CB74" i="12"/>
  <c r="CC74" i="12" s="1"/>
  <c r="CA74" i="12"/>
  <c r="BZ74" i="12"/>
  <c r="BY74" i="12"/>
  <c r="BX74" i="12"/>
  <c r="BW74" i="12"/>
  <c r="BO74" i="12"/>
  <c r="BN74" i="12"/>
  <c r="BP74" i="12" s="1"/>
  <c r="BQ74" i="12" s="1"/>
  <c r="BI74" i="12"/>
  <c r="BH74" i="12"/>
  <c r="BJ74" i="12" s="1"/>
  <c r="BK74" i="12" s="1"/>
  <c r="BC74" i="12"/>
  <c r="BB74" i="12"/>
  <c r="BD74" i="12" s="1"/>
  <c r="BE74" i="12" s="1"/>
  <c r="AW74" i="12"/>
  <c r="AV74" i="12"/>
  <c r="AU74" i="12"/>
  <c r="AQ74" i="12"/>
  <c r="CT74" i="12" s="1"/>
  <c r="AO74" i="12"/>
  <c r="AN74" i="12"/>
  <c r="AM74" i="12"/>
  <c r="AP74" i="12" s="1"/>
  <c r="AF74" i="12"/>
  <c r="AE74" i="12"/>
  <c r="AD74" i="12"/>
  <c r="AC74" i="12"/>
  <c r="AB74" i="12"/>
  <c r="AH74" i="12" s="1"/>
  <c r="T74" i="12"/>
  <c r="S74" i="12"/>
  <c r="N74" i="12"/>
  <c r="M74" i="12"/>
  <c r="L74" i="12"/>
  <c r="O74" i="12" s="1"/>
  <c r="G74" i="12"/>
  <c r="F74" i="12"/>
  <c r="E74" i="12"/>
  <c r="CY73" i="12"/>
  <c r="CN73" i="12"/>
  <c r="CL73" i="12"/>
  <c r="CP73" i="12" s="1"/>
  <c r="CK73" i="12"/>
  <c r="CJ73" i="12"/>
  <c r="CI73" i="12"/>
  <c r="CM73" i="12" s="1"/>
  <c r="CO73" i="12" s="1"/>
  <c r="CX73" i="12" s="1"/>
  <c r="CA73" i="12"/>
  <c r="CC73" i="12" s="1"/>
  <c r="CD73" i="12" s="1"/>
  <c r="CW73" i="12" s="1"/>
  <c r="BZ73" i="12"/>
  <c r="BY73" i="12"/>
  <c r="CB73" i="12" s="1"/>
  <c r="BX73" i="12"/>
  <c r="BW73" i="12"/>
  <c r="BO73" i="12"/>
  <c r="BN73" i="12"/>
  <c r="BP73" i="12" s="1"/>
  <c r="BQ73" i="12" s="1"/>
  <c r="BI73" i="12"/>
  <c r="BJ73" i="12" s="1"/>
  <c r="BK73" i="12" s="1"/>
  <c r="BH73" i="12"/>
  <c r="BC73" i="12"/>
  <c r="BB73" i="12"/>
  <c r="BD73" i="12" s="1"/>
  <c r="BE73" i="12" s="1"/>
  <c r="AX73" i="12"/>
  <c r="AY73" i="12" s="1"/>
  <c r="CU73" i="12" s="1"/>
  <c r="AW73" i="12"/>
  <c r="AV73" i="12"/>
  <c r="AU73" i="12"/>
  <c r="AO73" i="12"/>
  <c r="AN73" i="12"/>
  <c r="AQ73" i="12" s="1"/>
  <c r="CT73" i="12" s="1"/>
  <c r="AM73" i="12"/>
  <c r="AH73" i="12"/>
  <c r="AG73" i="12"/>
  <c r="AF73" i="12"/>
  <c r="AE73" i="12"/>
  <c r="AD73" i="12"/>
  <c r="AC73" i="12"/>
  <c r="AB73" i="12"/>
  <c r="T73" i="12"/>
  <c r="S73" i="12"/>
  <c r="N73" i="12"/>
  <c r="O73" i="12" s="1"/>
  <c r="P73" i="12" s="1"/>
  <c r="CQ73" i="12" s="1"/>
  <c r="M73" i="12"/>
  <c r="L73" i="12"/>
  <c r="G73" i="12"/>
  <c r="F73" i="12"/>
  <c r="E73" i="12"/>
  <c r="H73" i="12" s="1"/>
  <c r="CM72" i="12"/>
  <c r="CL72" i="12"/>
  <c r="CP72" i="12" s="1"/>
  <c r="CY72" i="12" s="1"/>
  <c r="CK72" i="12"/>
  <c r="CJ72" i="12"/>
  <c r="CI72" i="12"/>
  <c r="CA72" i="12"/>
  <c r="BZ72" i="12"/>
  <c r="BY72" i="12"/>
  <c r="BX72" i="12"/>
  <c r="CB72" i="12" s="1"/>
  <c r="BW72" i="12"/>
  <c r="BQ72" i="12"/>
  <c r="BP72" i="12"/>
  <c r="BO72" i="12"/>
  <c r="BN72" i="12"/>
  <c r="BI72" i="12"/>
  <c r="BH72" i="12"/>
  <c r="BJ72" i="12" s="1"/>
  <c r="BK72" i="12" s="1"/>
  <c r="BC72" i="12"/>
  <c r="BB72" i="12"/>
  <c r="BD72" i="12" s="1"/>
  <c r="BE72" i="12" s="1"/>
  <c r="AW72" i="12"/>
  <c r="AV72" i="12"/>
  <c r="AU72" i="12"/>
  <c r="AX72" i="12" s="1"/>
  <c r="AY72" i="12" s="1"/>
  <c r="CU72" i="12" s="1"/>
  <c r="AO72" i="12"/>
  <c r="AQ72" i="12" s="1"/>
  <c r="CT72" i="12" s="1"/>
  <c r="AN72" i="12"/>
  <c r="AM72" i="12"/>
  <c r="AF72" i="12"/>
  <c r="AE72" i="12"/>
  <c r="AH72" i="12" s="1"/>
  <c r="AD72" i="12"/>
  <c r="AC72" i="12"/>
  <c r="AB72" i="12"/>
  <c r="T72" i="12"/>
  <c r="U72" i="12" s="1"/>
  <c r="S72" i="12"/>
  <c r="N72" i="12"/>
  <c r="M72" i="12"/>
  <c r="L72" i="12"/>
  <c r="O72" i="12" s="1"/>
  <c r="G72" i="12"/>
  <c r="F72" i="12"/>
  <c r="E72" i="12"/>
  <c r="CY71" i="12"/>
  <c r="CT71" i="12"/>
  <c r="CM71" i="12"/>
  <c r="CL71" i="12"/>
  <c r="CP71" i="12" s="1"/>
  <c r="CK71" i="12"/>
  <c r="CJ71" i="12"/>
  <c r="CI71" i="12"/>
  <c r="BZ71" i="12"/>
  <c r="BY71" i="12"/>
  <c r="BX71" i="12"/>
  <c r="CB71" i="12" s="1"/>
  <c r="BW71" i="12"/>
  <c r="CA71" i="12" s="1"/>
  <c r="CC71" i="12" s="1"/>
  <c r="CD71" i="12" s="1"/>
  <c r="CW71" i="12" s="1"/>
  <c r="BO71" i="12"/>
  <c r="BN71" i="12"/>
  <c r="BI71" i="12"/>
  <c r="BH71" i="12"/>
  <c r="BJ71" i="12" s="1"/>
  <c r="BK71" i="12" s="1"/>
  <c r="BC71" i="12"/>
  <c r="BB71" i="12"/>
  <c r="AW71" i="12"/>
  <c r="AV71" i="12"/>
  <c r="AU71" i="12"/>
  <c r="AX71" i="12" s="1"/>
  <c r="AY71" i="12" s="1"/>
  <c r="CU71" i="12" s="1"/>
  <c r="AQ71" i="12"/>
  <c r="AP71" i="12"/>
  <c r="AO71" i="12"/>
  <c r="AN71" i="12"/>
  <c r="AM71" i="12"/>
  <c r="AF71" i="12"/>
  <c r="AE71" i="12"/>
  <c r="AD71" i="12"/>
  <c r="AC71" i="12"/>
  <c r="AB71" i="12"/>
  <c r="T71" i="12"/>
  <c r="S71" i="12"/>
  <c r="V71" i="12" s="1"/>
  <c r="CR71" i="12" s="1"/>
  <c r="N71" i="12"/>
  <c r="M71" i="12"/>
  <c r="L71" i="12"/>
  <c r="G71" i="12"/>
  <c r="F71" i="12"/>
  <c r="H71" i="12" s="1"/>
  <c r="E71" i="12"/>
  <c r="CR70" i="12"/>
  <c r="CL70" i="12"/>
  <c r="CP70" i="12" s="1"/>
  <c r="CY70" i="12" s="1"/>
  <c r="CK70" i="12"/>
  <c r="CJ70" i="12"/>
  <c r="CI70" i="12"/>
  <c r="CM70" i="12" s="1"/>
  <c r="BZ70" i="12"/>
  <c r="CB70" i="12" s="1"/>
  <c r="BY70" i="12"/>
  <c r="BX70" i="12"/>
  <c r="BW70" i="12"/>
  <c r="CA70" i="12" s="1"/>
  <c r="CC70" i="12" s="1"/>
  <c r="CD70" i="12" s="1"/>
  <c r="CW70" i="12" s="1"/>
  <c r="BO70" i="12"/>
  <c r="BP70" i="12" s="1"/>
  <c r="BQ70" i="12" s="1"/>
  <c r="BR70" i="12" s="1"/>
  <c r="CV70" i="12" s="1"/>
  <c r="BN70" i="12"/>
  <c r="BI70" i="12"/>
  <c r="BJ70" i="12" s="1"/>
  <c r="BK70" i="12" s="1"/>
  <c r="BH70" i="12"/>
  <c r="BC70" i="12"/>
  <c r="BB70" i="12"/>
  <c r="BD70" i="12" s="1"/>
  <c r="BE70" i="12" s="1"/>
  <c r="AW70" i="12"/>
  <c r="AV70" i="12"/>
  <c r="AU70" i="12"/>
  <c r="AO70" i="12"/>
  <c r="AN70" i="12"/>
  <c r="AM70" i="12"/>
  <c r="AQ70" i="12" s="1"/>
  <c r="CT70" i="12" s="1"/>
  <c r="AH70" i="12"/>
  <c r="CS70" i="12" s="1"/>
  <c r="AF70" i="12"/>
  <c r="AE70" i="12"/>
  <c r="AD70" i="12"/>
  <c r="AC70" i="12"/>
  <c r="AB70" i="12"/>
  <c r="V70" i="12"/>
  <c r="T70" i="12"/>
  <c r="S70" i="12"/>
  <c r="U70" i="12" s="1"/>
  <c r="N70" i="12"/>
  <c r="M70" i="12"/>
  <c r="L70" i="12"/>
  <c r="O70" i="12" s="1"/>
  <c r="G70" i="12"/>
  <c r="F70" i="12"/>
  <c r="E70" i="12"/>
  <c r="H70" i="12" s="1"/>
  <c r="CT69" i="12"/>
  <c r="CP69" i="12"/>
  <c r="CY69" i="12" s="1"/>
  <c r="CL69" i="12"/>
  <c r="CK69" i="12"/>
  <c r="CJ69" i="12"/>
  <c r="CN69" i="12" s="1"/>
  <c r="CO69" i="12" s="1"/>
  <c r="CX69" i="12" s="1"/>
  <c r="CI69" i="12"/>
  <c r="CM69" i="12" s="1"/>
  <c r="BZ69" i="12"/>
  <c r="BY69" i="12"/>
  <c r="BX69" i="12"/>
  <c r="CB69" i="12" s="1"/>
  <c r="BW69" i="12"/>
  <c r="CA69" i="12" s="1"/>
  <c r="CC69" i="12" s="1"/>
  <c r="CD69" i="12" s="1"/>
  <c r="CW69" i="12" s="1"/>
  <c r="BQ69" i="12"/>
  <c r="BO69" i="12"/>
  <c r="BN69" i="12"/>
  <c r="BP69" i="12" s="1"/>
  <c r="BI69" i="12"/>
  <c r="BH69" i="12"/>
  <c r="BE69" i="12"/>
  <c r="BC69" i="12"/>
  <c r="BB69" i="12"/>
  <c r="BD69" i="12" s="1"/>
  <c r="AW69" i="12"/>
  <c r="AV69" i="12"/>
  <c r="AU69" i="12"/>
  <c r="AX69" i="12" s="1"/>
  <c r="AY69" i="12" s="1"/>
  <c r="CU69" i="12" s="1"/>
  <c r="AQ69" i="12"/>
  <c r="AP69" i="12"/>
  <c r="AO69" i="12"/>
  <c r="AN69" i="12"/>
  <c r="AM69" i="12"/>
  <c r="AF69" i="12"/>
  <c r="AE69" i="12"/>
  <c r="AD69" i="12"/>
  <c r="AC69" i="12"/>
  <c r="AB69" i="12"/>
  <c r="T69" i="12"/>
  <c r="S69" i="12"/>
  <c r="N69" i="12"/>
  <c r="M69" i="12"/>
  <c r="L69" i="12"/>
  <c r="O69" i="12" s="1"/>
  <c r="G69" i="12"/>
  <c r="F69" i="12"/>
  <c r="E69" i="12"/>
  <c r="CY68" i="12"/>
  <c r="CP68" i="12"/>
  <c r="CN68" i="12"/>
  <c r="CO68" i="12" s="1"/>
  <c r="CX68" i="12" s="1"/>
  <c r="CM68" i="12"/>
  <c r="CL68" i="12"/>
  <c r="CK68" i="12"/>
  <c r="CJ68" i="12"/>
  <c r="CI68" i="12"/>
  <c r="CA68" i="12"/>
  <c r="BZ68" i="12"/>
  <c r="BY68" i="12"/>
  <c r="BX68" i="12"/>
  <c r="BW68" i="12"/>
  <c r="BQ68" i="12"/>
  <c r="BP68" i="12"/>
  <c r="BO68" i="12"/>
  <c r="BN68" i="12"/>
  <c r="BJ68" i="12"/>
  <c r="BK68" i="12" s="1"/>
  <c r="BI68" i="12"/>
  <c r="BH68" i="12"/>
  <c r="BD68" i="12"/>
  <c r="BE68" i="12" s="1"/>
  <c r="BC68" i="12"/>
  <c r="BB68" i="12"/>
  <c r="AW68" i="12"/>
  <c r="AV68" i="12"/>
  <c r="AU68" i="12"/>
  <c r="AX68" i="12" s="1"/>
  <c r="AY68" i="12" s="1"/>
  <c r="CU68" i="12" s="1"/>
  <c r="AO68" i="12"/>
  <c r="AN68" i="12"/>
  <c r="AQ68" i="12" s="1"/>
  <c r="CT68" i="12" s="1"/>
  <c r="AM68" i="12"/>
  <c r="AH68" i="12"/>
  <c r="CS68" i="12" s="1"/>
  <c r="AG68" i="12"/>
  <c r="AF68" i="12"/>
  <c r="AE68" i="12"/>
  <c r="AD68" i="12"/>
  <c r="AC68" i="12"/>
  <c r="AB68" i="12"/>
  <c r="T68" i="12"/>
  <c r="V68" i="12" s="1"/>
  <c r="CR68" i="12" s="1"/>
  <c r="S68" i="12"/>
  <c r="N68" i="12"/>
  <c r="M68" i="12"/>
  <c r="L68" i="12"/>
  <c r="O68" i="12" s="1"/>
  <c r="G68" i="12"/>
  <c r="F68" i="12"/>
  <c r="E68" i="12"/>
  <c r="H68" i="12" s="1"/>
  <c r="P68" i="12" s="1"/>
  <c r="CU67" i="12"/>
  <c r="CM67" i="12"/>
  <c r="CL67" i="12"/>
  <c r="CP67" i="12" s="1"/>
  <c r="CY67" i="12" s="1"/>
  <c r="CK67" i="12"/>
  <c r="CN67" i="12" s="1"/>
  <c r="CO67" i="12" s="1"/>
  <c r="CX67" i="12" s="1"/>
  <c r="CJ67" i="12"/>
  <c r="CI67" i="12"/>
  <c r="BZ67" i="12"/>
  <c r="BY67" i="12"/>
  <c r="BX67" i="12"/>
  <c r="CB67" i="12" s="1"/>
  <c r="BW67" i="12"/>
  <c r="CA67" i="12" s="1"/>
  <c r="CC67" i="12" s="1"/>
  <c r="CD67" i="12" s="1"/>
  <c r="CW67" i="12" s="1"/>
  <c r="BO67" i="12"/>
  <c r="BN67" i="12"/>
  <c r="BP67" i="12" s="1"/>
  <c r="BQ67" i="12" s="1"/>
  <c r="BJ67" i="12"/>
  <c r="BK67" i="12" s="1"/>
  <c r="BI67" i="12"/>
  <c r="BH67" i="12"/>
  <c r="BC67" i="12"/>
  <c r="BB67" i="12"/>
  <c r="AW67" i="12"/>
  <c r="AV67" i="12"/>
  <c r="AU67" i="12"/>
  <c r="AX67" i="12" s="1"/>
  <c r="AY67" i="12" s="1"/>
  <c r="AO67" i="12"/>
  <c r="AN67" i="12"/>
  <c r="AM67" i="12"/>
  <c r="AG67" i="12"/>
  <c r="AF67" i="12"/>
  <c r="AE67" i="12"/>
  <c r="AD67" i="12"/>
  <c r="AH67" i="12" s="1"/>
  <c r="AC67" i="12"/>
  <c r="AB67" i="12"/>
  <c r="U67" i="12"/>
  <c r="T67" i="12"/>
  <c r="V67" i="12" s="1"/>
  <c r="CR67" i="12" s="1"/>
  <c r="S67" i="12"/>
  <c r="O67" i="12"/>
  <c r="N67" i="12"/>
  <c r="M67" i="12"/>
  <c r="L67" i="12"/>
  <c r="G67" i="12"/>
  <c r="F67" i="12"/>
  <c r="E67" i="12"/>
  <c r="CO66" i="12"/>
  <c r="CX66" i="12" s="1"/>
  <c r="CM66" i="12"/>
  <c r="CL66" i="12"/>
  <c r="CP66" i="12" s="1"/>
  <c r="CY66" i="12" s="1"/>
  <c r="CK66" i="12"/>
  <c r="CN66" i="12" s="1"/>
  <c r="CJ66" i="12"/>
  <c r="CI66" i="12"/>
  <c r="BZ66" i="12"/>
  <c r="BY66" i="12"/>
  <c r="BX66" i="12"/>
  <c r="BW66" i="12"/>
  <c r="CA66" i="12" s="1"/>
  <c r="BO66" i="12"/>
  <c r="BN66" i="12"/>
  <c r="BP66" i="12" s="1"/>
  <c r="BQ66" i="12" s="1"/>
  <c r="BJ66" i="12"/>
  <c r="BK66" i="12" s="1"/>
  <c r="BI66" i="12"/>
  <c r="BH66" i="12"/>
  <c r="BD66" i="12"/>
  <c r="BE66" i="12" s="1"/>
  <c r="BC66" i="12"/>
  <c r="BB66" i="12"/>
  <c r="AW66" i="12"/>
  <c r="AX66" i="12" s="1"/>
  <c r="AY66" i="12" s="1"/>
  <c r="CU66" i="12" s="1"/>
  <c r="AV66" i="12"/>
  <c r="AU66" i="12"/>
  <c r="AO66" i="12"/>
  <c r="AN66" i="12"/>
  <c r="AM66" i="12"/>
  <c r="AF66" i="12"/>
  <c r="AE66" i="12"/>
  <c r="AD66" i="12"/>
  <c r="AC66" i="12"/>
  <c r="AB66" i="12"/>
  <c r="T66" i="12"/>
  <c r="S66" i="12"/>
  <c r="V66" i="12" s="1"/>
  <c r="CR66" i="12" s="1"/>
  <c r="O66" i="12"/>
  <c r="P66" i="12" s="1"/>
  <c r="CQ66" i="12" s="1"/>
  <c r="N66" i="12"/>
  <c r="M66" i="12"/>
  <c r="L66" i="12"/>
  <c r="G66" i="12"/>
  <c r="F66" i="12"/>
  <c r="E66" i="12"/>
  <c r="H66" i="12" s="1"/>
  <c r="CP65" i="12"/>
  <c r="CY65" i="12" s="1"/>
  <c r="CN65" i="12"/>
  <c r="CM65" i="12"/>
  <c r="CO65" i="12" s="1"/>
  <c r="CX65" i="12" s="1"/>
  <c r="CL65" i="12"/>
  <c r="CK65" i="12"/>
  <c r="CJ65" i="12"/>
  <c r="CI65" i="12"/>
  <c r="BZ65" i="12"/>
  <c r="BY65" i="12"/>
  <c r="BX65" i="12"/>
  <c r="CB65" i="12" s="1"/>
  <c r="BW65" i="12"/>
  <c r="CA65" i="12" s="1"/>
  <c r="CC65" i="12" s="1"/>
  <c r="CD65" i="12" s="1"/>
  <c r="CW65" i="12" s="1"/>
  <c r="BP65" i="12"/>
  <c r="BQ65" i="12" s="1"/>
  <c r="BO65" i="12"/>
  <c r="BN65" i="12"/>
  <c r="BI65" i="12"/>
  <c r="BJ65" i="12" s="1"/>
  <c r="BK65" i="12" s="1"/>
  <c r="BR65" i="12" s="1"/>
  <c r="CV65" i="12" s="1"/>
  <c r="BH65" i="12"/>
  <c r="BE65" i="12"/>
  <c r="BD65" i="12"/>
  <c r="BC65" i="12"/>
  <c r="BB65" i="12"/>
  <c r="AY65" i="12"/>
  <c r="CU65" i="12" s="1"/>
  <c r="AW65" i="12"/>
  <c r="AV65" i="12"/>
  <c r="AU65" i="12"/>
  <c r="AX65" i="12" s="1"/>
  <c r="AO65" i="12"/>
  <c r="AN65" i="12"/>
  <c r="AM65" i="12"/>
  <c r="AH65" i="12"/>
  <c r="AF65" i="12"/>
  <c r="AG65" i="12" s="1"/>
  <c r="AE65" i="12"/>
  <c r="AD65" i="12"/>
  <c r="AC65" i="12"/>
  <c r="AB65" i="12"/>
  <c r="T65" i="12"/>
  <c r="U65" i="12" s="1"/>
  <c r="S65" i="12"/>
  <c r="V65" i="12" s="1"/>
  <c r="CR65" i="12" s="1"/>
  <c r="N65" i="12"/>
  <c r="M65" i="12"/>
  <c r="L65" i="12"/>
  <c r="O65" i="12" s="1"/>
  <c r="P65" i="12" s="1"/>
  <c r="CQ65" i="12" s="1"/>
  <c r="H65" i="12"/>
  <c r="G65" i="12"/>
  <c r="F65" i="12"/>
  <c r="E65" i="12"/>
  <c r="CX64" i="12"/>
  <c r="CT64" i="12"/>
  <c r="CR64" i="12"/>
  <c r="CL64" i="12"/>
  <c r="CP64" i="12" s="1"/>
  <c r="CY64" i="12" s="1"/>
  <c r="CK64" i="12"/>
  <c r="CJ64" i="12"/>
  <c r="CN64" i="12" s="1"/>
  <c r="CI64" i="12"/>
  <c r="CM64" i="12" s="1"/>
  <c r="CO64" i="12" s="1"/>
  <c r="CB64" i="12"/>
  <c r="CA64" i="12"/>
  <c r="CC64" i="12" s="1"/>
  <c r="CD64" i="12" s="1"/>
  <c r="CW64" i="12" s="1"/>
  <c r="BZ64" i="12"/>
  <c r="BY64" i="12"/>
  <c r="BX64" i="12"/>
  <c r="BW64" i="12"/>
  <c r="BO64" i="12"/>
  <c r="BN64" i="12"/>
  <c r="BP64" i="12" s="1"/>
  <c r="BQ64" i="12" s="1"/>
  <c r="BR64" i="12" s="1"/>
  <c r="CV64" i="12" s="1"/>
  <c r="BJ64" i="12"/>
  <c r="BK64" i="12" s="1"/>
  <c r="BI64" i="12"/>
  <c r="BH64" i="12"/>
  <c r="BC64" i="12"/>
  <c r="BB64" i="12"/>
  <c r="BD64" i="12" s="1"/>
  <c r="BE64" i="12" s="1"/>
  <c r="AW64" i="12"/>
  <c r="AV64" i="12"/>
  <c r="AU64" i="12"/>
  <c r="AX64" i="12" s="1"/>
  <c r="AY64" i="12" s="1"/>
  <c r="CU64" i="12" s="1"/>
  <c r="AQ64" i="12"/>
  <c r="AP64" i="12"/>
  <c r="AO64" i="12"/>
  <c r="AN64" i="12"/>
  <c r="AM64" i="12"/>
  <c r="AF64" i="12"/>
  <c r="AE64" i="12"/>
  <c r="AD64" i="12"/>
  <c r="AC64" i="12"/>
  <c r="AH64" i="12" s="1"/>
  <c r="AB64" i="12"/>
  <c r="V64" i="12"/>
  <c r="T64" i="12"/>
  <c r="S64" i="12"/>
  <c r="U64" i="12" s="1"/>
  <c r="N64" i="12"/>
  <c r="M64" i="12"/>
  <c r="L64" i="12"/>
  <c r="O64" i="12" s="1"/>
  <c r="G64" i="12"/>
  <c r="F64" i="12"/>
  <c r="E64" i="12"/>
  <c r="CM63" i="12"/>
  <c r="CO63" i="12" s="1"/>
  <c r="CX63" i="12" s="1"/>
  <c r="CL63" i="12"/>
  <c r="CP63" i="12" s="1"/>
  <c r="CY63" i="12" s="1"/>
  <c r="CK63" i="12"/>
  <c r="CN63" i="12" s="1"/>
  <c r="CJ63" i="12"/>
  <c r="CI63" i="12"/>
  <c r="CA63" i="12"/>
  <c r="BZ63" i="12"/>
  <c r="BY63" i="12"/>
  <c r="CB63" i="12" s="1"/>
  <c r="BX63" i="12"/>
  <c r="BW63" i="12"/>
  <c r="BP63" i="12"/>
  <c r="BQ63" i="12" s="1"/>
  <c r="BO63" i="12"/>
  <c r="BN63" i="12"/>
  <c r="BJ63" i="12"/>
  <c r="BK63" i="12" s="1"/>
  <c r="BI63" i="12"/>
  <c r="BH63" i="12"/>
  <c r="BC63" i="12"/>
  <c r="BB63" i="12"/>
  <c r="AW63" i="12"/>
  <c r="AX63" i="12" s="1"/>
  <c r="AY63" i="12" s="1"/>
  <c r="CU63" i="12" s="1"/>
  <c r="AV63" i="12"/>
  <c r="AU63" i="12"/>
  <c r="AO63" i="12"/>
  <c r="AN63" i="12"/>
  <c r="AQ63" i="12" s="1"/>
  <c r="CT63" i="12" s="1"/>
  <c r="AM63" i="12"/>
  <c r="AF63" i="12"/>
  <c r="AE63" i="12"/>
  <c r="AD63" i="12"/>
  <c r="AC63" i="12"/>
  <c r="AB63" i="12"/>
  <c r="T63" i="12"/>
  <c r="S63" i="12"/>
  <c r="V63" i="12" s="1"/>
  <c r="CR63" i="12" s="1"/>
  <c r="N63" i="12"/>
  <c r="M63" i="12"/>
  <c r="O63" i="12" s="1"/>
  <c r="P63" i="12" s="1"/>
  <c r="CQ63" i="12" s="1"/>
  <c r="L63" i="12"/>
  <c r="H63" i="12"/>
  <c r="G63" i="12"/>
  <c r="F63" i="12"/>
  <c r="E63" i="12"/>
  <c r="CR62" i="12"/>
  <c r="CL62" i="12"/>
  <c r="CP62" i="12" s="1"/>
  <c r="CY62" i="12" s="1"/>
  <c r="CK62" i="12"/>
  <c r="CJ62" i="12"/>
  <c r="CN62" i="12" s="1"/>
  <c r="CI62" i="12"/>
  <c r="CM62" i="12" s="1"/>
  <c r="BZ62" i="12"/>
  <c r="BY62" i="12"/>
  <c r="BX62" i="12"/>
  <c r="CB62" i="12" s="1"/>
  <c r="CC62" i="12" s="1"/>
  <c r="CD62" i="12" s="1"/>
  <c r="CW62" i="12" s="1"/>
  <c r="BW62" i="12"/>
  <c r="CA62" i="12" s="1"/>
  <c r="BO62" i="12"/>
  <c r="BN62" i="12"/>
  <c r="BP62" i="12" s="1"/>
  <c r="BQ62" i="12" s="1"/>
  <c r="BK62" i="12"/>
  <c r="BJ62" i="12"/>
  <c r="BI62" i="12"/>
  <c r="BH62" i="12"/>
  <c r="BC62" i="12"/>
  <c r="BB62" i="12"/>
  <c r="BD62" i="12" s="1"/>
  <c r="BE62" i="12" s="1"/>
  <c r="AW62" i="12"/>
  <c r="AV62" i="12"/>
  <c r="AU62" i="12"/>
  <c r="AX62" i="12" s="1"/>
  <c r="AY62" i="12" s="1"/>
  <c r="CU62" i="12" s="1"/>
  <c r="AO62" i="12"/>
  <c r="AN62" i="12"/>
  <c r="AQ62" i="12" s="1"/>
  <c r="CT62" i="12" s="1"/>
  <c r="AM62" i="12"/>
  <c r="AF62" i="12"/>
  <c r="AE62" i="12"/>
  <c r="AD62" i="12"/>
  <c r="AC62" i="12"/>
  <c r="AB62" i="12"/>
  <c r="V62" i="12"/>
  <c r="U62" i="12"/>
  <c r="T62" i="12"/>
  <c r="S62" i="12"/>
  <c r="N62" i="12"/>
  <c r="M62" i="12"/>
  <c r="L62" i="12"/>
  <c r="O62" i="12" s="1"/>
  <c r="P62" i="12" s="1"/>
  <c r="CQ62" i="12" s="1"/>
  <c r="H62" i="12"/>
  <c r="G62" i="12"/>
  <c r="F62" i="12"/>
  <c r="E62" i="12"/>
  <c r="CY61" i="12"/>
  <c r="CP61" i="12"/>
  <c r="CN61" i="12"/>
  <c r="CM61" i="12"/>
  <c r="CO61" i="12" s="1"/>
  <c r="CX61" i="12" s="1"/>
  <c r="CL61" i="12"/>
  <c r="CK61" i="12"/>
  <c r="CJ61" i="12"/>
  <c r="CI61" i="12"/>
  <c r="BZ61" i="12"/>
  <c r="BY61" i="12"/>
  <c r="BX61" i="12"/>
  <c r="CB61" i="12" s="1"/>
  <c r="BW61" i="12"/>
  <c r="CA61" i="12" s="1"/>
  <c r="BQ61" i="12"/>
  <c r="BO61" i="12"/>
  <c r="BN61" i="12"/>
  <c r="BP61" i="12" s="1"/>
  <c r="BI61" i="12"/>
  <c r="BJ61" i="12" s="1"/>
  <c r="BK61" i="12" s="1"/>
  <c r="BR61" i="12" s="1"/>
  <c r="CV61" i="12" s="1"/>
  <c r="BH61" i="12"/>
  <c r="BC61" i="12"/>
  <c r="BB61" i="12"/>
  <c r="BD61" i="12" s="1"/>
  <c r="BE61" i="12" s="1"/>
  <c r="AW61" i="12"/>
  <c r="AV61" i="12"/>
  <c r="AU61" i="12"/>
  <c r="AX61" i="12" s="1"/>
  <c r="AY61" i="12" s="1"/>
  <c r="CU61" i="12" s="1"/>
  <c r="AO61" i="12"/>
  <c r="AN61" i="12"/>
  <c r="AM61" i="12"/>
  <c r="AF61" i="12"/>
  <c r="AE61" i="12"/>
  <c r="AD61" i="12"/>
  <c r="AC61" i="12"/>
  <c r="AB61" i="12"/>
  <c r="AH61" i="12" s="1"/>
  <c r="T61" i="12"/>
  <c r="V61" i="12" s="1"/>
  <c r="CR61" i="12" s="1"/>
  <c r="S61" i="12"/>
  <c r="N61" i="12"/>
  <c r="O61" i="12" s="1"/>
  <c r="P61" i="12" s="1"/>
  <c r="CQ61" i="12" s="1"/>
  <c r="M61" i="12"/>
  <c r="L61" i="12"/>
  <c r="G61" i="12"/>
  <c r="F61" i="12"/>
  <c r="E61" i="12"/>
  <c r="H61" i="12" s="1"/>
  <c r="CN60" i="12"/>
  <c r="CL60" i="12"/>
  <c r="CP60" i="12" s="1"/>
  <c r="CY60" i="12" s="1"/>
  <c r="CK60" i="12"/>
  <c r="CJ60" i="12"/>
  <c r="CI60" i="12"/>
  <c r="CM60" i="12" s="1"/>
  <c r="CO60" i="12" s="1"/>
  <c r="CX60" i="12" s="1"/>
  <c r="CC60" i="12"/>
  <c r="CD60" i="12" s="1"/>
  <c r="CW60" i="12" s="1"/>
  <c r="CB60" i="12"/>
  <c r="CA60" i="12"/>
  <c r="BZ60" i="12"/>
  <c r="BY60" i="12"/>
  <c r="BX60" i="12"/>
  <c r="BW60" i="12"/>
  <c r="BP60" i="12"/>
  <c r="BQ60" i="12" s="1"/>
  <c r="BO60" i="12"/>
  <c r="BN60" i="12"/>
  <c r="BI60" i="12"/>
  <c r="BH60" i="12"/>
  <c r="BJ60" i="12" s="1"/>
  <c r="BK60" i="12" s="1"/>
  <c r="BC60" i="12"/>
  <c r="BB60" i="12"/>
  <c r="BD60" i="12" s="1"/>
  <c r="BE60" i="12" s="1"/>
  <c r="AW60" i="12"/>
  <c r="AV60" i="12"/>
  <c r="AU60" i="12"/>
  <c r="AX60" i="12" s="1"/>
  <c r="AY60" i="12" s="1"/>
  <c r="CU60" i="12" s="1"/>
  <c r="AO60" i="12"/>
  <c r="AN60" i="12"/>
  <c r="AM60" i="12"/>
  <c r="AF60" i="12"/>
  <c r="AE60" i="12"/>
  <c r="AH60" i="12" s="1"/>
  <c r="AD60" i="12"/>
  <c r="AC60" i="12"/>
  <c r="AB60" i="12"/>
  <c r="T60" i="12"/>
  <c r="S60" i="12"/>
  <c r="V60" i="12" s="1"/>
  <c r="CR60" i="12" s="1"/>
  <c r="N60" i="12"/>
  <c r="M60" i="12"/>
  <c r="L60" i="12"/>
  <c r="O60" i="12" s="1"/>
  <c r="G60" i="12"/>
  <c r="F60" i="12"/>
  <c r="E60" i="12"/>
  <c r="CL59" i="12"/>
  <c r="CP59" i="12" s="1"/>
  <c r="CY59" i="12" s="1"/>
  <c r="CK59" i="12"/>
  <c r="CJ59" i="12"/>
  <c r="CN59" i="12" s="1"/>
  <c r="CI59" i="12"/>
  <c r="CM59" i="12" s="1"/>
  <c r="CO59" i="12" s="1"/>
  <c r="CX59" i="12" s="1"/>
  <c r="CB59" i="12"/>
  <c r="CA59" i="12"/>
  <c r="CC59" i="12" s="1"/>
  <c r="CD59" i="12" s="1"/>
  <c r="CW59" i="12" s="1"/>
  <c r="BZ59" i="12"/>
  <c r="BY59" i="12"/>
  <c r="BX59" i="12"/>
  <c r="BW59" i="12"/>
  <c r="BP59" i="12"/>
  <c r="BQ59" i="12" s="1"/>
  <c r="BR59" i="12" s="1"/>
  <c r="CV59" i="12" s="1"/>
  <c r="BO59" i="12"/>
  <c r="BN59" i="12"/>
  <c r="BK59" i="12"/>
  <c r="BI59" i="12"/>
  <c r="BH59" i="12"/>
  <c r="BJ59" i="12" s="1"/>
  <c r="BC59" i="12"/>
  <c r="BB59" i="12"/>
  <c r="BD59" i="12" s="1"/>
  <c r="BE59" i="12" s="1"/>
  <c r="AW59" i="12"/>
  <c r="AV59" i="12"/>
  <c r="AX59" i="12" s="1"/>
  <c r="AY59" i="12" s="1"/>
  <c r="CU59" i="12" s="1"/>
  <c r="AU59" i="12"/>
  <c r="AP59" i="12"/>
  <c r="AO59" i="12"/>
  <c r="AN59" i="12"/>
  <c r="AQ59" i="12" s="1"/>
  <c r="CT59" i="12" s="1"/>
  <c r="AM59" i="12"/>
  <c r="AG59" i="12"/>
  <c r="AF59" i="12"/>
  <c r="AE59" i="12"/>
  <c r="AH59" i="12" s="1"/>
  <c r="CS59" i="12" s="1"/>
  <c r="AD59" i="12"/>
  <c r="AC59" i="12"/>
  <c r="AB59" i="12"/>
  <c r="T59" i="12"/>
  <c r="S59" i="12"/>
  <c r="N59" i="12"/>
  <c r="M59" i="12"/>
  <c r="L59" i="12"/>
  <c r="O59" i="12" s="1"/>
  <c r="G59" i="12"/>
  <c r="H59" i="12" s="1"/>
  <c r="F59" i="12"/>
  <c r="E59" i="12"/>
  <c r="CY58" i="12"/>
  <c r="CU58" i="12"/>
  <c r="CR58" i="12"/>
  <c r="CM58" i="12"/>
  <c r="CL58" i="12"/>
  <c r="CP58" i="12" s="1"/>
  <c r="CK58" i="12"/>
  <c r="CJ58" i="12"/>
  <c r="CN58" i="12" s="1"/>
  <c r="CI58" i="12"/>
  <c r="BZ58" i="12"/>
  <c r="BY58" i="12"/>
  <c r="BX58" i="12"/>
  <c r="BW58" i="12"/>
  <c r="CA58" i="12" s="1"/>
  <c r="BO58" i="12"/>
  <c r="BP58" i="12" s="1"/>
  <c r="BQ58" i="12" s="1"/>
  <c r="BR58" i="12" s="1"/>
  <c r="CV58" i="12" s="1"/>
  <c r="BN58" i="12"/>
  <c r="BJ58" i="12"/>
  <c r="BK58" i="12" s="1"/>
  <c r="BI58" i="12"/>
  <c r="BH58" i="12"/>
  <c r="BC58" i="12"/>
  <c r="BB58" i="12"/>
  <c r="BD58" i="12" s="1"/>
  <c r="BE58" i="12" s="1"/>
  <c r="AX58" i="12"/>
  <c r="AY58" i="12" s="1"/>
  <c r="AW58" i="12"/>
  <c r="AV58" i="12"/>
  <c r="AU58" i="12"/>
  <c r="AO58" i="12"/>
  <c r="AN58" i="12"/>
  <c r="AM58" i="12"/>
  <c r="AF58" i="12"/>
  <c r="AE58" i="12"/>
  <c r="AD58" i="12"/>
  <c r="AC58" i="12"/>
  <c r="AB58" i="12"/>
  <c r="AH58" i="12" s="1"/>
  <c r="V58" i="12"/>
  <c r="T58" i="12"/>
  <c r="S58" i="12"/>
  <c r="U58" i="12" s="1"/>
  <c r="N58" i="12"/>
  <c r="O58" i="12" s="1"/>
  <c r="M58" i="12"/>
  <c r="L58" i="12"/>
  <c r="G58" i="12"/>
  <c r="F58" i="12"/>
  <c r="E58" i="12"/>
  <c r="H58" i="12" s="1"/>
  <c r="CU57" i="12"/>
  <c r="CP57" i="12"/>
  <c r="CY57" i="12" s="1"/>
  <c r="CL57" i="12"/>
  <c r="CK57" i="12"/>
  <c r="CJ57" i="12"/>
  <c r="CI57" i="12"/>
  <c r="CM57" i="12" s="1"/>
  <c r="CA57" i="12"/>
  <c r="BZ57" i="12"/>
  <c r="BY57" i="12"/>
  <c r="CB57" i="12" s="1"/>
  <c r="CC57" i="12" s="1"/>
  <c r="CD57" i="12" s="1"/>
  <c r="CW57" i="12" s="1"/>
  <c r="BX57" i="12"/>
  <c r="BW57" i="12"/>
  <c r="BP57" i="12"/>
  <c r="BQ57" i="12" s="1"/>
  <c r="BO57" i="12"/>
  <c r="BN57" i="12"/>
  <c r="BI57" i="12"/>
  <c r="BJ57" i="12" s="1"/>
  <c r="BK57" i="12" s="1"/>
  <c r="BH57" i="12"/>
  <c r="BE57" i="12"/>
  <c r="BC57" i="12"/>
  <c r="BB57" i="12"/>
  <c r="BD57" i="12" s="1"/>
  <c r="AW57" i="12"/>
  <c r="AV57" i="12"/>
  <c r="AX57" i="12" s="1"/>
  <c r="AY57" i="12" s="1"/>
  <c r="AU57" i="12"/>
  <c r="AQ57" i="12"/>
  <c r="CT57" i="12" s="1"/>
  <c r="AO57" i="12"/>
  <c r="AN57" i="12"/>
  <c r="AM57" i="12"/>
  <c r="AP57" i="12" s="1"/>
  <c r="AF57" i="12"/>
  <c r="AE57" i="12"/>
  <c r="AD57" i="12"/>
  <c r="AC57" i="12"/>
  <c r="AB57" i="12"/>
  <c r="V57" i="12"/>
  <c r="CR57" i="12" s="1"/>
  <c r="U57" i="12"/>
  <c r="T57" i="12"/>
  <c r="S57" i="12"/>
  <c r="N57" i="12"/>
  <c r="M57" i="12"/>
  <c r="L57" i="12"/>
  <c r="H57" i="12"/>
  <c r="G57" i="12"/>
  <c r="F57" i="12"/>
  <c r="E57" i="12"/>
  <c r="CP56" i="12"/>
  <c r="CY56" i="12" s="1"/>
  <c r="CN56" i="12"/>
  <c r="CL56" i="12"/>
  <c r="CK56" i="12"/>
  <c r="CJ56" i="12"/>
  <c r="CI56" i="12"/>
  <c r="CM56" i="12" s="1"/>
  <c r="CO56" i="12" s="1"/>
  <c r="CX56" i="12" s="1"/>
  <c r="CA56" i="12"/>
  <c r="BZ56" i="12"/>
  <c r="CB56" i="12" s="1"/>
  <c r="BY56" i="12"/>
  <c r="BX56" i="12"/>
  <c r="BW56" i="12"/>
  <c r="BO56" i="12"/>
  <c r="BN56" i="12"/>
  <c r="BP56" i="12" s="1"/>
  <c r="BQ56" i="12" s="1"/>
  <c r="BI56" i="12"/>
  <c r="BH56" i="12"/>
  <c r="BE56" i="12"/>
  <c r="BD56" i="12"/>
  <c r="BC56" i="12"/>
  <c r="BB56" i="12"/>
  <c r="AW56" i="12"/>
  <c r="AV56" i="12"/>
  <c r="AU56" i="12"/>
  <c r="AX56" i="12" s="1"/>
  <c r="AY56" i="12" s="1"/>
  <c r="CU56" i="12" s="1"/>
  <c r="AO56" i="12"/>
  <c r="AN56" i="12"/>
  <c r="AM56" i="12"/>
  <c r="AP56" i="12" s="1"/>
  <c r="AH56" i="12"/>
  <c r="AF56" i="12"/>
  <c r="AE56" i="12"/>
  <c r="AD56" i="12"/>
  <c r="AC56" i="12"/>
  <c r="AB56" i="12"/>
  <c r="AG56" i="12" s="1"/>
  <c r="T56" i="12"/>
  <c r="S56" i="12"/>
  <c r="N56" i="12"/>
  <c r="M56" i="12"/>
  <c r="L56" i="12"/>
  <c r="O56" i="12" s="1"/>
  <c r="G56" i="12"/>
  <c r="H56" i="12" s="1"/>
  <c r="F56" i="12"/>
  <c r="E56" i="12"/>
  <c r="CM55" i="12"/>
  <c r="CL55" i="12"/>
  <c r="CP55" i="12" s="1"/>
  <c r="CY55" i="12" s="1"/>
  <c r="CK55" i="12"/>
  <c r="CN55" i="12" s="1"/>
  <c r="CO55" i="12" s="1"/>
  <c r="CX55" i="12" s="1"/>
  <c r="CJ55" i="12"/>
  <c r="CI55" i="12"/>
  <c r="CA55" i="12"/>
  <c r="BZ55" i="12"/>
  <c r="BY55" i="12"/>
  <c r="BX55" i="12"/>
  <c r="CB55" i="12" s="1"/>
  <c r="BW55" i="12"/>
  <c r="BO55" i="12"/>
  <c r="BN55" i="12"/>
  <c r="BJ55" i="12"/>
  <c r="BK55" i="12" s="1"/>
  <c r="BI55" i="12"/>
  <c r="BH55" i="12"/>
  <c r="BC55" i="12"/>
  <c r="BD55" i="12" s="1"/>
  <c r="BE55" i="12" s="1"/>
  <c r="BB55" i="12"/>
  <c r="AW55" i="12"/>
  <c r="AV55" i="12"/>
  <c r="AU55" i="12"/>
  <c r="AX55" i="12" s="1"/>
  <c r="AY55" i="12" s="1"/>
  <c r="CU55" i="12" s="1"/>
  <c r="AO55" i="12"/>
  <c r="AN55" i="12"/>
  <c r="AM55" i="12"/>
  <c r="AQ55" i="12" s="1"/>
  <c r="CT55" i="12" s="1"/>
  <c r="AF55" i="12"/>
  <c r="AE55" i="12"/>
  <c r="AD55" i="12"/>
  <c r="AC55" i="12"/>
  <c r="AB55" i="12"/>
  <c r="V55" i="12"/>
  <c r="CR55" i="12" s="1"/>
  <c r="T55" i="12"/>
  <c r="U55" i="12" s="1"/>
  <c r="S55" i="12"/>
  <c r="O55" i="12"/>
  <c r="N55" i="12"/>
  <c r="M55" i="12"/>
  <c r="L55" i="12"/>
  <c r="G55" i="12"/>
  <c r="F55" i="12"/>
  <c r="E55" i="12"/>
  <c r="H55" i="12" s="1"/>
  <c r="P55" i="12" s="1"/>
  <c r="CQ55" i="12" s="1"/>
  <c r="CR54" i="12"/>
  <c r="CP54" i="12"/>
  <c r="CY54" i="12" s="1"/>
  <c r="CL54" i="12"/>
  <c r="CK54" i="12"/>
  <c r="CJ54" i="12"/>
  <c r="CN54" i="12" s="1"/>
  <c r="CI54" i="12"/>
  <c r="CM54" i="12" s="1"/>
  <c r="BZ54" i="12"/>
  <c r="BY54" i="12"/>
  <c r="BX54" i="12"/>
  <c r="BW54" i="12"/>
  <c r="CA54" i="12" s="1"/>
  <c r="BQ54" i="12"/>
  <c r="BP54" i="12"/>
  <c r="BO54" i="12"/>
  <c r="BN54" i="12"/>
  <c r="BI54" i="12"/>
  <c r="BH54" i="12"/>
  <c r="BJ54" i="12" s="1"/>
  <c r="BK54" i="12" s="1"/>
  <c r="BE54" i="12"/>
  <c r="BD54" i="12"/>
  <c r="BC54" i="12"/>
  <c r="BB54" i="12"/>
  <c r="AW54" i="12"/>
  <c r="AV54" i="12"/>
  <c r="AU54" i="12"/>
  <c r="AX54" i="12" s="1"/>
  <c r="AY54" i="12" s="1"/>
  <c r="CU54" i="12" s="1"/>
  <c r="AO54" i="12"/>
  <c r="AN54" i="12"/>
  <c r="AM54" i="12"/>
  <c r="AG54" i="12"/>
  <c r="AF54" i="12"/>
  <c r="AE54" i="12"/>
  <c r="AD54" i="12"/>
  <c r="AH54" i="12" s="1"/>
  <c r="AC54" i="12"/>
  <c r="AB54" i="12"/>
  <c r="T54" i="12"/>
  <c r="S54" i="12"/>
  <c r="V54" i="12" s="1"/>
  <c r="O54" i="12"/>
  <c r="N54" i="12"/>
  <c r="M54" i="12"/>
  <c r="L54" i="12"/>
  <c r="G54" i="12"/>
  <c r="F54" i="12"/>
  <c r="E54" i="12"/>
  <c r="H54" i="12" s="1"/>
  <c r="CR53" i="12"/>
  <c r="CP53" i="12"/>
  <c r="CY53" i="12" s="1"/>
  <c r="CN53" i="12"/>
  <c r="CM53" i="12"/>
  <c r="CO53" i="12" s="1"/>
  <c r="CX53" i="12" s="1"/>
  <c r="CL53" i="12"/>
  <c r="CK53" i="12"/>
  <c r="CJ53" i="12"/>
  <c r="CI53" i="12"/>
  <c r="BZ53" i="12"/>
  <c r="BY53" i="12"/>
  <c r="BX53" i="12"/>
  <c r="CB53" i="12" s="1"/>
  <c r="BW53" i="12"/>
  <c r="CA53" i="12" s="1"/>
  <c r="BO53" i="12"/>
  <c r="BP53" i="12" s="1"/>
  <c r="BQ53" i="12" s="1"/>
  <c r="BN53" i="12"/>
  <c r="BJ53" i="12"/>
  <c r="BK53" i="12" s="1"/>
  <c r="BI53" i="12"/>
  <c r="BH53" i="12"/>
  <c r="BC53" i="12"/>
  <c r="BB53" i="12"/>
  <c r="BD53" i="12" s="1"/>
  <c r="BE53" i="12" s="1"/>
  <c r="AX53" i="12"/>
  <c r="AY53" i="12" s="1"/>
  <c r="CU53" i="12" s="1"/>
  <c r="AW53" i="12"/>
  <c r="AV53" i="12"/>
  <c r="AU53" i="12"/>
  <c r="AO53" i="12"/>
  <c r="AN53" i="12"/>
  <c r="AM53" i="12"/>
  <c r="AF53" i="12"/>
  <c r="AE53" i="12"/>
  <c r="AD53" i="12"/>
  <c r="AC53" i="12"/>
  <c r="AB53" i="12"/>
  <c r="AH53" i="12" s="1"/>
  <c r="T53" i="12"/>
  <c r="S53" i="12"/>
  <c r="V53" i="12" s="1"/>
  <c r="O53" i="12"/>
  <c r="N53" i="12"/>
  <c r="M53" i="12"/>
  <c r="L53" i="12"/>
  <c r="G53" i="12"/>
  <c r="F53" i="12"/>
  <c r="E53" i="12"/>
  <c r="H53" i="12" s="1"/>
  <c r="P53" i="12" s="1"/>
  <c r="CQ53" i="12" s="1"/>
  <c r="CM52" i="12"/>
  <c r="CL52" i="12"/>
  <c r="CP52" i="12" s="1"/>
  <c r="CY52" i="12" s="1"/>
  <c r="CK52" i="12"/>
  <c r="CJ52" i="12"/>
  <c r="CN52" i="12" s="1"/>
  <c r="CI52" i="12"/>
  <c r="BZ52" i="12"/>
  <c r="BY52" i="12"/>
  <c r="BX52" i="12"/>
  <c r="BW52" i="12"/>
  <c r="CA52" i="12" s="1"/>
  <c r="BO52" i="12"/>
  <c r="BP52" i="12" s="1"/>
  <c r="BQ52" i="12" s="1"/>
  <c r="BR52" i="12" s="1"/>
  <c r="CV52" i="12" s="1"/>
  <c r="BN52" i="12"/>
  <c r="BI52" i="12"/>
  <c r="BH52" i="12"/>
  <c r="BJ52" i="12" s="1"/>
  <c r="BK52" i="12" s="1"/>
  <c r="BC52" i="12"/>
  <c r="BB52" i="12"/>
  <c r="BD52" i="12" s="1"/>
  <c r="BE52" i="12" s="1"/>
  <c r="AY52" i="12"/>
  <c r="CU52" i="12" s="1"/>
  <c r="AX52" i="12"/>
  <c r="AW52" i="12"/>
  <c r="AV52" i="12"/>
  <c r="AU52" i="12"/>
  <c r="AO52" i="12"/>
  <c r="AN52" i="12"/>
  <c r="AM52" i="12"/>
  <c r="AQ52" i="12" s="1"/>
  <c r="CT52" i="12" s="1"/>
  <c r="AF52" i="12"/>
  <c r="AE52" i="12"/>
  <c r="AD52" i="12"/>
  <c r="AC52" i="12"/>
  <c r="AB52" i="12"/>
  <c r="T52" i="12"/>
  <c r="S52" i="12"/>
  <c r="V52" i="12" s="1"/>
  <c r="CR52" i="12" s="1"/>
  <c r="N52" i="12"/>
  <c r="M52" i="12"/>
  <c r="O52" i="12" s="1"/>
  <c r="P52" i="12" s="1"/>
  <c r="CQ52" i="12" s="1"/>
  <c r="L52" i="12"/>
  <c r="H52" i="12"/>
  <c r="G52" i="12"/>
  <c r="F52" i="12"/>
  <c r="E52" i="12"/>
  <c r="CQ51" i="12"/>
  <c r="CO51" i="12"/>
  <c r="CX51" i="12" s="1"/>
  <c r="CN51" i="12"/>
  <c r="CL51" i="12"/>
  <c r="CP51" i="12" s="1"/>
  <c r="CY51" i="12" s="1"/>
  <c r="CK51" i="12"/>
  <c r="CJ51" i="12"/>
  <c r="CI51" i="12"/>
  <c r="CM51" i="12" s="1"/>
  <c r="BZ51" i="12"/>
  <c r="BY51" i="12"/>
  <c r="BX51" i="12"/>
  <c r="CB51" i="12" s="1"/>
  <c r="BW51" i="12"/>
  <c r="CA51" i="12" s="1"/>
  <c r="BO51" i="12"/>
  <c r="BN51" i="12"/>
  <c r="BP51" i="12" s="1"/>
  <c r="BQ51" i="12" s="1"/>
  <c r="BI51" i="12"/>
  <c r="BH51" i="12"/>
  <c r="BJ51" i="12" s="1"/>
  <c r="BK51" i="12" s="1"/>
  <c r="BC51" i="12"/>
  <c r="BB51" i="12"/>
  <c r="BD51" i="12" s="1"/>
  <c r="BE51" i="12" s="1"/>
  <c r="AW51" i="12"/>
  <c r="AX51" i="12" s="1"/>
  <c r="AY51" i="12" s="1"/>
  <c r="CU51" i="12" s="1"/>
  <c r="AV51" i="12"/>
  <c r="AU51" i="12"/>
  <c r="AO51" i="12"/>
  <c r="AN51" i="12"/>
  <c r="AM51" i="12"/>
  <c r="AF51" i="12"/>
  <c r="AE51" i="12"/>
  <c r="AD51" i="12"/>
  <c r="AC51" i="12"/>
  <c r="AB51" i="12"/>
  <c r="AH51" i="12" s="1"/>
  <c r="CS51" i="12" s="1"/>
  <c r="T51" i="12"/>
  <c r="S51" i="12"/>
  <c r="V51" i="12" s="1"/>
  <c r="CR51" i="12" s="1"/>
  <c r="N51" i="12"/>
  <c r="M51" i="12"/>
  <c r="L51" i="12"/>
  <c r="O51" i="12" s="1"/>
  <c r="P51" i="12" s="1"/>
  <c r="H51" i="12"/>
  <c r="G51" i="12"/>
  <c r="F51" i="12"/>
  <c r="E51" i="12"/>
  <c r="CT50" i="12"/>
  <c r="CM50" i="12"/>
  <c r="CL50" i="12"/>
  <c r="CP50" i="12" s="1"/>
  <c r="CY50" i="12" s="1"/>
  <c r="CK50" i="12"/>
  <c r="CJ50" i="12"/>
  <c r="CN50" i="12" s="1"/>
  <c r="CI50" i="12"/>
  <c r="CC50" i="12"/>
  <c r="CD50" i="12" s="1"/>
  <c r="CW50" i="12" s="1"/>
  <c r="CB50" i="12"/>
  <c r="CA50" i="12"/>
  <c r="BZ50" i="12"/>
  <c r="BY50" i="12"/>
  <c r="BX50" i="12"/>
  <c r="BW50" i="12"/>
  <c r="BR50" i="12"/>
  <c r="CV50" i="12" s="1"/>
  <c r="BO50" i="12"/>
  <c r="BN50" i="12"/>
  <c r="BP50" i="12" s="1"/>
  <c r="BQ50" i="12" s="1"/>
  <c r="BJ50" i="12"/>
  <c r="BK50" i="12" s="1"/>
  <c r="BI50" i="12"/>
  <c r="BH50" i="12"/>
  <c r="BC50" i="12"/>
  <c r="BB50" i="12"/>
  <c r="BD50" i="12" s="1"/>
  <c r="BE50" i="12" s="1"/>
  <c r="AW50" i="12"/>
  <c r="AV50" i="12"/>
  <c r="AU50" i="12"/>
  <c r="AX50" i="12" s="1"/>
  <c r="AY50" i="12" s="1"/>
  <c r="CU50" i="12" s="1"/>
  <c r="AQ50" i="12"/>
  <c r="AO50" i="12"/>
  <c r="AN50" i="12"/>
  <c r="AM50" i="12"/>
  <c r="AP50" i="12" s="1"/>
  <c r="AF50" i="12"/>
  <c r="AE50" i="12"/>
  <c r="AD50" i="12"/>
  <c r="AC50" i="12"/>
  <c r="AB50" i="12"/>
  <c r="U50" i="12"/>
  <c r="T50" i="12"/>
  <c r="S50" i="12"/>
  <c r="V50" i="12" s="1"/>
  <c r="CR50" i="12" s="1"/>
  <c r="N50" i="12"/>
  <c r="M50" i="12"/>
  <c r="O50" i="12" s="1"/>
  <c r="P50" i="12" s="1"/>
  <c r="CQ50" i="12" s="1"/>
  <c r="L50" i="12"/>
  <c r="G50" i="12"/>
  <c r="F50" i="12"/>
  <c r="H50" i="12" s="1"/>
  <c r="E50" i="12"/>
  <c r="CP49" i="12"/>
  <c r="CY49" i="12" s="1"/>
  <c r="CM49" i="12"/>
  <c r="CO49" i="12" s="1"/>
  <c r="CX49" i="12" s="1"/>
  <c r="CL49" i="12"/>
  <c r="CK49" i="12"/>
  <c r="CJ49" i="12"/>
  <c r="CN49" i="12" s="1"/>
  <c r="CI49" i="12"/>
  <c r="CB49" i="12"/>
  <c r="CA49" i="12"/>
  <c r="CC49" i="12" s="1"/>
  <c r="CD49" i="12" s="1"/>
  <c r="CW49" i="12" s="1"/>
  <c r="BZ49" i="12"/>
  <c r="BY49" i="12"/>
  <c r="BX49" i="12"/>
  <c r="BW49" i="12"/>
  <c r="BP49" i="12"/>
  <c r="BQ49" i="12" s="1"/>
  <c r="BO49" i="12"/>
  <c r="BN49" i="12"/>
  <c r="BJ49" i="12"/>
  <c r="BK49" i="12" s="1"/>
  <c r="BI49" i="12"/>
  <c r="BH49" i="12"/>
  <c r="BD49" i="12"/>
  <c r="BE49" i="12" s="1"/>
  <c r="BC49" i="12"/>
  <c r="BB49" i="12"/>
  <c r="AX49" i="12"/>
  <c r="AY49" i="12" s="1"/>
  <c r="CU49" i="12" s="1"/>
  <c r="AW49" i="12"/>
  <c r="AV49" i="12"/>
  <c r="AU49" i="12"/>
  <c r="AQ49" i="12"/>
  <c r="CT49" i="12" s="1"/>
  <c r="AP49" i="12"/>
  <c r="AO49" i="12"/>
  <c r="AN49" i="12"/>
  <c r="AM49" i="12"/>
  <c r="AF49" i="12"/>
  <c r="AE49" i="12"/>
  <c r="AD49" i="12"/>
  <c r="AC49" i="12"/>
  <c r="AB49" i="12"/>
  <c r="T49" i="12"/>
  <c r="S49" i="12"/>
  <c r="V49" i="12" s="1"/>
  <c r="CR49" i="12" s="1"/>
  <c r="N49" i="12"/>
  <c r="O49" i="12" s="1"/>
  <c r="P49" i="12" s="1"/>
  <c r="CQ49" i="12" s="1"/>
  <c r="M49" i="12"/>
  <c r="L49" i="12"/>
  <c r="H49" i="12"/>
  <c r="G49" i="12"/>
  <c r="F49" i="12"/>
  <c r="E49" i="12"/>
  <c r="CP48" i="12"/>
  <c r="CY48" i="12" s="1"/>
  <c r="CO48" i="12"/>
  <c r="CX48" i="12" s="1"/>
  <c r="CL48" i="12"/>
  <c r="CK48" i="12"/>
  <c r="CN48" i="12" s="1"/>
  <c r="CJ48" i="12"/>
  <c r="CI48" i="12"/>
  <c r="CM48" i="12" s="1"/>
  <c r="CA48" i="12"/>
  <c r="BZ48" i="12"/>
  <c r="BY48" i="12"/>
  <c r="BX48" i="12"/>
  <c r="CB48" i="12" s="1"/>
  <c r="BW48" i="12"/>
  <c r="BO48" i="12"/>
  <c r="BN48" i="12"/>
  <c r="BP48" i="12" s="1"/>
  <c r="BQ48" i="12" s="1"/>
  <c r="BI48" i="12"/>
  <c r="BH48" i="12"/>
  <c r="BJ48" i="12" s="1"/>
  <c r="BK48" i="12" s="1"/>
  <c r="BC48" i="12"/>
  <c r="BB48" i="12"/>
  <c r="AY48" i="12"/>
  <c r="CU48" i="12" s="1"/>
  <c r="AW48" i="12"/>
  <c r="AX48" i="12" s="1"/>
  <c r="AV48" i="12"/>
  <c r="AU48" i="12"/>
  <c r="AO48" i="12"/>
  <c r="AN48" i="12"/>
  <c r="AM48" i="12"/>
  <c r="AP48" i="12" s="1"/>
  <c r="AF48" i="12"/>
  <c r="AE48" i="12"/>
  <c r="AD48" i="12"/>
  <c r="AC48" i="12"/>
  <c r="AB48" i="12"/>
  <c r="V48" i="12"/>
  <c r="CR48" i="12" s="1"/>
  <c r="U48" i="12"/>
  <c r="T48" i="12"/>
  <c r="S48" i="12"/>
  <c r="N48" i="12"/>
  <c r="M48" i="12"/>
  <c r="L48" i="12"/>
  <c r="O48" i="12" s="1"/>
  <c r="P48" i="12" s="1"/>
  <c r="CQ48" i="12" s="1"/>
  <c r="H48" i="12"/>
  <c r="G48" i="12"/>
  <c r="F48" i="12"/>
  <c r="E48" i="12"/>
  <c r="CL47" i="12"/>
  <c r="CP47" i="12" s="1"/>
  <c r="CY47" i="12" s="1"/>
  <c r="CK47" i="12"/>
  <c r="CJ47" i="12"/>
  <c r="CN47" i="12" s="1"/>
  <c r="CI47" i="12"/>
  <c r="CM47" i="12" s="1"/>
  <c r="BZ47" i="12"/>
  <c r="BY47" i="12"/>
  <c r="BX47" i="12"/>
  <c r="CB47" i="12" s="1"/>
  <c r="CC47" i="12" s="1"/>
  <c r="CD47" i="12" s="1"/>
  <c r="CW47" i="12" s="1"/>
  <c r="BW47" i="12"/>
  <c r="CA47" i="12" s="1"/>
  <c r="BP47" i="12"/>
  <c r="BQ47" i="12" s="1"/>
  <c r="BR47" i="12" s="1"/>
  <c r="CV47" i="12" s="1"/>
  <c r="BO47" i="12"/>
  <c r="BN47" i="12"/>
  <c r="BJ47" i="12"/>
  <c r="BK47" i="12" s="1"/>
  <c r="BI47" i="12"/>
  <c r="BH47" i="12"/>
  <c r="BC47" i="12"/>
  <c r="BB47" i="12"/>
  <c r="BD47" i="12" s="1"/>
  <c r="BE47" i="12" s="1"/>
  <c r="AW47" i="12"/>
  <c r="AV47" i="12"/>
  <c r="AU47" i="12"/>
  <c r="AX47" i="12" s="1"/>
  <c r="AY47" i="12" s="1"/>
  <c r="CU47" i="12" s="1"/>
  <c r="AO47" i="12"/>
  <c r="AN47" i="12"/>
  <c r="AM47" i="12"/>
  <c r="AF47" i="12"/>
  <c r="AE47" i="12"/>
  <c r="AD47" i="12"/>
  <c r="AC47" i="12"/>
  <c r="AB47" i="12"/>
  <c r="T47" i="12"/>
  <c r="S47" i="12"/>
  <c r="N47" i="12"/>
  <c r="M47" i="12"/>
  <c r="L47" i="12"/>
  <c r="O47" i="12" s="1"/>
  <c r="P47" i="12" s="1"/>
  <c r="CQ47" i="12" s="1"/>
  <c r="G47" i="12"/>
  <c r="F47" i="12"/>
  <c r="H47" i="12" s="1"/>
  <c r="E47" i="12"/>
  <c r="CP46" i="12"/>
  <c r="CY46" i="12" s="1"/>
  <c r="CM46" i="12"/>
  <c r="CL46" i="12"/>
  <c r="CK46" i="12"/>
  <c r="CJ46" i="12"/>
  <c r="CN46" i="12" s="1"/>
  <c r="CI46" i="12"/>
  <c r="CB46" i="12"/>
  <c r="CA46" i="12"/>
  <c r="CC46" i="12" s="1"/>
  <c r="CD46" i="12" s="1"/>
  <c r="CW46" i="12" s="1"/>
  <c r="BZ46" i="12"/>
  <c r="BY46" i="12"/>
  <c r="BX46" i="12"/>
  <c r="BW46" i="12"/>
  <c r="BQ46" i="12"/>
  <c r="BR46" i="12" s="1"/>
  <c r="CV46" i="12" s="1"/>
  <c r="BP46" i="12"/>
  <c r="BO46" i="12"/>
  <c r="BN46" i="12"/>
  <c r="BI46" i="12"/>
  <c r="BH46" i="12"/>
  <c r="BJ46" i="12" s="1"/>
  <c r="BK46" i="12" s="1"/>
  <c r="BC46" i="12"/>
  <c r="BB46" i="12"/>
  <c r="BD46" i="12" s="1"/>
  <c r="BE46" i="12" s="1"/>
  <c r="AW46" i="12"/>
  <c r="AV46" i="12"/>
  <c r="AU46" i="12"/>
  <c r="AX46" i="12" s="1"/>
  <c r="AY46" i="12" s="1"/>
  <c r="CU46" i="12" s="1"/>
  <c r="AO46" i="12"/>
  <c r="AN46" i="12"/>
  <c r="AM46" i="12"/>
  <c r="AF46" i="12"/>
  <c r="AG46" i="12" s="1"/>
  <c r="AE46" i="12"/>
  <c r="AD46" i="12"/>
  <c r="AC46" i="12"/>
  <c r="AB46" i="12"/>
  <c r="U46" i="12"/>
  <c r="T46" i="12"/>
  <c r="S46" i="12"/>
  <c r="V46" i="12" s="1"/>
  <c r="CR46" i="12" s="1"/>
  <c r="O46" i="12"/>
  <c r="P46" i="12" s="1"/>
  <c r="CQ46" i="12" s="1"/>
  <c r="N46" i="12"/>
  <c r="M46" i="12"/>
  <c r="L46" i="12"/>
  <c r="G46" i="12"/>
  <c r="F46" i="12"/>
  <c r="E46" i="12"/>
  <c r="H46" i="12" s="1"/>
  <c r="CT45" i="12"/>
  <c r="CN45" i="12"/>
  <c r="CL45" i="12"/>
  <c r="CP45" i="12" s="1"/>
  <c r="CY45" i="12" s="1"/>
  <c r="CK45" i="12"/>
  <c r="CJ45" i="12"/>
  <c r="CI45" i="12"/>
  <c r="CM45" i="12" s="1"/>
  <c r="CA45" i="12"/>
  <c r="BZ45" i="12"/>
  <c r="BY45" i="12"/>
  <c r="BX45" i="12"/>
  <c r="CB45" i="12" s="1"/>
  <c r="BW45" i="12"/>
  <c r="BO45" i="12"/>
  <c r="BP45" i="12" s="1"/>
  <c r="BQ45" i="12" s="1"/>
  <c r="BR45" i="12" s="1"/>
  <c r="CV45" i="12" s="1"/>
  <c r="BN45" i="12"/>
  <c r="BJ45" i="12"/>
  <c r="BK45" i="12" s="1"/>
  <c r="BI45" i="12"/>
  <c r="BH45" i="12"/>
  <c r="BD45" i="12"/>
  <c r="BE45" i="12" s="1"/>
  <c r="BC45" i="12"/>
  <c r="BB45" i="12"/>
  <c r="AX45" i="12"/>
  <c r="AY45" i="12" s="1"/>
  <c r="CU45" i="12" s="1"/>
  <c r="AW45" i="12"/>
  <c r="AV45" i="12"/>
  <c r="AU45" i="12"/>
  <c r="AO45" i="12"/>
  <c r="AN45" i="12"/>
  <c r="AM45" i="12"/>
  <c r="AQ45" i="12" s="1"/>
  <c r="AF45" i="12"/>
  <c r="AE45" i="12"/>
  <c r="AD45" i="12"/>
  <c r="AC45" i="12"/>
  <c r="AB45" i="12"/>
  <c r="T45" i="12"/>
  <c r="S45" i="12"/>
  <c r="N45" i="12"/>
  <c r="M45" i="12"/>
  <c r="L45" i="12"/>
  <c r="O45" i="12" s="1"/>
  <c r="G45" i="12"/>
  <c r="F45" i="12"/>
  <c r="E45" i="12"/>
  <c r="H45" i="12" s="1"/>
  <c r="CY44" i="12"/>
  <c r="CX44" i="12"/>
  <c r="CR44" i="12"/>
  <c r="CL44" i="12"/>
  <c r="CP44" i="12" s="1"/>
  <c r="CK44" i="12"/>
  <c r="CJ44" i="12"/>
  <c r="CN44" i="12" s="1"/>
  <c r="CI44" i="12"/>
  <c r="CM44" i="12" s="1"/>
  <c r="CO44" i="12" s="1"/>
  <c r="BZ44" i="12"/>
  <c r="BY44" i="12"/>
  <c r="BX44" i="12"/>
  <c r="CB44" i="12" s="1"/>
  <c r="BW44" i="12"/>
  <c r="CA44" i="12" s="1"/>
  <c r="BO44" i="12"/>
  <c r="BN44" i="12"/>
  <c r="BP44" i="12" s="1"/>
  <c r="BQ44" i="12" s="1"/>
  <c r="BR44" i="12" s="1"/>
  <c r="CV44" i="12" s="1"/>
  <c r="BK44" i="12"/>
  <c r="BJ44" i="12"/>
  <c r="BI44" i="12"/>
  <c r="BH44" i="12"/>
  <c r="BC44" i="12"/>
  <c r="BB44" i="12"/>
  <c r="BD44" i="12" s="1"/>
  <c r="BE44" i="12" s="1"/>
  <c r="AW44" i="12"/>
  <c r="AV44" i="12"/>
  <c r="AU44" i="12"/>
  <c r="AO44" i="12"/>
  <c r="AN44" i="12"/>
  <c r="AM44" i="12"/>
  <c r="AQ44" i="12" s="1"/>
  <c r="CT44" i="12" s="1"/>
  <c r="AF44" i="12"/>
  <c r="AE44" i="12"/>
  <c r="AD44" i="12"/>
  <c r="AC44" i="12"/>
  <c r="AB44" i="12"/>
  <c r="AG44" i="12" s="1"/>
  <c r="V44" i="12"/>
  <c r="U44" i="12"/>
  <c r="T44" i="12"/>
  <c r="S44" i="12"/>
  <c r="O44" i="12"/>
  <c r="N44" i="12"/>
  <c r="M44" i="12"/>
  <c r="L44" i="12"/>
  <c r="G44" i="12"/>
  <c r="F44" i="12"/>
  <c r="E44" i="12"/>
  <c r="H44" i="12" s="1"/>
  <c r="CS43" i="12"/>
  <c r="CR43" i="12"/>
  <c r="CP43" i="12"/>
  <c r="CY43" i="12" s="1"/>
  <c r="CL43" i="12"/>
  <c r="CK43" i="12"/>
  <c r="CJ43" i="12"/>
  <c r="CN43" i="12" s="1"/>
  <c r="CI43" i="12"/>
  <c r="CM43" i="12" s="1"/>
  <c r="CO43" i="12" s="1"/>
  <c r="CX43" i="12" s="1"/>
  <c r="CC43" i="12"/>
  <c r="CD43" i="12" s="1"/>
  <c r="CW43" i="12" s="1"/>
  <c r="CB43" i="12"/>
  <c r="CA43" i="12"/>
  <c r="BZ43" i="12"/>
  <c r="BY43" i="12"/>
  <c r="BX43" i="12"/>
  <c r="BW43" i="12"/>
  <c r="BO43" i="12"/>
  <c r="BN43" i="12"/>
  <c r="BP43" i="12" s="1"/>
  <c r="BQ43" i="12" s="1"/>
  <c r="BJ43" i="12"/>
  <c r="BK43" i="12" s="1"/>
  <c r="BI43" i="12"/>
  <c r="BH43" i="12"/>
  <c r="BD43" i="12"/>
  <c r="BE43" i="12" s="1"/>
  <c r="BC43" i="12"/>
  <c r="BB43" i="12"/>
  <c r="AX43" i="12"/>
  <c r="AY43" i="12" s="1"/>
  <c r="CU43" i="12" s="1"/>
  <c r="AW43" i="12"/>
  <c r="AV43" i="12"/>
  <c r="AU43" i="12"/>
  <c r="AO43" i="12"/>
  <c r="AN43" i="12"/>
  <c r="AP43" i="12" s="1"/>
  <c r="AM43" i="12"/>
  <c r="AH43" i="12"/>
  <c r="AF43" i="12"/>
  <c r="AE43" i="12"/>
  <c r="AD43" i="12"/>
  <c r="AC43" i="12"/>
  <c r="AB43" i="12"/>
  <c r="AG43" i="12" s="1"/>
  <c r="V43" i="12"/>
  <c r="U43" i="12"/>
  <c r="T43" i="12"/>
  <c r="S43" i="12"/>
  <c r="N43" i="12"/>
  <c r="M43" i="12"/>
  <c r="L43" i="12"/>
  <c r="G43" i="12"/>
  <c r="F43" i="12"/>
  <c r="E43" i="12"/>
  <c r="H43" i="12" s="1"/>
  <c r="CY42" i="12"/>
  <c r="CX42" i="12"/>
  <c r="CU42" i="12"/>
  <c r="CP42" i="12"/>
  <c r="CO42" i="12"/>
  <c r="CN42" i="12"/>
  <c r="CM42" i="12"/>
  <c r="CL42" i="12"/>
  <c r="CK42" i="12"/>
  <c r="CJ42" i="12"/>
  <c r="CI42" i="12"/>
  <c r="BZ42" i="12"/>
  <c r="BY42" i="12"/>
  <c r="BX42" i="12"/>
  <c r="BW42" i="12"/>
  <c r="CA42" i="12" s="1"/>
  <c r="BO42" i="12"/>
  <c r="BN42" i="12"/>
  <c r="BJ42" i="12"/>
  <c r="BK42" i="12" s="1"/>
  <c r="BI42" i="12"/>
  <c r="BH42" i="12"/>
  <c r="BE42" i="12"/>
  <c r="BD42" i="12"/>
  <c r="BC42" i="12"/>
  <c r="BB42" i="12"/>
  <c r="AW42" i="12"/>
  <c r="AV42" i="12"/>
  <c r="AU42" i="12"/>
  <c r="AX42" i="12" s="1"/>
  <c r="AY42" i="12" s="1"/>
  <c r="AO42" i="12"/>
  <c r="AN42" i="12"/>
  <c r="AM42" i="12"/>
  <c r="AF42" i="12"/>
  <c r="AE42" i="12"/>
  <c r="AD42" i="12"/>
  <c r="AH42" i="12" s="1"/>
  <c r="AC42" i="12"/>
  <c r="AB42" i="12"/>
  <c r="U42" i="12"/>
  <c r="T42" i="12"/>
  <c r="V42" i="12" s="1"/>
  <c r="CR42" i="12" s="1"/>
  <c r="S42" i="12"/>
  <c r="O42" i="12"/>
  <c r="N42" i="12"/>
  <c r="M42" i="12"/>
  <c r="L42" i="12"/>
  <c r="G42" i="12"/>
  <c r="F42" i="12"/>
  <c r="E42" i="12"/>
  <c r="H42" i="12" s="1"/>
  <c r="CR41" i="12"/>
  <c r="CN41" i="12"/>
  <c r="CM41" i="12"/>
  <c r="CO41" i="12" s="1"/>
  <c r="CX41" i="12" s="1"/>
  <c r="CL41" i="12"/>
  <c r="CP41" i="12" s="1"/>
  <c r="CY41" i="12" s="1"/>
  <c r="CK41" i="12"/>
  <c r="CJ41" i="12"/>
  <c r="CI41" i="12"/>
  <c r="CB41" i="12"/>
  <c r="BZ41" i="12"/>
  <c r="BY41" i="12"/>
  <c r="BX41" i="12"/>
  <c r="BW41" i="12"/>
  <c r="CA41" i="12" s="1"/>
  <c r="CC41" i="12" s="1"/>
  <c r="CD41" i="12" s="1"/>
  <c r="CW41" i="12" s="1"/>
  <c r="BP41" i="12"/>
  <c r="BQ41" i="12" s="1"/>
  <c r="BR41" i="12" s="1"/>
  <c r="CV41" i="12" s="1"/>
  <c r="BO41" i="12"/>
  <c r="BN41" i="12"/>
  <c r="BJ41" i="12"/>
  <c r="BK41" i="12" s="1"/>
  <c r="BI41" i="12"/>
  <c r="BH41" i="12"/>
  <c r="BD41" i="12"/>
  <c r="BE41" i="12" s="1"/>
  <c r="BC41" i="12"/>
  <c r="BB41" i="12"/>
  <c r="AX41" i="12"/>
  <c r="AY41" i="12" s="1"/>
  <c r="CU41" i="12" s="1"/>
  <c r="AW41" i="12"/>
  <c r="AV41" i="12"/>
  <c r="AU41" i="12"/>
  <c r="AQ41" i="12"/>
  <c r="CT41" i="12" s="1"/>
  <c r="AP41" i="12"/>
  <c r="AO41" i="12"/>
  <c r="AN41" i="12"/>
  <c r="AM41" i="12"/>
  <c r="AF41" i="12"/>
  <c r="AE41" i="12"/>
  <c r="AD41" i="12"/>
  <c r="AC41" i="12"/>
  <c r="AB41" i="12"/>
  <c r="AH41" i="12" s="1"/>
  <c r="U41" i="12"/>
  <c r="T41" i="12"/>
  <c r="S41" i="12"/>
  <c r="V41" i="12" s="1"/>
  <c r="O41" i="12"/>
  <c r="N41" i="12"/>
  <c r="M41" i="12"/>
  <c r="L41" i="12"/>
  <c r="G41" i="12"/>
  <c r="F41" i="12"/>
  <c r="E41" i="12"/>
  <c r="CM40" i="12"/>
  <c r="CL40" i="12"/>
  <c r="CP40" i="12" s="1"/>
  <c r="CY40" i="12" s="1"/>
  <c r="CK40" i="12"/>
  <c r="CJ40" i="12"/>
  <c r="CN40" i="12" s="1"/>
  <c r="CI40" i="12"/>
  <c r="BZ40" i="12"/>
  <c r="BY40" i="12"/>
  <c r="BX40" i="12"/>
  <c r="BW40" i="12"/>
  <c r="CA40" i="12" s="1"/>
  <c r="BP40" i="12"/>
  <c r="BQ40" i="12" s="1"/>
  <c r="BR40" i="12" s="1"/>
  <c r="CV40" i="12" s="1"/>
  <c r="BO40" i="12"/>
  <c r="BN40" i="12"/>
  <c r="BI40" i="12"/>
  <c r="BH40" i="12"/>
  <c r="BJ40" i="12" s="1"/>
  <c r="BK40" i="12" s="1"/>
  <c r="BC40" i="12"/>
  <c r="BB40" i="12"/>
  <c r="BD40" i="12" s="1"/>
  <c r="BE40" i="12" s="1"/>
  <c r="AX40" i="12"/>
  <c r="AY40" i="12" s="1"/>
  <c r="CU40" i="12" s="1"/>
  <c r="AW40" i="12"/>
  <c r="AV40" i="12"/>
  <c r="AU40" i="12"/>
  <c r="AO40" i="12"/>
  <c r="AN40" i="12"/>
  <c r="AM40" i="12"/>
  <c r="AF40" i="12"/>
  <c r="AE40" i="12"/>
  <c r="AD40" i="12"/>
  <c r="AC40" i="12"/>
  <c r="AB40" i="12"/>
  <c r="AG40" i="12" s="1"/>
  <c r="V40" i="12"/>
  <c r="CR40" i="12" s="1"/>
  <c r="U40" i="12"/>
  <c r="T40" i="12"/>
  <c r="S40" i="12"/>
  <c r="N40" i="12"/>
  <c r="M40" i="12"/>
  <c r="O40" i="12" s="1"/>
  <c r="P40" i="12" s="1"/>
  <c r="CQ40" i="12" s="1"/>
  <c r="L40" i="12"/>
  <c r="H40" i="12"/>
  <c r="G40" i="12"/>
  <c r="F40" i="12"/>
  <c r="E40" i="12"/>
  <c r="CR39" i="12"/>
  <c r="CP39" i="12"/>
  <c r="CY39" i="12" s="1"/>
  <c r="CN39" i="12"/>
  <c r="CO39" i="12" s="1"/>
  <c r="CX39" i="12" s="1"/>
  <c r="CL39" i="12"/>
  <c r="CK39" i="12"/>
  <c r="CJ39" i="12"/>
  <c r="CI39" i="12"/>
  <c r="CM39" i="12" s="1"/>
  <c r="BZ39" i="12"/>
  <c r="BY39" i="12"/>
  <c r="BX39" i="12"/>
  <c r="CB39" i="12" s="1"/>
  <c r="BW39" i="12"/>
  <c r="CA39" i="12" s="1"/>
  <c r="CC39" i="12" s="1"/>
  <c r="CD39" i="12" s="1"/>
  <c r="CW39" i="12" s="1"/>
  <c r="BO39" i="12"/>
  <c r="BN39" i="12"/>
  <c r="BP39" i="12" s="1"/>
  <c r="BQ39" i="12" s="1"/>
  <c r="BI39" i="12"/>
  <c r="BH39" i="12"/>
  <c r="BJ39" i="12" s="1"/>
  <c r="BK39" i="12" s="1"/>
  <c r="BC39" i="12"/>
  <c r="BB39" i="12"/>
  <c r="BD39" i="12" s="1"/>
  <c r="BE39" i="12" s="1"/>
  <c r="AY39" i="12"/>
  <c r="CU39" i="12" s="1"/>
  <c r="AW39" i="12"/>
  <c r="AV39" i="12"/>
  <c r="AX39" i="12" s="1"/>
  <c r="AU39" i="12"/>
  <c r="AO39" i="12"/>
  <c r="AN39" i="12"/>
  <c r="AM39" i="12"/>
  <c r="AF39" i="12"/>
  <c r="AE39" i="12"/>
  <c r="AD39" i="12"/>
  <c r="AC39" i="12"/>
  <c r="AB39" i="12"/>
  <c r="T39" i="12"/>
  <c r="S39" i="12"/>
  <c r="V39" i="12" s="1"/>
  <c r="N39" i="12"/>
  <c r="M39" i="12"/>
  <c r="L39" i="12"/>
  <c r="O39" i="12" s="1"/>
  <c r="P39" i="12" s="1"/>
  <c r="CQ39" i="12" s="1"/>
  <c r="H39" i="12"/>
  <c r="G39" i="12"/>
  <c r="F39" i="12"/>
  <c r="E39" i="12"/>
  <c r="CL38" i="12"/>
  <c r="CP38" i="12" s="1"/>
  <c r="CY38" i="12" s="1"/>
  <c r="CK38" i="12"/>
  <c r="CJ38" i="12"/>
  <c r="CN38" i="12" s="1"/>
  <c r="CI38" i="12"/>
  <c r="CM38" i="12" s="1"/>
  <c r="CC38" i="12"/>
  <c r="CD38" i="12" s="1"/>
  <c r="CW38" i="12" s="1"/>
  <c r="CB38" i="12"/>
  <c r="CA38" i="12"/>
  <c r="BZ38" i="12"/>
  <c r="BY38" i="12"/>
  <c r="BX38" i="12"/>
  <c r="BW38" i="12"/>
  <c r="BQ38" i="12"/>
  <c r="BO38" i="12"/>
  <c r="BN38" i="12"/>
  <c r="BP38" i="12" s="1"/>
  <c r="BI38" i="12"/>
  <c r="BH38" i="12"/>
  <c r="BJ38" i="12" s="1"/>
  <c r="BK38" i="12" s="1"/>
  <c r="BD38" i="12"/>
  <c r="BE38" i="12" s="1"/>
  <c r="BR38" i="12" s="1"/>
  <c r="CV38" i="12" s="1"/>
  <c r="BC38" i="12"/>
  <c r="BB38" i="12"/>
  <c r="AW38" i="12"/>
  <c r="AX38" i="12" s="1"/>
  <c r="AY38" i="12" s="1"/>
  <c r="CU38" i="12" s="1"/>
  <c r="AV38" i="12"/>
  <c r="AU38" i="12"/>
  <c r="AQ38" i="12"/>
  <c r="CT38" i="12" s="1"/>
  <c r="AO38" i="12"/>
  <c r="AN38" i="12"/>
  <c r="AP38" i="12" s="1"/>
  <c r="AM38" i="12"/>
  <c r="AG38" i="12"/>
  <c r="AF38" i="12"/>
  <c r="AE38" i="12"/>
  <c r="AD38" i="12"/>
  <c r="AH38" i="12" s="1"/>
  <c r="AC38" i="12"/>
  <c r="AB38" i="12"/>
  <c r="T38" i="12"/>
  <c r="S38" i="12"/>
  <c r="V38" i="12" s="1"/>
  <c r="CR38" i="12" s="1"/>
  <c r="N38" i="12"/>
  <c r="M38" i="12"/>
  <c r="L38" i="12"/>
  <c r="O38" i="12" s="1"/>
  <c r="G38" i="12"/>
  <c r="H38" i="12" s="1"/>
  <c r="F38" i="12"/>
  <c r="E38" i="12"/>
  <c r="CP37" i="12"/>
  <c r="CY37" i="12" s="1"/>
  <c r="CN37" i="12"/>
  <c r="CM37" i="12"/>
  <c r="CO37" i="12" s="1"/>
  <c r="CX37" i="12" s="1"/>
  <c r="CL37" i="12"/>
  <c r="CK37" i="12"/>
  <c r="CJ37" i="12"/>
  <c r="CI37" i="12"/>
  <c r="CA37" i="12"/>
  <c r="CC37" i="12" s="1"/>
  <c r="CD37" i="12" s="1"/>
  <c r="CW37" i="12" s="1"/>
  <c r="BZ37" i="12"/>
  <c r="BY37" i="12"/>
  <c r="BX37" i="12"/>
  <c r="CB37" i="12" s="1"/>
  <c r="BW37" i="12"/>
  <c r="BP37" i="12"/>
  <c r="BQ37" i="12" s="1"/>
  <c r="BO37" i="12"/>
  <c r="BN37" i="12"/>
  <c r="BJ37" i="12"/>
  <c r="BK37" i="12" s="1"/>
  <c r="BI37" i="12"/>
  <c r="BH37" i="12"/>
  <c r="BC37" i="12"/>
  <c r="BD37" i="12" s="1"/>
  <c r="BE37" i="12" s="1"/>
  <c r="BB37" i="12"/>
  <c r="AY37" i="12"/>
  <c r="CU37" i="12" s="1"/>
  <c r="AX37" i="12"/>
  <c r="AW37" i="12"/>
  <c r="AV37" i="12"/>
  <c r="AU37" i="12"/>
  <c r="AO37" i="12"/>
  <c r="AN37" i="12"/>
  <c r="AM37" i="12"/>
  <c r="AQ37" i="12" s="1"/>
  <c r="CT37" i="12" s="1"/>
  <c r="AF37" i="12"/>
  <c r="AE37" i="12"/>
  <c r="AD37" i="12"/>
  <c r="AC37" i="12"/>
  <c r="AB37" i="12"/>
  <c r="T37" i="12"/>
  <c r="S37" i="12"/>
  <c r="N37" i="12"/>
  <c r="M37" i="12"/>
  <c r="O37" i="12" s="1"/>
  <c r="P37" i="12" s="1"/>
  <c r="CQ37" i="12" s="1"/>
  <c r="L37" i="12"/>
  <c r="H37" i="12"/>
  <c r="G37" i="12"/>
  <c r="F37" i="12"/>
  <c r="E37" i="12"/>
  <c r="CL36" i="12"/>
  <c r="CP36" i="12" s="1"/>
  <c r="CY36" i="12" s="1"/>
  <c r="CK36" i="12"/>
  <c r="CJ36" i="12"/>
  <c r="CN36" i="12" s="1"/>
  <c r="CI36" i="12"/>
  <c r="CM36" i="12" s="1"/>
  <c r="CO36" i="12" s="1"/>
  <c r="CX36" i="12" s="1"/>
  <c r="CA36" i="12"/>
  <c r="BZ36" i="12"/>
  <c r="BY36" i="12"/>
  <c r="BX36" i="12"/>
  <c r="CB36" i="12" s="1"/>
  <c r="BW36" i="12"/>
  <c r="BO36" i="12"/>
  <c r="BN36" i="12"/>
  <c r="BP36" i="12" s="1"/>
  <c r="BQ36" i="12" s="1"/>
  <c r="BI36" i="12"/>
  <c r="BH36" i="12"/>
  <c r="BJ36" i="12" s="1"/>
  <c r="BK36" i="12" s="1"/>
  <c r="BR36" i="12" s="1"/>
  <c r="CV36" i="12" s="1"/>
  <c r="BC36" i="12"/>
  <c r="BB36" i="12"/>
  <c r="BD36" i="12" s="1"/>
  <c r="BE36" i="12" s="1"/>
  <c r="AW36" i="12"/>
  <c r="AX36" i="12" s="1"/>
  <c r="AY36" i="12" s="1"/>
  <c r="CU36" i="12" s="1"/>
  <c r="AV36" i="12"/>
  <c r="AU36" i="12"/>
  <c r="AO36" i="12"/>
  <c r="AN36" i="12"/>
  <c r="AM36" i="12"/>
  <c r="AQ36" i="12" s="1"/>
  <c r="CT36" i="12" s="1"/>
  <c r="AF36" i="12"/>
  <c r="AE36" i="12"/>
  <c r="AD36" i="12"/>
  <c r="AH36" i="12" s="1"/>
  <c r="AC36" i="12"/>
  <c r="AB36" i="12"/>
  <c r="T36" i="12"/>
  <c r="S36" i="12"/>
  <c r="V36" i="12" s="1"/>
  <c r="CR36" i="12" s="1"/>
  <c r="N36" i="12"/>
  <c r="M36" i="12"/>
  <c r="L36" i="12"/>
  <c r="G36" i="12"/>
  <c r="H36" i="12" s="1"/>
  <c r="F36" i="12"/>
  <c r="E36" i="12"/>
  <c r="CY35" i="12"/>
  <c r="CN35" i="12"/>
  <c r="CM35" i="12"/>
  <c r="CO35" i="12" s="1"/>
  <c r="CX35" i="12" s="1"/>
  <c r="CL35" i="12"/>
  <c r="CP35" i="12" s="1"/>
  <c r="CK35" i="12"/>
  <c r="CJ35" i="12"/>
  <c r="CI35" i="12"/>
  <c r="BZ35" i="12"/>
  <c r="BY35" i="12"/>
  <c r="BX35" i="12"/>
  <c r="BW35" i="12"/>
  <c r="CA35" i="12" s="1"/>
  <c r="BP35" i="12"/>
  <c r="BQ35" i="12" s="1"/>
  <c r="BO35" i="12"/>
  <c r="BN35" i="12"/>
  <c r="BJ35" i="12"/>
  <c r="BK35" i="12" s="1"/>
  <c r="BI35" i="12"/>
  <c r="BH35" i="12"/>
  <c r="BC35" i="12"/>
  <c r="BD35" i="12" s="1"/>
  <c r="BE35" i="12" s="1"/>
  <c r="BR35" i="12" s="1"/>
  <c r="CV35" i="12" s="1"/>
  <c r="BB35" i="12"/>
  <c r="AY35" i="12"/>
  <c r="CU35" i="12" s="1"/>
  <c r="AX35" i="12"/>
  <c r="AW35" i="12"/>
  <c r="AV35" i="12"/>
  <c r="AU35" i="12"/>
  <c r="AO35" i="12"/>
  <c r="AN35" i="12"/>
  <c r="AM35" i="12"/>
  <c r="AF35" i="12"/>
  <c r="AE35" i="12"/>
  <c r="AD35" i="12"/>
  <c r="AC35" i="12"/>
  <c r="AB35" i="12"/>
  <c r="V35" i="12"/>
  <c r="CR35" i="12" s="1"/>
  <c r="T35" i="12"/>
  <c r="S35" i="12"/>
  <c r="N35" i="12"/>
  <c r="M35" i="12"/>
  <c r="L35" i="12"/>
  <c r="O35" i="12" s="1"/>
  <c r="P35" i="12" s="1"/>
  <c r="CQ35" i="12" s="1"/>
  <c r="H35" i="12"/>
  <c r="G35" i="12"/>
  <c r="F35" i="12"/>
  <c r="E35" i="12"/>
  <c r="CL34" i="12"/>
  <c r="CP34" i="12" s="1"/>
  <c r="CY34" i="12" s="1"/>
  <c r="CK34" i="12"/>
  <c r="CJ34" i="12"/>
  <c r="CN34" i="12" s="1"/>
  <c r="CI34" i="12"/>
  <c r="CM34" i="12" s="1"/>
  <c r="CO34" i="12" s="1"/>
  <c r="CX34" i="12" s="1"/>
  <c r="CA34" i="12"/>
  <c r="BZ34" i="12"/>
  <c r="BY34" i="12"/>
  <c r="BX34" i="12"/>
  <c r="CB34" i="12" s="1"/>
  <c r="BW34" i="12"/>
  <c r="BO34" i="12"/>
  <c r="BN34" i="12"/>
  <c r="BP34" i="12" s="1"/>
  <c r="BQ34" i="12" s="1"/>
  <c r="BR34" i="12" s="1"/>
  <c r="CV34" i="12" s="1"/>
  <c r="BI34" i="12"/>
  <c r="BH34" i="12"/>
  <c r="BJ34" i="12" s="1"/>
  <c r="BK34" i="12" s="1"/>
  <c r="BE34" i="12"/>
  <c r="BC34" i="12"/>
  <c r="BB34" i="12"/>
  <c r="BD34" i="12" s="1"/>
  <c r="AX34" i="12"/>
  <c r="AY34" i="12" s="1"/>
  <c r="CU34" i="12" s="1"/>
  <c r="AW34" i="12"/>
  <c r="AV34" i="12"/>
  <c r="AU34" i="12"/>
  <c r="AO34" i="12"/>
  <c r="AN34" i="12"/>
  <c r="AM34" i="12"/>
  <c r="AP34" i="12" s="1"/>
  <c r="AG34" i="12"/>
  <c r="AF34" i="12"/>
  <c r="AH34" i="12" s="1"/>
  <c r="CS34" i="12" s="1"/>
  <c r="AE34" i="12"/>
  <c r="AD34" i="12"/>
  <c r="AC34" i="12"/>
  <c r="AB34" i="12"/>
  <c r="T34" i="12"/>
  <c r="U34" i="12" s="1"/>
  <c r="S34" i="12"/>
  <c r="N34" i="12"/>
  <c r="M34" i="12"/>
  <c r="L34" i="12"/>
  <c r="O34" i="12" s="1"/>
  <c r="G34" i="12"/>
  <c r="F34" i="12"/>
  <c r="E34" i="12"/>
  <c r="H34" i="12" s="1"/>
  <c r="P34" i="12" s="1"/>
  <c r="CQ34" i="12" s="1"/>
  <c r="CY33" i="12"/>
  <c r="CL33" i="12"/>
  <c r="CP33" i="12" s="1"/>
  <c r="CK33" i="12"/>
  <c r="CJ33" i="12"/>
  <c r="CN33" i="12" s="1"/>
  <c r="CI33" i="12"/>
  <c r="CM33" i="12" s="1"/>
  <c r="CO33" i="12" s="1"/>
  <c r="CX33" i="12" s="1"/>
  <c r="BZ33" i="12"/>
  <c r="BY33" i="12"/>
  <c r="BX33" i="12"/>
  <c r="BW33" i="12"/>
  <c r="CA33" i="12" s="1"/>
  <c r="BO33" i="12"/>
  <c r="BN33" i="12"/>
  <c r="BP33" i="12" s="1"/>
  <c r="BQ33" i="12" s="1"/>
  <c r="BR33" i="12" s="1"/>
  <c r="CV33" i="12" s="1"/>
  <c r="BJ33" i="12"/>
  <c r="BK33" i="12" s="1"/>
  <c r="BI33" i="12"/>
  <c r="BH33" i="12"/>
  <c r="BD33" i="12"/>
  <c r="BE33" i="12" s="1"/>
  <c r="BC33" i="12"/>
  <c r="BB33" i="12"/>
  <c r="AW33" i="12"/>
  <c r="AV33" i="12"/>
  <c r="AU33" i="12"/>
  <c r="AX33" i="12" s="1"/>
  <c r="AY33" i="12" s="1"/>
  <c r="CU33" i="12" s="1"/>
  <c r="AO33" i="12"/>
  <c r="AN33" i="12"/>
  <c r="AM33" i="12"/>
  <c r="AQ33" i="12" s="1"/>
  <c r="CT33" i="12" s="1"/>
  <c r="AF33" i="12"/>
  <c r="AE33" i="12"/>
  <c r="AD33" i="12"/>
  <c r="AC33" i="12"/>
  <c r="AB33" i="12"/>
  <c r="AH33" i="12" s="1"/>
  <c r="T33" i="12"/>
  <c r="S33" i="12"/>
  <c r="N33" i="12"/>
  <c r="M33" i="12"/>
  <c r="L33" i="12"/>
  <c r="G33" i="12"/>
  <c r="F33" i="12"/>
  <c r="E33" i="12"/>
  <c r="H33" i="12" s="1"/>
  <c r="CR32" i="12"/>
  <c r="CL32" i="12"/>
  <c r="CP32" i="12" s="1"/>
  <c r="CY32" i="12" s="1"/>
  <c r="CK32" i="12"/>
  <c r="CJ32" i="12"/>
  <c r="CI32" i="12"/>
  <c r="CM32" i="12" s="1"/>
  <c r="CC32" i="12"/>
  <c r="CD32" i="12" s="1"/>
  <c r="CW32" i="12" s="1"/>
  <c r="CA32" i="12"/>
  <c r="BZ32" i="12"/>
  <c r="CB32" i="12" s="1"/>
  <c r="BY32" i="12"/>
  <c r="BX32" i="12"/>
  <c r="BW32" i="12"/>
  <c r="BO32" i="12"/>
  <c r="BN32" i="12"/>
  <c r="BP32" i="12" s="1"/>
  <c r="BQ32" i="12" s="1"/>
  <c r="BI32" i="12"/>
  <c r="BH32" i="12"/>
  <c r="BJ32" i="12" s="1"/>
  <c r="BK32" i="12" s="1"/>
  <c r="BC32" i="12"/>
  <c r="BB32" i="12"/>
  <c r="BD32" i="12" s="1"/>
  <c r="BE32" i="12" s="1"/>
  <c r="AW32" i="12"/>
  <c r="AV32" i="12"/>
  <c r="AU32" i="12"/>
  <c r="AO32" i="12"/>
  <c r="AN32" i="12"/>
  <c r="AM32" i="12"/>
  <c r="AQ32" i="12" s="1"/>
  <c r="CT32" i="12" s="1"/>
  <c r="AF32" i="12"/>
  <c r="AE32" i="12"/>
  <c r="AD32" i="12"/>
  <c r="AC32" i="12"/>
  <c r="AB32" i="12"/>
  <c r="AH32" i="12" s="1"/>
  <c r="V32" i="12"/>
  <c r="U32" i="12"/>
  <c r="T32" i="12"/>
  <c r="S32" i="12"/>
  <c r="N32" i="12"/>
  <c r="M32" i="12"/>
  <c r="L32" i="12"/>
  <c r="O32" i="12" s="1"/>
  <c r="P32" i="12" s="1"/>
  <c r="CQ32" i="12" s="1"/>
  <c r="H32" i="12"/>
  <c r="G32" i="12"/>
  <c r="F32" i="12"/>
  <c r="E32" i="12"/>
  <c r="CY31" i="12"/>
  <c r="CP31" i="12"/>
  <c r="CL31" i="12"/>
  <c r="CK31" i="12"/>
  <c r="CJ31" i="12"/>
  <c r="CN31" i="12" s="1"/>
  <c r="CI31" i="12"/>
  <c r="CM31" i="12" s="1"/>
  <c r="CB31" i="12"/>
  <c r="CC31" i="12" s="1"/>
  <c r="CD31" i="12" s="1"/>
  <c r="CW31" i="12" s="1"/>
  <c r="CA31" i="12"/>
  <c r="BZ31" i="12"/>
  <c r="BY31" i="12"/>
  <c r="BX31" i="12"/>
  <c r="BW31" i="12"/>
  <c r="BO31" i="12"/>
  <c r="BN31" i="12"/>
  <c r="BP31" i="12" s="1"/>
  <c r="BQ31" i="12" s="1"/>
  <c r="BR31" i="12" s="1"/>
  <c r="CV31" i="12" s="1"/>
  <c r="BI31" i="12"/>
  <c r="BH31" i="12"/>
  <c r="BJ31" i="12" s="1"/>
  <c r="BK31" i="12" s="1"/>
  <c r="BD31" i="12"/>
  <c r="BE31" i="12" s="1"/>
  <c r="BC31" i="12"/>
  <c r="BB31" i="12"/>
  <c r="AW31" i="12"/>
  <c r="AV31" i="12"/>
  <c r="AU31" i="12"/>
  <c r="AX31" i="12" s="1"/>
  <c r="AY31" i="12" s="1"/>
  <c r="CU31" i="12" s="1"/>
  <c r="AO31" i="12"/>
  <c r="AN31" i="12"/>
  <c r="AM31" i="12"/>
  <c r="AQ31" i="12" s="1"/>
  <c r="CT31" i="12" s="1"/>
  <c r="AF31" i="12"/>
  <c r="AE31" i="12"/>
  <c r="AD31" i="12"/>
  <c r="AC31" i="12"/>
  <c r="AB31" i="12"/>
  <c r="V31" i="12"/>
  <c r="CR31" i="12" s="1"/>
  <c r="T31" i="12"/>
  <c r="S31" i="12"/>
  <c r="U31" i="12" s="1"/>
  <c r="N31" i="12"/>
  <c r="M31" i="12"/>
  <c r="L31" i="12"/>
  <c r="O31" i="12" s="1"/>
  <c r="G31" i="12"/>
  <c r="F31" i="12"/>
  <c r="E31" i="12"/>
  <c r="CT30" i="12"/>
  <c r="CP30" i="12"/>
  <c r="CY30" i="12" s="1"/>
  <c r="CO30" i="12"/>
  <c r="CX30" i="12" s="1"/>
  <c r="CN30" i="12"/>
  <c r="CL30" i="12"/>
  <c r="CK30" i="12"/>
  <c r="CJ30" i="12"/>
  <c r="CI30" i="12"/>
  <c r="CM30" i="12" s="1"/>
  <c r="BZ30" i="12"/>
  <c r="BY30" i="12"/>
  <c r="BX30" i="12"/>
  <c r="CB30" i="12" s="1"/>
  <c r="BW30" i="12"/>
  <c r="CA30" i="12" s="1"/>
  <c r="BP30" i="12"/>
  <c r="BQ30" i="12" s="1"/>
  <c r="BR30" i="12" s="1"/>
  <c r="CV30" i="12" s="1"/>
  <c r="BO30" i="12"/>
  <c r="BN30" i="12"/>
  <c r="BK30" i="12"/>
  <c r="BJ30" i="12"/>
  <c r="BI30" i="12"/>
  <c r="BH30" i="12"/>
  <c r="BE30" i="12"/>
  <c r="BD30" i="12"/>
  <c r="BC30" i="12"/>
  <c r="BB30" i="12"/>
  <c r="AW30" i="12"/>
  <c r="AV30" i="12"/>
  <c r="AU30" i="12"/>
  <c r="AO30" i="12"/>
  <c r="AN30" i="12"/>
  <c r="AM30" i="12"/>
  <c r="AQ30" i="12" s="1"/>
  <c r="AF30" i="12"/>
  <c r="AE30" i="12"/>
  <c r="AD30" i="12"/>
  <c r="AC30" i="12"/>
  <c r="AB30" i="12"/>
  <c r="AH30" i="12" s="1"/>
  <c r="V30" i="12"/>
  <c r="CR30" i="12" s="1"/>
  <c r="U30" i="12"/>
  <c r="T30" i="12"/>
  <c r="S30" i="12"/>
  <c r="O30" i="12"/>
  <c r="N30" i="12"/>
  <c r="M30" i="12"/>
  <c r="L30" i="12"/>
  <c r="G30" i="12"/>
  <c r="H30" i="12" s="1"/>
  <c r="F30" i="12"/>
  <c r="E30" i="12"/>
  <c r="CS29" i="12"/>
  <c r="CR29" i="12"/>
  <c r="CN29" i="12"/>
  <c r="CM29" i="12"/>
  <c r="CO29" i="12" s="1"/>
  <c r="CX29" i="12" s="1"/>
  <c r="CL29" i="12"/>
  <c r="CP29" i="12" s="1"/>
  <c r="CY29" i="12" s="1"/>
  <c r="CK29" i="12"/>
  <c r="CJ29" i="12"/>
  <c r="CI29" i="12"/>
  <c r="CA29" i="12"/>
  <c r="BZ29" i="12"/>
  <c r="BY29" i="12"/>
  <c r="CB29" i="12" s="1"/>
  <c r="BX29" i="12"/>
  <c r="BW29" i="12"/>
  <c r="BO29" i="12"/>
  <c r="BN29" i="12"/>
  <c r="BP29" i="12" s="1"/>
  <c r="BQ29" i="12" s="1"/>
  <c r="BI29" i="12"/>
  <c r="BJ29" i="12" s="1"/>
  <c r="BK29" i="12" s="1"/>
  <c r="BH29" i="12"/>
  <c r="BC29" i="12"/>
  <c r="BB29" i="12"/>
  <c r="BD29" i="12" s="1"/>
  <c r="BE29" i="12" s="1"/>
  <c r="AX29" i="12"/>
  <c r="AY29" i="12" s="1"/>
  <c r="CU29" i="12" s="1"/>
  <c r="AW29" i="12"/>
  <c r="AV29" i="12"/>
  <c r="AU29" i="12"/>
  <c r="AQ29" i="12"/>
  <c r="CT29" i="12" s="1"/>
  <c r="AP29" i="12"/>
  <c r="AO29" i="12"/>
  <c r="AN29" i="12"/>
  <c r="AM29" i="12"/>
  <c r="AF29" i="12"/>
  <c r="AE29" i="12"/>
  <c r="AD29" i="12"/>
  <c r="AC29" i="12"/>
  <c r="AB29" i="12"/>
  <c r="AH29" i="12" s="1"/>
  <c r="V29" i="12"/>
  <c r="T29" i="12"/>
  <c r="S29" i="12"/>
  <c r="U29" i="12" s="1"/>
  <c r="N29" i="12"/>
  <c r="M29" i="12"/>
  <c r="O29" i="12" s="1"/>
  <c r="P29" i="12" s="1"/>
  <c r="CQ29" i="12" s="1"/>
  <c r="L29" i="12"/>
  <c r="G29" i="12"/>
  <c r="F29" i="12"/>
  <c r="E29" i="12"/>
  <c r="H29" i="12" s="1"/>
  <c r="CY28" i="12"/>
  <c r="CM28" i="12"/>
  <c r="CL28" i="12"/>
  <c r="CP28" i="12" s="1"/>
  <c r="CK28" i="12"/>
  <c r="CJ28" i="12"/>
  <c r="CI28" i="12"/>
  <c r="BZ28" i="12"/>
  <c r="BY28" i="12"/>
  <c r="BX28" i="12"/>
  <c r="BW28" i="12"/>
  <c r="CA28" i="12" s="1"/>
  <c r="BO28" i="12"/>
  <c r="BP28" i="12" s="1"/>
  <c r="BQ28" i="12" s="1"/>
  <c r="BR28" i="12" s="1"/>
  <c r="CV28" i="12" s="1"/>
  <c r="BN28" i="12"/>
  <c r="BK28" i="12"/>
  <c r="BJ28" i="12"/>
  <c r="BI28" i="12"/>
  <c r="BH28" i="12"/>
  <c r="BC28" i="12"/>
  <c r="BB28" i="12"/>
  <c r="BD28" i="12" s="1"/>
  <c r="BE28" i="12" s="1"/>
  <c r="AX28" i="12"/>
  <c r="AY28" i="12" s="1"/>
  <c r="CU28" i="12" s="1"/>
  <c r="AW28" i="12"/>
  <c r="AV28" i="12"/>
  <c r="AU28" i="12"/>
  <c r="AO28" i="12"/>
  <c r="AN28" i="12"/>
  <c r="AM28" i="12"/>
  <c r="AF28" i="12"/>
  <c r="AE28" i="12"/>
  <c r="AD28" i="12"/>
  <c r="AH28" i="12" s="1"/>
  <c r="AC28" i="12"/>
  <c r="AB28" i="12"/>
  <c r="V28" i="12"/>
  <c r="CR28" i="12" s="1"/>
  <c r="U28" i="12"/>
  <c r="T28" i="12"/>
  <c r="S28" i="12"/>
  <c r="N28" i="12"/>
  <c r="M28" i="12"/>
  <c r="L28" i="12"/>
  <c r="O28" i="12" s="1"/>
  <c r="G28" i="12"/>
  <c r="H28" i="12" s="1"/>
  <c r="F28" i="12"/>
  <c r="E28" i="12"/>
  <c r="CY27" i="12"/>
  <c r="CP27" i="12"/>
  <c r="CO27" i="12"/>
  <c r="CX27" i="12" s="1"/>
  <c r="CN27" i="12"/>
  <c r="CL27" i="12"/>
  <c r="CK27" i="12"/>
  <c r="CJ27" i="12"/>
  <c r="CI27" i="12"/>
  <c r="CM27" i="12" s="1"/>
  <c r="BZ27" i="12"/>
  <c r="BY27" i="12"/>
  <c r="BX27" i="12"/>
  <c r="CB27" i="12" s="1"/>
  <c r="BW27" i="12"/>
  <c r="CA27" i="12" s="1"/>
  <c r="CC27" i="12" s="1"/>
  <c r="CD27" i="12" s="1"/>
  <c r="CW27" i="12" s="1"/>
  <c r="BQ27" i="12"/>
  <c r="BP27" i="12"/>
  <c r="BO27" i="12"/>
  <c r="BN27" i="12"/>
  <c r="BJ27" i="12"/>
  <c r="BK27" i="12" s="1"/>
  <c r="BR27" i="12" s="1"/>
  <c r="CV27" i="12" s="1"/>
  <c r="BI27" i="12"/>
  <c r="BH27" i="12"/>
  <c r="BE27" i="12"/>
  <c r="BD27" i="12"/>
  <c r="BC27" i="12"/>
  <c r="BB27" i="12"/>
  <c r="AW27" i="12"/>
  <c r="AV27" i="12"/>
  <c r="AU27" i="12"/>
  <c r="AX27" i="12" s="1"/>
  <c r="AY27" i="12" s="1"/>
  <c r="CU27" i="12" s="1"/>
  <c r="AO27" i="12"/>
  <c r="AN27" i="12"/>
  <c r="AM27" i="12"/>
  <c r="AQ27" i="12" s="1"/>
  <c r="CT27" i="12" s="1"/>
  <c r="AF27" i="12"/>
  <c r="AG27" i="12" s="1"/>
  <c r="AE27" i="12"/>
  <c r="AD27" i="12"/>
  <c r="AC27" i="12"/>
  <c r="AH27" i="12" s="1"/>
  <c r="AB27" i="12"/>
  <c r="T27" i="12"/>
  <c r="V27" i="12" s="1"/>
  <c r="CR27" i="12" s="1"/>
  <c r="S27" i="12"/>
  <c r="N27" i="12"/>
  <c r="M27" i="12"/>
  <c r="L27" i="12"/>
  <c r="O27" i="12" s="1"/>
  <c r="G27" i="12"/>
  <c r="F27" i="12"/>
  <c r="E27" i="12"/>
  <c r="H27" i="12" s="1"/>
  <c r="CP26" i="12"/>
  <c r="CY26" i="12" s="1"/>
  <c r="CO26" i="12"/>
  <c r="CX26" i="12" s="1"/>
  <c r="CN26" i="12"/>
  <c r="CM26" i="12"/>
  <c r="CL26" i="12"/>
  <c r="CK26" i="12"/>
  <c r="CJ26" i="12"/>
  <c r="CI26" i="12"/>
  <c r="BZ26" i="12"/>
  <c r="BY26" i="12"/>
  <c r="BX26" i="12"/>
  <c r="BW26" i="12"/>
  <c r="CA26" i="12" s="1"/>
  <c r="BO26" i="12"/>
  <c r="BP26" i="12" s="1"/>
  <c r="BQ26" i="12" s="1"/>
  <c r="BN26" i="12"/>
  <c r="BI26" i="12"/>
  <c r="BH26" i="12"/>
  <c r="BC26" i="12"/>
  <c r="BB26" i="12"/>
  <c r="BD26" i="12" s="1"/>
  <c r="BE26" i="12" s="1"/>
  <c r="AW26" i="12"/>
  <c r="AV26" i="12"/>
  <c r="AU26" i="12"/>
  <c r="AX26" i="12" s="1"/>
  <c r="AY26" i="12" s="1"/>
  <c r="CU26" i="12" s="1"/>
  <c r="AO26" i="12"/>
  <c r="AN26" i="12"/>
  <c r="AM26" i="12"/>
  <c r="AF26" i="12"/>
  <c r="AE26" i="12"/>
  <c r="AH26" i="12" s="1"/>
  <c r="AD26" i="12"/>
  <c r="AC26" i="12"/>
  <c r="AB26" i="12"/>
  <c r="T26" i="12"/>
  <c r="V26" i="12" s="1"/>
  <c r="CR26" i="12" s="1"/>
  <c r="S26" i="12"/>
  <c r="O26" i="12"/>
  <c r="P26" i="12" s="1"/>
  <c r="CQ26" i="12" s="1"/>
  <c r="N26" i="12"/>
  <c r="M26" i="12"/>
  <c r="L26" i="12"/>
  <c r="G26" i="12"/>
  <c r="F26" i="12"/>
  <c r="E26" i="12"/>
  <c r="H26" i="12" s="1"/>
  <c r="CM25" i="12"/>
  <c r="CL25" i="12"/>
  <c r="CP25" i="12" s="1"/>
  <c r="CY25" i="12" s="1"/>
  <c r="CK25" i="12"/>
  <c r="CJ25" i="12"/>
  <c r="CN25" i="12" s="1"/>
  <c r="CO25" i="12" s="1"/>
  <c r="CX25" i="12" s="1"/>
  <c r="CI25" i="12"/>
  <c r="BZ25" i="12"/>
  <c r="BY25" i="12"/>
  <c r="BX25" i="12"/>
  <c r="CB25" i="12" s="1"/>
  <c r="BW25" i="12"/>
  <c r="CA25" i="12" s="1"/>
  <c r="BO25" i="12"/>
  <c r="BN25" i="12"/>
  <c r="BP25" i="12" s="1"/>
  <c r="BQ25" i="12" s="1"/>
  <c r="BR25" i="12" s="1"/>
  <c r="CV25" i="12" s="1"/>
  <c r="BJ25" i="12"/>
  <c r="BK25" i="12" s="1"/>
  <c r="BI25" i="12"/>
  <c r="BH25" i="12"/>
  <c r="BC25" i="12"/>
  <c r="BD25" i="12" s="1"/>
  <c r="BE25" i="12" s="1"/>
  <c r="BB25" i="12"/>
  <c r="AX25" i="12"/>
  <c r="AY25" i="12" s="1"/>
  <c r="CU25" i="12" s="1"/>
  <c r="AW25" i="12"/>
  <c r="AV25" i="12"/>
  <c r="AU25" i="12"/>
  <c r="AO25" i="12"/>
  <c r="AN25" i="12"/>
  <c r="AM25" i="12"/>
  <c r="AF25" i="12"/>
  <c r="AE25" i="12"/>
  <c r="AD25" i="12"/>
  <c r="AC25" i="12"/>
  <c r="AB25" i="12"/>
  <c r="AH25" i="12" s="1"/>
  <c r="T25" i="12"/>
  <c r="S25" i="12"/>
  <c r="P25" i="12"/>
  <c r="CQ25" i="12" s="1"/>
  <c r="N25" i="12"/>
  <c r="M25" i="12"/>
  <c r="O25" i="12" s="1"/>
  <c r="L25" i="12"/>
  <c r="G25" i="12"/>
  <c r="F25" i="12"/>
  <c r="E25" i="12"/>
  <c r="H25" i="12" s="1"/>
  <c r="CT24" i="12"/>
  <c r="CL24" i="12"/>
  <c r="CP24" i="12" s="1"/>
  <c r="CY24" i="12" s="1"/>
  <c r="CK24" i="12"/>
  <c r="CJ24" i="12"/>
  <c r="CI24" i="12"/>
  <c r="CM24" i="12" s="1"/>
  <c r="BZ24" i="12"/>
  <c r="BY24" i="12"/>
  <c r="BX24" i="12"/>
  <c r="CB24" i="12" s="1"/>
  <c r="BW24" i="12"/>
  <c r="CA24" i="12" s="1"/>
  <c r="BO24" i="12"/>
  <c r="BP24" i="12" s="1"/>
  <c r="BQ24" i="12" s="1"/>
  <c r="BN24" i="12"/>
  <c r="BI24" i="12"/>
  <c r="BH24" i="12"/>
  <c r="BJ24" i="12" s="1"/>
  <c r="BK24" i="12" s="1"/>
  <c r="BC24" i="12"/>
  <c r="BB24" i="12"/>
  <c r="BD24" i="12" s="1"/>
  <c r="BE24" i="12" s="1"/>
  <c r="AW24" i="12"/>
  <c r="AV24" i="12"/>
  <c r="AU24" i="12"/>
  <c r="AO24" i="12"/>
  <c r="AN24" i="12"/>
  <c r="AM24" i="12"/>
  <c r="AQ24" i="12" s="1"/>
  <c r="AF24" i="12"/>
  <c r="AE24" i="12"/>
  <c r="AH24" i="12" s="1"/>
  <c r="AD24" i="12"/>
  <c r="AC24" i="12"/>
  <c r="AB24" i="12"/>
  <c r="AG24" i="12" s="1"/>
  <c r="V24" i="12"/>
  <c r="CR24" i="12" s="1"/>
  <c r="U24" i="12"/>
  <c r="T24" i="12"/>
  <c r="S24" i="12"/>
  <c r="N24" i="12"/>
  <c r="M24" i="12"/>
  <c r="L24" i="12"/>
  <c r="O24" i="12" s="1"/>
  <c r="P24" i="12" s="1"/>
  <c r="CQ24" i="12" s="1"/>
  <c r="H24" i="12"/>
  <c r="G24" i="12"/>
  <c r="F24" i="12"/>
  <c r="E24" i="12"/>
  <c r="CP23" i="12"/>
  <c r="CY23" i="12" s="1"/>
  <c r="CO23" i="12"/>
  <c r="CX23" i="12" s="1"/>
  <c r="CN23" i="12"/>
  <c r="CL23" i="12"/>
  <c r="CK23" i="12"/>
  <c r="CJ23" i="12"/>
  <c r="CI23" i="12"/>
  <c r="CM23" i="12" s="1"/>
  <c r="CC23" i="12"/>
  <c r="CD23" i="12" s="1"/>
  <c r="CW23" i="12" s="1"/>
  <c r="CB23" i="12"/>
  <c r="BZ23" i="12"/>
  <c r="BY23" i="12"/>
  <c r="BX23" i="12"/>
  <c r="BW23" i="12"/>
  <c r="CA23" i="12" s="1"/>
  <c r="BO23" i="12"/>
  <c r="BP23" i="12" s="1"/>
  <c r="BQ23" i="12" s="1"/>
  <c r="BN23" i="12"/>
  <c r="BI23" i="12"/>
  <c r="BH23" i="12"/>
  <c r="BJ23" i="12" s="1"/>
  <c r="BK23" i="12" s="1"/>
  <c r="BE23" i="12"/>
  <c r="BD23" i="12"/>
  <c r="BC23" i="12"/>
  <c r="BB23" i="12"/>
  <c r="AX23" i="12"/>
  <c r="AY23" i="12" s="1"/>
  <c r="CU23" i="12" s="1"/>
  <c r="AW23" i="12"/>
  <c r="AV23" i="12"/>
  <c r="AU23" i="12"/>
  <c r="AQ23" i="12"/>
  <c r="CT23" i="12" s="1"/>
  <c r="AO23" i="12"/>
  <c r="AN23" i="12"/>
  <c r="AM23" i="12"/>
  <c r="AP23" i="12" s="1"/>
  <c r="AF23" i="12"/>
  <c r="AE23" i="12"/>
  <c r="AD23" i="12"/>
  <c r="AC23" i="12"/>
  <c r="AB23" i="12"/>
  <c r="V23" i="12"/>
  <c r="CR23" i="12" s="1"/>
  <c r="T23" i="12"/>
  <c r="S23" i="12"/>
  <c r="U23" i="12" s="1"/>
  <c r="N23" i="12"/>
  <c r="M23" i="12"/>
  <c r="L23" i="12"/>
  <c r="O23" i="12" s="1"/>
  <c r="G23" i="12"/>
  <c r="F23" i="12"/>
  <c r="H23" i="12" s="1"/>
  <c r="E23" i="12"/>
  <c r="CT22" i="12"/>
  <c r="CP22" i="12"/>
  <c r="CY22" i="12" s="1"/>
  <c r="CN22" i="12"/>
  <c r="CL22" i="12"/>
  <c r="CK22" i="12"/>
  <c r="CJ22" i="12"/>
  <c r="CI22" i="12"/>
  <c r="CM22" i="12" s="1"/>
  <c r="CO22" i="12" s="1"/>
  <c r="CX22" i="12" s="1"/>
  <c r="CA22" i="12"/>
  <c r="CC22" i="12" s="1"/>
  <c r="CD22" i="12" s="1"/>
  <c r="CW22" i="12" s="1"/>
  <c r="BZ22" i="12"/>
  <c r="CB22" i="12" s="1"/>
  <c r="BY22" i="12"/>
  <c r="BX22" i="12"/>
  <c r="BW22" i="12"/>
  <c r="BO22" i="12"/>
  <c r="BN22" i="12"/>
  <c r="BP22" i="12" s="1"/>
  <c r="BQ22" i="12" s="1"/>
  <c r="BI22" i="12"/>
  <c r="BH22" i="12"/>
  <c r="BJ22" i="12" s="1"/>
  <c r="BK22" i="12" s="1"/>
  <c r="BE22" i="12"/>
  <c r="BD22" i="12"/>
  <c r="BC22" i="12"/>
  <c r="BB22" i="12"/>
  <c r="AW22" i="12"/>
  <c r="AV22" i="12"/>
  <c r="AU22" i="12"/>
  <c r="AX22" i="12" s="1"/>
  <c r="AY22" i="12" s="1"/>
  <c r="CU22" i="12" s="1"/>
  <c r="AO22" i="12"/>
  <c r="AQ22" i="12" s="1"/>
  <c r="AN22" i="12"/>
  <c r="AM22" i="12"/>
  <c r="AF22" i="12"/>
  <c r="AE22" i="12"/>
  <c r="AD22" i="12"/>
  <c r="AC22" i="12"/>
  <c r="AB22" i="12"/>
  <c r="T22" i="12"/>
  <c r="S22" i="12"/>
  <c r="V22" i="12" s="1"/>
  <c r="CR22" i="12" s="1"/>
  <c r="N22" i="12"/>
  <c r="M22" i="12"/>
  <c r="L22" i="12"/>
  <c r="O22" i="12" s="1"/>
  <c r="P22" i="12" s="1"/>
  <c r="CQ22" i="12" s="1"/>
  <c r="H22" i="12"/>
  <c r="G22" i="12"/>
  <c r="F22" i="12"/>
  <c r="E22" i="12"/>
  <c r="CM21" i="12"/>
  <c r="CL21" i="12"/>
  <c r="CP21" i="12" s="1"/>
  <c r="CY21" i="12" s="1"/>
  <c r="CK21" i="12"/>
  <c r="CN21" i="12" s="1"/>
  <c r="CJ21" i="12"/>
  <c r="CI21" i="12"/>
  <c r="CA21" i="12"/>
  <c r="BZ21" i="12"/>
  <c r="BY21" i="12"/>
  <c r="BX21" i="12"/>
  <c r="CB21" i="12" s="1"/>
  <c r="BW21" i="12"/>
  <c r="BO21" i="12"/>
  <c r="BN21" i="12"/>
  <c r="BP21" i="12" s="1"/>
  <c r="BQ21" i="12" s="1"/>
  <c r="BJ21" i="12"/>
  <c r="BK21" i="12" s="1"/>
  <c r="BI21" i="12"/>
  <c r="BH21" i="12"/>
  <c r="BC21" i="12"/>
  <c r="BD21" i="12" s="1"/>
  <c r="BE21" i="12" s="1"/>
  <c r="BB21" i="12"/>
  <c r="AW21" i="12"/>
  <c r="AV21" i="12"/>
  <c r="AU21" i="12"/>
  <c r="AX21" i="12" s="1"/>
  <c r="AY21" i="12" s="1"/>
  <c r="CU21" i="12" s="1"/>
  <c r="AQ21" i="12"/>
  <c r="CT21" i="12" s="1"/>
  <c r="AO21" i="12"/>
  <c r="AN21" i="12"/>
  <c r="AP21" i="12" s="1"/>
  <c r="AM21" i="12"/>
  <c r="AF21" i="12"/>
  <c r="AE21" i="12"/>
  <c r="AD21" i="12"/>
  <c r="AC21" i="12"/>
  <c r="AB21" i="12"/>
  <c r="V21" i="12"/>
  <c r="CR21" i="12" s="1"/>
  <c r="U21" i="12"/>
  <c r="T21" i="12"/>
  <c r="S21" i="12"/>
  <c r="N21" i="12"/>
  <c r="M21" i="12"/>
  <c r="O21" i="12" s="1"/>
  <c r="P21" i="12" s="1"/>
  <c r="CQ21" i="12" s="1"/>
  <c r="L21" i="12"/>
  <c r="G21" i="12"/>
  <c r="F21" i="12"/>
  <c r="E21" i="12"/>
  <c r="H21" i="12" s="1"/>
  <c r="CP20" i="12"/>
  <c r="CY20" i="12" s="1"/>
  <c r="CL20" i="12"/>
  <c r="CK20" i="12"/>
  <c r="CJ20" i="12"/>
  <c r="CN20" i="12" s="1"/>
  <c r="CI20" i="12"/>
  <c r="CM20" i="12" s="1"/>
  <c r="CO20" i="12" s="1"/>
  <c r="CX20" i="12" s="1"/>
  <c r="BZ20" i="12"/>
  <c r="BY20" i="12"/>
  <c r="BX20" i="12"/>
  <c r="BW20" i="12"/>
  <c r="CA20" i="12" s="1"/>
  <c r="BO20" i="12"/>
  <c r="BN20" i="12"/>
  <c r="BP20" i="12" s="1"/>
  <c r="BQ20" i="12" s="1"/>
  <c r="BI20" i="12"/>
  <c r="BH20" i="12"/>
  <c r="BJ20" i="12" s="1"/>
  <c r="BK20" i="12" s="1"/>
  <c r="BC20" i="12"/>
  <c r="BB20" i="12"/>
  <c r="BD20" i="12" s="1"/>
  <c r="BE20" i="12" s="1"/>
  <c r="AX20" i="12"/>
  <c r="AY20" i="12" s="1"/>
  <c r="CU20" i="12" s="1"/>
  <c r="AW20" i="12"/>
  <c r="AV20" i="12"/>
  <c r="AU20" i="12"/>
  <c r="AO20" i="12"/>
  <c r="AN20" i="12"/>
  <c r="AP20" i="12" s="1"/>
  <c r="AM20" i="12"/>
  <c r="AH20" i="12"/>
  <c r="CS20" i="12" s="1"/>
  <c r="AF20" i="12"/>
  <c r="AE20" i="12"/>
  <c r="AD20" i="12"/>
  <c r="AC20" i="12"/>
  <c r="AB20" i="12"/>
  <c r="AG20" i="12" s="1"/>
  <c r="T20" i="12"/>
  <c r="S20" i="12"/>
  <c r="V20" i="12" s="1"/>
  <c r="CR20" i="12" s="1"/>
  <c r="N20" i="12"/>
  <c r="M20" i="12"/>
  <c r="O20" i="12" s="1"/>
  <c r="P20" i="12" s="1"/>
  <c r="CQ20" i="12" s="1"/>
  <c r="L20" i="12"/>
  <c r="H20" i="12"/>
  <c r="G20" i="12"/>
  <c r="F20" i="12"/>
  <c r="E20" i="12"/>
  <c r="CL19" i="12"/>
  <c r="CP19" i="12" s="1"/>
  <c r="CY19" i="12" s="1"/>
  <c r="CK19" i="12"/>
  <c r="CJ19" i="12"/>
  <c r="CN19" i="12" s="1"/>
  <c r="CI19" i="12"/>
  <c r="CM19" i="12" s="1"/>
  <c r="BZ19" i="12"/>
  <c r="BY19" i="12"/>
  <c r="CB19" i="12" s="1"/>
  <c r="CC19" i="12" s="1"/>
  <c r="CD19" i="12" s="1"/>
  <c r="CW19" i="12" s="1"/>
  <c r="BX19" i="12"/>
  <c r="BW19" i="12"/>
  <c r="CA19" i="12" s="1"/>
  <c r="BP19" i="12"/>
  <c r="BQ19" i="12" s="1"/>
  <c r="BR19" i="12" s="1"/>
  <c r="CV19" i="12" s="1"/>
  <c r="BO19" i="12"/>
  <c r="BN19" i="12"/>
  <c r="BI19" i="12"/>
  <c r="BH19" i="12"/>
  <c r="BJ19" i="12" s="1"/>
  <c r="BK19" i="12" s="1"/>
  <c r="BD19" i="12"/>
  <c r="BE19" i="12" s="1"/>
  <c r="BC19" i="12"/>
  <c r="BB19" i="12"/>
  <c r="AW19" i="12"/>
  <c r="AV19" i="12"/>
  <c r="AU19" i="12"/>
  <c r="AX19" i="12" s="1"/>
  <c r="AY19" i="12" s="1"/>
  <c r="CU19" i="12" s="1"/>
  <c r="AQ19" i="12"/>
  <c r="CT19" i="12" s="1"/>
  <c r="AO19" i="12"/>
  <c r="AN19" i="12"/>
  <c r="AM19" i="12"/>
  <c r="AF19" i="12"/>
  <c r="AH19" i="12" s="1"/>
  <c r="CS19" i="12" s="1"/>
  <c r="AE19" i="12"/>
  <c r="AD19" i="12"/>
  <c r="AC19" i="12"/>
  <c r="AB19" i="12"/>
  <c r="T19" i="12"/>
  <c r="S19" i="12"/>
  <c r="O19" i="12"/>
  <c r="P19" i="12" s="1"/>
  <c r="CQ19" i="12" s="1"/>
  <c r="N19" i="12"/>
  <c r="M19" i="12"/>
  <c r="L19" i="12"/>
  <c r="G19" i="12"/>
  <c r="F19" i="12"/>
  <c r="H19" i="12" s="1"/>
  <c r="E19" i="12"/>
  <c r="CY18" i="12"/>
  <c r="CL18" i="12"/>
  <c r="CP18" i="12" s="1"/>
  <c r="CK18" i="12"/>
  <c r="CJ18" i="12"/>
  <c r="CI18" i="12"/>
  <c r="CM18" i="12" s="1"/>
  <c r="BZ18" i="12"/>
  <c r="CB18" i="12" s="1"/>
  <c r="BY18" i="12"/>
  <c r="BX18" i="12"/>
  <c r="BW18" i="12"/>
  <c r="CA18" i="12" s="1"/>
  <c r="CC18" i="12" s="1"/>
  <c r="CD18" i="12" s="1"/>
  <c r="CW18" i="12" s="1"/>
  <c r="BO18" i="12"/>
  <c r="BN18" i="12"/>
  <c r="BI18" i="12"/>
  <c r="BH18" i="12"/>
  <c r="BJ18" i="12" s="1"/>
  <c r="BK18" i="12" s="1"/>
  <c r="BC18" i="12"/>
  <c r="BB18" i="12"/>
  <c r="BD18" i="12" s="1"/>
  <c r="BE18" i="12" s="1"/>
  <c r="AW18" i="12"/>
  <c r="AX18" i="12" s="1"/>
  <c r="AY18" i="12" s="1"/>
  <c r="CU18" i="12" s="1"/>
  <c r="AV18" i="12"/>
  <c r="AU18" i="12"/>
  <c r="AO18" i="12"/>
  <c r="AQ18" i="12" s="1"/>
  <c r="CT18" i="12" s="1"/>
  <c r="AN18" i="12"/>
  <c r="AM18" i="12"/>
  <c r="AF18" i="12"/>
  <c r="AE18" i="12"/>
  <c r="AD18" i="12"/>
  <c r="AH18" i="12" s="1"/>
  <c r="AC18" i="12"/>
  <c r="AB18" i="12"/>
  <c r="T18" i="12"/>
  <c r="S18" i="12"/>
  <c r="V18" i="12" s="1"/>
  <c r="CR18" i="12" s="1"/>
  <c r="N18" i="12"/>
  <c r="M18" i="12"/>
  <c r="L18" i="12"/>
  <c r="O18" i="12" s="1"/>
  <c r="G18" i="12"/>
  <c r="F18" i="12"/>
  <c r="E18" i="12"/>
  <c r="H18" i="12" s="1"/>
  <c r="CL17" i="12"/>
  <c r="CP17" i="12" s="1"/>
  <c r="CY17" i="12" s="1"/>
  <c r="CK17" i="12"/>
  <c r="CJ17" i="12"/>
  <c r="CN17" i="12" s="1"/>
  <c r="CI17" i="12"/>
  <c r="CM17" i="12" s="1"/>
  <c r="CA17" i="12"/>
  <c r="BZ17" i="12"/>
  <c r="BY17" i="12"/>
  <c r="BX17" i="12"/>
  <c r="CB17" i="12" s="1"/>
  <c r="CC17" i="12" s="1"/>
  <c r="CD17" i="12" s="1"/>
  <c r="CW17" i="12" s="1"/>
  <c r="BW17" i="12"/>
  <c r="BP17" i="12"/>
  <c r="BQ17" i="12" s="1"/>
  <c r="BR17" i="12" s="1"/>
  <c r="CV17" i="12" s="1"/>
  <c r="BO17" i="12"/>
  <c r="BN17" i="12"/>
  <c r="BK17" i="12"/>
  <c r="BJ17" i="12"/>
  <c r="BI17" i="12"/>
  <c r="BH17" i="12"/>
  <c r="BC17" i="12"/>
  <c r="BB17" i="12"/>
  <c r="BD17" i="12" s="1"/>
  <c r="BE17" i="12" s="1"/>
  <c r="AX17" i="12"/>
  <c r="AY17" i="12" s="1"/>
  <c r="CU17" i="12" s="1"/>
  <c r="AW17" i="12"/>
  <c r="AV17" i="12"/>
  <c r="AU17" i="12"/>
  <c r="AO17" i="12"/>
  <c r="AN17" i="12"/>
  <c r="AQ17" i="12" s="1"/>
  <c r="CT17" i="12" s="1"/>
  <c r="AM17" i="12"/>
  <c r="AF17" i="12"/>
  <c r="AE17" i="12"/>
  <c r="AD17" i="12"/>
  <c r="AC17" i="12"/>
  <c r="AG17" i="12" s="1"/>
  <c r="AB17" i="12"/>
  <c r="T17" i="12"/>
  <c r="S17" i="12"/>
  <c r="V17" i="12" s="1"/>
  <c r="CR17" i="12" s="1"/>
  <c r="N17" i="12"/>
  <c r="M17" i="12"/>
  <c r="L17" i="12"/>
  <c r="G17" i="12"/>
  <c r="F17" i="12"/>
  <c r="E17" i="12"/>
  <c r="H17" i="12" s="1"/>
  <c r="CP16" i="12"/>
  <c r="CY16" i="12" s="1"/>
  <c r="CL16" i="12"/>
  <c r="CK16" i="12"/>
  <c r="CJ16" i="12"/>
  <c r="CN16" i="12" s="1"/>
  <c r="CI16" i="12"/>
  <c r="CM16" i="12" s="1"/>
  <c r="BZ16" i="12"/>
  <c r="BY16" i="12"/>
  <c r="BX16" i="12"/>
  <c r="CB16" i="12" s="1"/>
  <c r="BW16" i="12"/>
  <c r="CA16" i="12" s="1"/>
  <c r="CC16" i="12" s="1"/>
  <c r="CD16" i="12" s="1"/>
  <c r="CW16" i="12" s="1"/>
  <c r="BO16" i="12"/>
  <c r="BN16" i="12"/>
  <c r="BI16" i="12"/>
  <c r="BH16" i="12"/>
  <c r="BC16" i="12"/>
  <c r="BB16" i="12"/>
  <c r="BD16" i="12" s="1"/>
  <c r="BE16" i="12" s="1"/>
  <c r="AW16" i="12"/>
  <c r="AV16" i="12"/>
  <c r="AU16" i="12"/>
  <c r="AX16" i="12" s="1"/>
  <c r="AY16" i="12" s="1"/>
  <c r="CU16" i="12" s="1"/>
  <c r="AQ16" i="12"/>
  <c r="CT16" i="12" s="1"/>
  <c r="AO16" i="12"/>
  <c r="AN16" i="12"/>
  <c r="AM16" i="12"/>
  <c r="AP16" i="12" s="1"/>
  <c r="AF16" i="12"/>
  <c r="AE16" i="12"/>
  <c r="AD16" i="12"/>
  <c r="AC16" i="12"/>
  <c r="AH16" i="12" s="1"/>
  <c r="AB16" i="12"/>
  <c r="AG16" i="12" s="1"/>
  <c r="V16" i="12"/>
  <c r="CR16" i="12" s="1"/>
  <c r="U16" i="12"/>
  <c r="T16" i="12"/>
  <c r="S16" i="12"/>
  <c r="N16" i="12"/>
  <c r="M16" i="12"/>
  <c r="L16" i="12"/>
  <c r="O16" i="12" s="1"/>
  <c r="G16" i="12"/>
  <c r="F16" i="12"/>
  <c r="H16" i="12" s="1"/>
  <c r="E16" i="12"/>
  <c r="CY15" i="12"/>
  <c r="CP15" i="12"/>
  <c r="CO15" i="12"/>
  <c r="CX15" i="12" s="1"/>
  <c r="CN15" i="12"/>
  <c r="CL15" i="12"/>
  <c r="CK15" i="12"/>
  <c r="CJ15" i="12"/>
  <c r="CI15" i="12"/>
  <c r="CM15" i="12" s="1"/>
  <c r="CA15" i="12"/>
  <c r="BZ15" i="12"/>
  <c r="BY15" i="12"/>
  <c r="CB15" i="12" s="1"/>
  <c r="BX15" i="12"/>
  <c r="BW15" i="12"/>
  <c r="BQ15" i="12"/>
  <c r="BP15" i="12"/>
  <c r="BO15" i="12"/>
  <c r="BN15" i="12"/>
  <c r="BJ15" i="12"/>
  <c r="BK15" i="12" s="1"/>
  <c r="BI15" i="12"/>
  <c r="BH15" i="12"/>
  <c r="BD15" i="12"/>
  <c r="BE15" i="12" s="1"/>
  <c r="BC15" i="12"/>
  <c r="BB15" i="12"/>
  <c r="AW15" i="12"/>
  <c r="AV15" i="12"/>
  <c r="AU15" i="12"/>
  <c r="AX15" i="12" s="1"/>
  <c r="AY15" i="12" s="1"/>
  <c r="CU15" i="12" s="1"/>
  <c r="AO15" i="12"/>
  <c r="AN15" i="12"/>
  <c r="AM15" i="12"/>
  <c r="AQ15" i="12" s="1"/>
  <c r="CT15" i="12" s="1"/>
  <c r="AF15" i="12"/>
  <c r="AE15" i="12"/>
  <c r="AD15" i="12"/>
  <c r="AC15" i="12"/>
  <c r="AB15" i="12"/>
  <c r="AH15" i="12" s="1"/>
  <c r="T15" i="12"/>
  <c r="S15" i="12"/>
  <c r="N15" i="12"/>
  <c r="M15" i="12"/>
  <c r="L15" i="12"/>
  <c r="O15" i="12" s="1"/>
  <c r="G15" i="12"/>
  <c r="F15" i="12"/>
  <c r="E15" i="12"/>
  <c r="CU14" i="12"/>
  <c r="CN14" i="12"/>
  <c r="CM14" i="12"/>
  <c r="CO14" i="12" s="1"/>
  <c r="CX14" i="12" s="1"/>
  <c r="CL14" i="12"/>
  <c r="CP14" i="12" s="1"/>
  <c r="CY14" i="12" s="1"/>
  <c r="CK14" i="12"/>
  <c r="CJ14" i="12"/>
  <c r="CI14" i="12"/>
  <c r="BZ14" i="12"/>
  <c r="BY14" i="12"/>
  <c r="BX14" i="12"/>
  <c r="BW14" i="12"/>
  <c r="CA14" i="12" s="1"/>
  <c r="BO14" i="12"/>
  <c r="BN14" i="12"/>
  <c r="BP14" i="12" s="1"/>
  <c r="BQ14" i="12" s="1"/>
  <c r="BI14" i="12"/>
  <c r="BH14" i="12"/>
  <c r="BC14" i="12"/>
  <c r="BB14" i="12"/>
  <c r="AW14" i="12"/>
  <c r="AV14" i="12"/>
  <c r="AU14" i="12"/>
  <c r="AX14" i="12" s="1"/>
  <c r="AY14" i="12" s="1"/>
  <c r="AO14" i="12"/>
  <c r="AN14" i="12"/>
  <c r="AM14" i="12"/>
  <c r="AH14" i="12"/>
  <c r="CS14" i="12" s="1"/>
  <c r="AG14" i="12"/>
  <c r="AF14" i="12"/>
  <c r="AE14" i="12"/>
  <c r="AD14" i="12"/>
  <c r="AC14" i="12"/>
  <c r="AB14" i="12"/>
  <c r="T14" i="12"/>
  <c r="V14" i="12" s="1"/>
  <c r="CR14" i="12" s="1"/>
  <c r="S14" i="12"/>
  <c r="O14" i="12"/>
  <c r="P14" i="12" s="1"/>
  <c r="CQ14" i="12" s="1"/>
  <c r="N14" i="12"/>
  <c r="M14" i="12"/>
  <c r="L14" i="12"/>
  <c r="G14" i="12"/>
  <c r="F14" i="12"/>
  <c r="E14" i="12"/>
  <c r="H14" i="12" s="1"/>
  <c r="CY13" i="12"/>
  <c r="CU13" i="12"/>
  <c r="CM13" i="12"/>
  <c r="CL13" i="12"/>
  <c r="CP13" i="12" s="1"/>
  <c r="CK13" i="12"/>
  <c r="CJ13" i="12"/>
  <c r="CN13" i="12" s="1"/>
  <c r="CI13" i="12"/>
  <c r="BZ13" i="12"/>
  <c r="BY13" i="12"/>
  <c r="BX13" i="12"/>
  <c r="CB13" i="12" s="1"/>
  <c r="BW13" i="12"/>
  <c r="CA13" i="12" s="1"/>
  <c r="BO13" i="12"/>
  <c r="BP13" i="12" s="1"/>
  <c r="BQ13" i="12" s="1"/>
  <c r="BN13" i="12"/>
  <c r="BK13" i="12"/>
  <c r="BJ13" i="12"/>
  <c r="BI13" i="12"/>
  <c r="BH13" i="12"/>
  <c r="BD13" i="12"/>
  <c r="BE13" i="12" s="1"/>
  <c r="BC13" i="12"/>
  <c r="BB13" i="12"/>
  <c r="AY13" i="12"/>
  <c r="AX13" i="12"/>
  <c r="AW13" i="12"/>
  <c r="AV13" i="12"/>
  <c r="AU13" i="12"/>
  <c r="AO13" i="12"/>
  <c r="AN13" i="12"/>
  <c r="AM13" i="12"/>
  <c r="AF13" i="12"/>
  <c r="AE13" i="12"/>
  <c r="AD13" i="12"/>
  <c r="AC13" i="12"/>
  <c r="AH13" i="12" s="1"/>
  <c r="AB13" i="12"/>
  <c r="T13" i="12"/>
  <c r="S13" i="12"/>
  <c r="N13" i="12"/>
  <c r="M13" i="12"/>
  <c r="O13" i="12" s="1"/>
  <c r="P13" i="12" s="1"/>
  <c r="CQ13" i="12" s="1"/>
  <c r="L13" i="12"/>
  <c r="G13" i="12"/>
  <c r="F13" i="12"/>
  <c r="E13" i="12"/>
  <c r="H13" i="12" s="1"/>
  <c r="CR12" i="12"/>
  <c r="CP12" i="12"/>
  <c r="CY12" i="12" s="1"/>
  <c r="CL12" i="12"/>
  <c r="CK12" i="12"/>
  <c r="CJ12" i="12"/>
  <c r="CN12" i="12" s="1"/>
  <c r="CI12" i="12"/>
  <c r="CM12" i="12" s="1"/>
  <c r="CO12" i="12" s="1"/>
  <c r="CX12" i="12" s="1"/>
  <c r="CA12" i="12"/>
  <c r="CC12" i="12" s="1"/>
  <c r="CD12" i="12" s="1"/>
  <c r="CW12" i="12" s="1"/>
  <c r="BZ12" i="12"/>
  <c r="BY12" i="12"/>
  <c r="BX12" i="12"/>
  <c r="CB12" i="12" s="1"/>
  <c r="BW12" i="12"/>
  <c r="BP12" i="12"/>
  <c r="BQ12" i="12" s="1"/>
  <c r="BO12" i="12"/>
  <c r="BN12" i="12"/>
  <c r="BI12" i="12"/>
  <c r="BH12" i="12"/>
  <c r="BJ12" i="12" s="1"/>
  <c r="BK12" i="12" s="1"/>
  <c r="BC12" i="12"/>
  <c r="BB12" i="12"/>
  <c r="BD12" i="12" s="1"/>
  <c r="BE12" i="12" s="1"/>
  <c r="AW12" i="12"/>
  <c r="AV12" i="12"/>
  <c r="AU12" i="12"/>
  <c r="AO12" i="12"/>
  <c r="AN12" i="12"/>
  <c r="AM12" i="12"/>
  <c r="AQ12" i="12" s="1"/>
  <c r="CT12" i="12" s="1"/>
  <c r="AF12" i="12"/>
  <c r="AE12" i="12"/>
  <c r="AD12" i="12"/>
  <c r="AC12" i="12"/>
  <c r="AB12" i="12"/>
  <c r="AH12" i="12" s="1"/>
  <c r="V12" i="12"/>
  <c r="U12" i="12"/>
  <c r="T12" i="12"/>
  <c r="S12" i="12"/>
  <c r="N12" i="12"/>
  <c r="M12" i="12"/>
  <c r="L12" i="12"/>
  <c r="O12" i="12" s="1"/>
  <c r="P12" i="12" s="1"/>
  <c r="CQ12" i="12" s="1"/>
  <c r="H12" i="12"/>
  <c r="G12" i="12"/>
  <c r="F12" i="12"/>
  <c r="E12" i="12"/>
  <c r="CT11" i="12"/>
  <c r="CP11" i="12"/>
  <c r="CY11" i="12" s="1"/>
  <c r="CL11" i="12"/>
  <c r="CK11" i="12"/>
  <c r="CN11" i="12" s="1"/>
  <c r="CO11" i="12" s="1"/>
  <c r="CX11" i="12" s="1"/>
  <c r="CJ11" i="12"/>
  <c r="CI11" i="12"/>
  <c r="CM11" i="12" s="1"/>
  <c r="CB11" i="12"/>
  <c r="BZ11" i="12"/>
  <c r="BY11" i="12"/>
  <c r="BX11" i="12"/>
  <c r="BW11" i="12"/>
  <c r="CA11" i="12" s="1"/>
  <c r="CC11" i="12" s="1"/>
  <c r="CD11" i="12" s="1"/>
  <c r="CW11" i="12" s="1"/>
  <c r="BO11" i="12"/>
  <c r="BN11" i="12"/>
  <c r="BP11" i="12" s="1"/>
  <c r="BQ11" i="12" s="1"/>
  <c r="BI11" i="12"/>
  <c r="BH11" i="12"/>
  <c r="BJ11" i="12" s="1"/>
  <c r="BK11" i="12" s="1"/>
  <c r="BD11" i="12"/>
  <c r="BE11" i="12" s="1"/>
  <c r="BC11" i="12"/>
  <c r="BB11" i="12"/>
  <c r="AW11" i="12"/>
  <c r="AV11" i="12"/>
  <c r="AU11" i="12"/>
  <c r="AX11" i="12" s="1"/>
  <c r="AY11" i="12" s="1"/>
  <c r="CU11" i="12" s="1"/>
  <c r="AQ11" i="12"/>
  <c r="AO11" i="12"/>
  <c r="AN11" i="12"/>
  <c r="AM11" i="12"/>
  <c r="AP11" i="12" s="1"/>
  <c r="AF11" i="12"/>
  <c r="AE11" i="12"/>
  <c r="AD11" i="12"/>
  <c r="AC11" i="12"/>
  <c r="AB11" i="12"/>
  <c r="U11" i="12"/>
  <c r="T11" i="12"/>
  <c r="V11" i="12" s="1"/>
  <c r="CR11" i="12" s="1"/>
  <c r="S11" i="12"/>
  <c r="N11" i="12"/>
  <c r="M11" i="12"/>
  <c r="L11" i="12"/>
  <c r="O11" i="12" s="1"/>
  <c r="G11" i="12"/>
  <c r="F11" i="12"/>
  <c r="E11" i="12"/>
  <c r="CT10" i="12"/>
  <c r="CP10" i="12"/>
  <c r="CY10" i="12" s="1"/>
  <c r="CN10" i="12"/>
  <c r="CM10" i="12"/>
  <c r="CO10" i="12" s="1"/>
  <c r="CX10" i="12" s="1"/>
  <c r="CL10" i="12"/>
  <c r="CK10" i="12"/>
  <c r="CJ10" i="12"/>
  <c r="CI10" i="12"/>
  <c r="CA10" i="12"/>
  <c r="CC10" i="12" s="1"/>
  <c r="CD10" i="12" s="1"/>
  <c r="CW10" i="12" s="1"/>
  <c r="BZ10" i="12"/>
  <c r="CB10" i="12" s="1"/>
  <c r="BY10" i="12"/>
  <c r="BX10" i="12"/>
  <c r="BW10" i="12"/>
  <c r="BO10" i="12"/>
  <c r="BN10" i="12"/>
  <c r="BP10" i="12" s="1"/>
  <c r="BQ10" i="12" s="1"/>
  <c r="BI10" i="12"/>
  <c r="BJ10" i="12" s="1"/>
  <c r="BK10" i="12" s="1"/>
  <c r="BH10" i="12"/>
  <c r="BC10" i="12"/>
  <c r="BB10" i="12"/>
  <c r="BD10" i="12" s="1"/>
  <c r="BE10" i="12" s="1"/>
  <c r="AW10" i="12"/>
  <c r="AV10" i="12"/>
  <c r="AU10" i="12"/>
  <c r="AO10" i="12"/>
  <c r="AQ10" i="12" s="1"/>
  <c r="AN10" i="12"/>
  <c r="AM10" i="12"/>
  <c r="AF10" i="12"/>
  <c r="AE10" i="12"/>
  <c r="AD10" i="12"/>
  <c r="AC10" i="12"/>
  <c r="AB10" i="12"/>
  <c r="T10" i="12"/>
  <c r="S10" i="12"/>
  <c r="V10" i="12" s="1"/>
  <c r="CR10" i="12" s="1"/>
  <c r="N10" i="12"/>
  <c r="M10" i="12"/>
  <c r="L10" i="12"/>
  <c r="O10" i="12" s="1"/>
  <c r="G10" i="12"/>
  <c r="F10" i="12"/>
  <c r="H10" i="12" s="1"/>
  <c r="E10" i="12"/>
  <c r="CM9" i="12"/>
  <c r="CL9" i="12"/>
  <c r="CP9" i="12" s="1"/>
  <c r="CY9" i="12" s="1"/>
  <c r="CK9" i="12"/>
  <c r="CJ9" i="12"/>
  <c r="CN9" i="12" s="1"/>
  <c r="CI9" i="12"/>
  <c r="CA9" i="12"/>
  <c r="BZ9" i="12"/>
  <c r="BY9" i="12"/>
  <c r="CB9" i="12" s="1"/>
  <c r="BX9" i="12"/>
  <c r="BW9" i="12"/>
  <c r="BO9" i="12"/>
  <c r="BN9" i="12"/>
  <c r="BP9" i="12" s="1"/>
  <c r="BQ9" i="12" s="1"/>
  <c r="BI9" i="12"/>
  <c r="BH9" i="12"/>
  <c r="BJ9" i="12" s="1"/>
  <c r="BK9" i="12" s="1"/>
  <c r="BD9" i="12"/>
  <c r="BE9" i="12" s="1"/>
  <c r="BC9" i="12"/>
  <c r="BB9" i="12"/>
  <c r="AW9" i="12"/>
  <c r="AV9" i="12"/>
  <c r="AU9" i="12"/>
  <c r="AX9" i="12" s="1"/>
  <c r="AY9" i="12" s="1"/>
  <c r="CU9" i="12" s="1"/>
  <c r="AQ9" i="12"/>
  <c r="CT9" i="12" s="1"/>
  <c r="AP9" i="12"/>
  <c r="AO9" i="12"/>
  <c r="AN9" i="12"/>
  <c r="AM9" i="12"/>
  <c r="AF9" i="12"/>
  <c r="AE9" i="12"/>
  <c r="AD9" i="12"/>
  <c r="AC9" i="12"/>
  <c r="AB9" i="12"/>
  <c r="U9" i="12"/>
  <c r="T9" i="12"/>
  <c r="S9" i="12"/>
  <c r="V9" i="12" s="1"/>
  <c r="CR9" i="12" s="1"/>
  <c r="N9" i="12"/>
  <c r="M9" i="12"/>
  <c r="O9" i="12" s="1"/>
  <c r="L9" i="12"/>
  <c r="G9" i="12"/>
  <c r="F9" i="12"/>
  <c r="E9" i="12"/>
  <c r="CP8" i="12"/>
  <c r="CY8" i="12" s="1"/>
  <c r="CM8" i="12"/>
  <c r="CL8" i="12"/>
  <c r="CK8" i="12"/>
  <c r="CJ8" i="12"/>
  <c r="CN8" i="12" s="1"/>
  <c r="CO8" i="12" s="1"/>
  <c r="CX8" i="12" s="1"/>
  <c r="CI8" i="12"/>
  <c r="BZ8" i="12"/>
  <c r="BY8" i="12"/>
  <c r="BX8" i="12"/>
  <c r="BW8" i="12"/>
  <c r="CA8" i="12" s="1"/>
  <c r="BO8" i="12"/>
  <c r="BN8" i="12"/>
  <c r="BP8" i="12" s="1"/>
  <c r="BQ8" i="12" s="1"/>
  <c r="BR8" i="12" s="1"/>
  <c r="CV8" i="12" s="1"/>
  <c r="BI8" i="12"/>
  <c r="BH8" i="12"/>
  <c r="BJ8" i="12" s="1"/>
  <c r="BK8" i="12" s="1"/>
  <c r="BC8" i="12"/>
  <c r="BB8" i="12"/>
  <c r="BD8" i="12" s="1"/>
  <c r="BE8" i="12" s="1"/>
  <c r="AX8" i="12"/>
  <c r="AY8" i="12" s="1"/>
  <c r="CU8" i="12" s="1"/>
  <c r="AW8" i="12"/>
  <c r="AV8" i="12"/>
  <c r="AU8" i="12"/>
  <c r="AO8" i="12"/>
  <c r="AN8" i="12"/>
  <c r="AP8" i="12" s="1"/>
  <c r="AM8" i="12"/>
  <c r="AH8" i="12"/>
  <c r="CS8" i="12" s="1"/>
  <c r="AF8" i="12"/>
  <c r="AE8" i="12"/>
  <c r="AD8" i="12"/>
  <c r="AC8" i="12"/>
  <c r="AB8" i="12"/>
  <c r="AG8" i="12" s="1"/>
  <c r="U8" i="12"/>
  <c r="T8" i="12"/>
  <c r="S8" i="12"/>
  <c r="N8" i="12"/>
  <c r="M8" i="12"/>
  <c r="L8" i="12"/>
  <c r="O8" i="12" s="1"/>
  <c r="P8" i="12" s="1"/>
  <c r="CQ8" i="12" s="1"/>
  <c r="H8" i="12"/>
  <c r="G8" i="12"/>
  <c r="F8" i="12"/>
  <c r="E8" i="12"/>
  <c r="CL7" i="12"/>
  <c r="CP7" i="12" s="1"/>
  <c r="CY7" i="12" s="1"/>
  <c r="CK7" i="12"/>
  <c r="CJ7" i="12"/>
  <c r="CN7" i="12" s="1"/>
  <c r="CI7" i="12"/>
  <c r="CM7" i="12" s="1"/>
  <c r="CO7" i="12" s="1"/>
  <c r="CX7" i="12" s="1"/>
  <c r="BZ7" i="12"/>
  <c r="BY7" i="12"/>
  <c r="BX7" i="12"/>
  <c r="CB7" i="12" s="1"/>
  <c r="CC7" i="12" s="1"/>
  <c r="CD7" i="12" s="1"/>
  <c r="CW7" i="12" s="1"/>
  <c r="BW7" i="12"/>
  <c r="CA7" i="12" s="1"/>
  <c r="BP7" i="12"/>
  <c r="BQ7" i="12" s="1"/>
  <c r="BO7" i="12"/>
  <c r="BN7" i="12"/>
  <c r="BI7" i="12"/>
  <c r="BH7" i="12"/>
  <c r="BJ7" i="12" s="1"/>
  <c r="BK7" i="12" s="1"/>
  <c r="BC7" i="12"/>
  <c r="BB7" i="12"/>
  <c r="BD7" i="12" s="1"/>
  <c r="BE7" i="12" s="1"/>
  <c r="AW7" i="12"/>
  <c r="AV7" i="12"/>
  <c r="AX7" i="12" s="1"/>
  <c r="AY7" i="12" s="1"/>
  <c r="CU7" i="12" s="1"/>
  <c r="AU7" i="12"/>
  <c r="AQ7" i="12"/>
  <c r="CT7" i="12" s="1"/>
  <c r="AO7" i="12"/>
  <c r="AN7" i="12"/>
  <c r="AM7" i="12"/>
  <c r="AP7" i="12" s="1"/>
  <c r="AF7" i="12"/>
  <c r="AH7" i="12" s="1"/>
  <c r="AE7" i="12"/>
  <c r="AD7" i="12"/>
  <c r="AC7" i="12"/>
  <c r="AB7" i="12"/>
  <c r="T7" i="12"/>
  <c r="S7" i="12"/>
  <c r="N7" i="12"/>
  <c r="M7" i="12"/>
  <c r="L7" i="12"/>
  <c r="O7" i="12" s="1"/>
  <c r="G7" i="12"/>
  <c r="H7" i="12" s="1"/>
  <c r="F7" i="12"/>
  <c r="E7" i="12"/>
  <c r="CY6" i="12"/>
  <c r="CL6" i="12"/>
  <c r="CP6" i="12" s="1"/>
  <c r="CK6" i="12"/>
  <c r="CJ6" i="12"/>
  <c r="CN6" i="12" s="1"/>
  <c r="CI6" i="12"/>
  <c r="CM6" i="12" s="1"/>
  <c r="CB6" i="12"/>
  <c r="CA6" i="12"/>
  <c r="CC6" i="12" s="1"/>
  <c r="CD6" i="12" s="1"/>
  <c r="CW6" i="12" s="1"/>
  <c r="BZ6" i="12"/>
  <c r="BY6" i="12"/>
  <c r="BX6" i="12"/>
  <c r="BW6" i="12"/>
  <c r="BO6" i="12"/>
  <c r="BP6" i="12" s="1"/>
  <c r="BQ6" i="12" s="1"/>
  <c r="BR6" i="12" s="1"/>
  <c r="CV6" i="12" s="1"/>
  <c r="BN6" i="12"/>
  <c r="BI6" i="12"/>
  <c r="BH6" i="12"/>
  <c r="BJ6" i="12" s="1"/>
  <c r="BK6" i="12" s="1"/>
  <c r="BC6" i="12"/>
  <c r="BB6" i="12"/>
  <c r="BD6" i="12" s="1"/>
  <c r="BE6" i="12" s="1"/>
  <c r="AW6" i="12"/>
  <c r="AV6" i="12"/>
  <c r="AU6" i="12"/>
  <c r="AX6" i="12" s="1"/>
  <c r="AY6" i="12" s="1"/>
  <c r="CU6" i="12" s="1"/>
  <c r="AO6" i="12"/>
  <c r="AQ6" i="12" s="1"/>
  <c r="CT6" i="12" s="1"/>
  <c r="AN6" i="12"/>
  <c r="AM6" i="12"/>
  <c r="AH6" i="12"/>
  <c r="CS6" i="12" s="1"/>
  <c r="AF6" i="12"/>
  <c r="AE6" i="12"/>
  <c r="AD6" i="12"/>
  <c r="AG6" i="12" s="1"/>
  <c r="AC6" i="12"/>
  <c r="AB6" i="12"/>
  <c r="T6" i="12"/>
  <c r="V6" i="12" s="1"/>
  <c r="CR6" i="12" s="1"/>
  <c r="S6" i="12"/>
  <c r="U6" i="12" s="1"/>
  <c r="N6" i="12"/>
  <c r="M6" i="12"/>
  <c r="L6" i="12"/>
  <c r="O6" i="12" s="1"/>
  <c r="G6" i="12"/>
  <c r="F6" i="12"/>
  <c r="E6" i="12"/>
  <c r="H6" i="12" s="1"/>
  <c r="CR5" i="12"/>
  <c r="CL5" i="12"/>
  <c r="CP5" i="12" s="1"/>
  <c r="CY5" i="12" s="1"/>
  <c r="CK5" i="12"/>
  <c r="CJ5" i="12"/>
  <c r="CN5" i="12" s="1"/>
  <c r="CI5" i="12"/>
  <c r="CM5" i="12" s="1"/>
  <c r="CA5" i="12"/>
  <c r="BZ5" i="12"/>
  <c r="BY5" i="12"/>
  <c r="BX5" i="12"/>
  <c r="CB5" i="12" s="1"/>
  <c r="CC5" i="12" s="1"/>
  <c r="CD5" i="12" s="1"/>
  <c r="CW5" i="12" s="1"/>
  <c r="BW5" i="12"/>
  <c r="BO5" i="12"/>
  <c r="BN5" i="12"/>
  <c r="BP5" i="12" s="1"/>
  <c r="BQ5" i="12" s="1"/>
  <c r="BJ5" i="12"/>
  <c r="BK5" i="12" s="1"/>
  <c r="BI5" i="12"/>
  <c r="BH5" i="12"/>
  <c r="BC5" i="12"/>
  <c r="BB5" i="12"/>
  <c r="BD5" i="12" s="1"/>
  <c r="BE5" i="12" s="1"/>
  <c r="AW5" i="12"/>
  <c r="AX5" i="12" s="1"/>
  <c r="AY5" i="12" s="1"/>
  <c r="CU5" i="12" s="1"/>
  <c r="AV5" i="12"/>
  <c r="AU5" i="12"/>
  <c r="AO5" i="12"/>
  <c r="AN5" i="12"/>
  <c r="AQ5" i="12" s="1"/>
  <c r="CT5" i="12" s="1"/>
  <c r="AM5" i="12"/>
  <c r="AF5" i="12"/>
  <c r="AE5" i="12"/>
  <c r="AD5" i="12"/>
  <c r="AH5" i="12" s="1"/>
  <c r="AC5" i="12"/>
  <c r="AB5" i="12"/>
  <c r="T5" i="12"/>
  <c r="S5" i="12"/>
  <c r="V5" i="12" s="1"/>
  <c r="N5" i="12"/>
  <c r="M5" i="12"/>
  <c r="L5" i="12"/>
  <c r="G5" i="12"/>
  <c r="F5" i="12"/>
  <c r="E5" i="12"/>
  <c r="H5" i="12" s="1"/>
  <c r="I10" i="11"/>
  <c r="M99" i="10"/>
  <c r="L99" i="10"/>
  <c r="K99" i="10"/>
  <c r="J99" i="10"/>
  <c r="I99" i="10"/>
  <c r="M98" i="10"/>
  <c r="L98" i="10"/>
  <c r="K98" i="10"/>
  <c r="J98" i="10"/>
  <c r="I98" i="10"/>
  <c r="M97" i="10"/>
  <c r="L97" i="10"/>
  <c r="K97" i="10"/>
  <c r="J97" i="10"/>
  <c r="I97" i="10"/>
  <c r="M96" i="10"/>
  <c r="L96" i="10"/>
  <c r="K96" i="10"/>
  <c r="J96" i="10"/>
  <c r="I96" i="10"/>
  <c r="M95" i="10"/>
  <c r="L95" i="10"/>
  <c r="K95" i="10"/>
  <c r="J95" i="10"/>
  <c r="I95" i="10"/>
  <c r="M91" i="10"/>
  <c r="L91" i="10"/>
  <c r="K91" i="10"/>
  <c r="J91" i="10"/>
  <c r="I91" i="10"/>
  <c r="M90" i="10"/>
  <c r="L90" i="10"/>
  <c r="K90" i="10"/>
  <c r="J90" i="10"/>
  <c r="I90" i="10"/>
  <c r="M89" i="10"/>
  <c r="L89" i="10"/>
  <c r="K89" i="10"/>
  <c r="J89" i="10"/>
  <c r="I89" i="10"/>
  <c r="M85" i="10"/>
  <c r="L85" i="10"/>
  <c r="K85" i="10"/>
  <c r="J85" i="10"/>
  <c r="I85" i="10"/>
  <c r="M84" i="10"/>
  <c r="L84" i="10"/>
  <c r="K84" i="10"/>
  <c r="J84" i="10"/>
  <c r="I84" i="10"/>
  <c r="M83" i="10"/>
  <c r="L83" i="10"/>
  <c r="K83" i="10"/>
  <c r="J83" i="10"/>
  <c r="I83" i="10"/>
  <c r="M82" i="10"/>
  <c r="L82" i="10"/>
  <c r="K82" i="10"/>
  <c r="J82" i="10"/>
  <c r="I82" i="10"/>
  <c r="M81" i="10"/>
  <c r="L81" i="10"/>
  <c r="K81" i="10"/>
  <c r="J81" i="10"/>
  <c r="I81" i="10"/>
  <c r="M77" i="10"/>
  <c r="L77" i="10"/>
  <c r="K77" i="10"/>
  <c r="J77" i="10"/>
  <c r="I77" i="10"/>
  <c r="M76" i="10"/>
  <c r="L76" i="10"/>
  <c r="K76" i="10"/>
  <c r="J76" i="10"/>
  <c r="I76" i="10"/>
  <c r="M72" i="10"/>
  <c r="L72" i="10"/>
  <c r="K72" i="10"/>
  <c r="J72" i="10"/>
  <c r="I72" i="10"/>
  <c r="M71" i="10"/>
  <c r="L71" i="10"/>
  <c r="K71" i="10"/>
  <c r="J71" i="10"/>
  <c r="I71" i="10"/>
  <c r="L67" i="10"/>
  <c r="K67" i="10"/>
  <c r="J67" i="10"/>
  <c r="I67" i="10"/>
  <c r="L66" i="10"/>
  <c r="K66" i="10"/>
  <c r="J66" i="10"/>
  <c r="I66" i="10"/>
  <c r="M62" i="10"/>
  <c r="L62" i="10"/>
  <c r="K62" i="10"/>
  <c r="J62" i="10"/>
  <c r="I62" i="10"/>
  <c r="M61" i="10"/>
  <c r="L61" i="10"/>
  <c r="K61" i="10"/>
  <c r="J61" i="10"/>
  <c r="I61" i="10"/>
  <c r="M60" i="10"/>
  <c r="L60" i="10"/>
  <c r="K60" i="10"/>
  <c r="J60" i="10"/>
  <c r="I60" i="10"/>
  <c r="M59" i="10"/>
  <c r="L59" i="10"/>
  <c r="K59" i="10"/>
  <c r="J59" i="10"/>
  <c r="I59" i="10"/>
  <c r="J55" i="10"/>
  <c r="I55" i="10"/>
  <c r="J54" i="10"/>
  <c r="I54" i="10"/>
  <c r="J53" i="10"/>
  <c r="I53" i="10"/>
  <c r="J52" i="10"/>
  <c r="I52" i="10"/>
  <c r="L48" i="10"/>
  <c r="K48" i="10"/>
  <c r="J48" i="10"/>
  <c r="I48" i="10"/>
  <c r="L47" i="10"/>
  <c r="K47" i="10"/>
  <c r="J47" i="10"/>
  <c r="I47" i="10"/>
  <c r="L46" i="10"/>
  <c r="K46" i="10"/>
  <c r="J46" i="10"/>
  <c r="I46" i="10"/>
  <c r="L45" i="10"/>
  <c r="K45" i="10"/>
  <c r="J45" i="10"/>
  <c r="I45" i="10"/>
  <c r="L41" i="10"/>
  <c r="K41" i="10"/>
  <c r="J41" i="10"/>
  <c r="I41" i="10"/>
  <c r="L40" i="10"/>
  <c r="K40" i="10"/>
  <c r="J40" i="10"/>
  <c r="I40" i="10"/>
  <c r="L39" i="10"/>
  <c r="K39" i="10"/>
  <c r="J39" i="10"/>
  <c r="I39" i="10"/>
  <c r="L38" i="10"/>
  <c r="K38" i="10"/>
  <c r="J38" i="10"/>
  <c r="I38" i="10"/>
  <c r="L34" i="10"/>
  <c r="K34" i="10"/>
  <c r="J34" i="10"/>
  <c r="I34" i="10"/>
  <c r="L33" i="10"/>
  <c r="K33" i="10"/>
  <c r="J33" i="10"/>
  <c r="I33" i="10"/>
  <c r="L32" i="10"/>
  <c r="K32" i="10"/>
  <c r="J32" i="10"/>
  <c r="I32" i="10"/>
  <c r="L31" i="10"/>
  <c r="K31" i="10"/>
  <c r="J31" i="10"/>
  <c r="I31" i="10"/>
  <c r="L30" i="10"/>
  <c r="K30" i="10"/>
  <c r="J30" i="10"/>
  <c r="I30" i="10"/>
  <c r="L26" i="10"/>
  <c r="K26" i="10"/>
  <c r="J26" i="10"/>
  <c r="I26" i="10"/>
  <c r="L25" i="10"/>
  <c r="K25" i="10"/>
  <c r="J25" i="10"/>
  <c r="I25" i="10"/>
  <c r="M21" i="10"/>
  <c r="L21" i="10"/>
  <c r="K21" i="10"/>
  <c r="J21" i="10"/>
  <c r="I21" i="10"/>
  <c r="M20" i="10"/>
  <c r="L20" i="10"/>
  <c r="K20" i="10"/>
  <c r="J20" i="10"/>
  <c r="I20" i="10"/>
  <c r="L16" i="10"/>
  <c r="K16" i="10"/>
  <c r="J16" i="10"/>
  <c r="I16" i="10"/>
  <c r="L15" i="10"/>
  <c r="K15" i="10"/>
  <c r="J15" i="10"/>
  <c r="I15" i="10"/>
  <c r="L14" i="10"/>
  <c r="K14" i="10"/>
  <c r="J14" i="10"/>
  <c r="I14" i="10"/>
  <c r="L13" i="10"/>
  <c r="K13" i="10"/>
  <c r="J13" i="10"/>
  <c r="I13" i="10"/>
  <c r="L12" i="10"/>
  <c r="K12" i="10"/>
  <c r="J12" i="10"/>
  <c r="I12" i="10"/>
  <c r="M8" i="10"/>
  <c r="L8" i="10"/>
  <c r="K8" i="10"/>
  <c r="J8" i="10"/>
  <c r="I8" i="10"/>
  <c r="M7" i="10"/>
  <c r="L7" i="10"/>
  <c r="K7" i="10"/>
  <c r="J7" i="10"/>
  <c r="I7" i="10"/>
  <c r="M6" i="10"/>
  <c r="L6" i="10"/>
  <c r="K6" i="10"/>
  <c r="J6" i="10"/>
  <c r="I6" i="10"/>
  <c r="M5" i="10"/>
  <c r="L5" i="10"/>
  <c r="K5" i="10"/>
  <c r="J5" i="10"/>
  <c r="I5" i="10"/>
  <c r="M4" i="10"/>
  <c r="L4" i="10"/>
  <c r="K4" i="10"/>
  <c r="J4" i="10"/>
  <c r="I4" i="10"/>
  <c r="F49" i="3"/>
  <c r="E49" i="3"/>
  <c r="F48" i="3"/>
  <c r="E48" i="3"/>
  <c r="F47" i="3"/>
  <c r="E47" i="3"/>
  <c r="F46" i="3"/>
  <c r="E46" i="3"/>
  <c r="F45" i="3"/>
  <c r="E45" i="3"/>
  <c r="F44" i="3"/>
  <c r="E44" i="3"/>
  <c r="F43" i="3"/>
  <c r="E43" i="3"/>
  <c r="F42" i="3"/>
  <c r="E42" i="3"/>
  <c r="F41" i="3"/>
  <c r="E41" i="3"/>
  <c r="F40" i="3"/>
  <c r="E40" i="3"/>
  <c r="F39" i="3"/>
  <c r="E39" i="3"/>
  <c r="F38" i="3"/>
  <c r="E38" i="3"/>
  <c r="F37" i="3"/>
  <c r="E37" i="3"/>
  <c r="F36" i="3"/>
  <c r="E36" i="3"/>
  <c r="F35" i="3"/>
  <c r="E35" i="3"/>
  <c r="F34" i="3"/>
  <c r="E34" i="3"/>
  <c r="F33" i="3"/>
  <c r="E33" i="3"/>
  <c r="F32" i="3"/>
  <c r="E32" i="3"/>
  <c r="F31" i="3"/>
  <c r="E31" i="3"/>
  <c r="F30" i="3"/>
  <c r="E30" i="3"/>
  <c r="F29" i="3"/>
  <c r="E29" i="3"/>
  <c r="F28" i="3"/>
  <c r="E28" i="3"/>
  <c r="F27" i="3"/>
  <c r="E27" i="3"/>
  <c r="F26" i="3"/>
  <c r="E26" i="3"/>
  <c r="F25" i="3"/>
  <c r="E25" i="3"/>
  <c r="F24" i="3"/>
  <c r="E24" i="3"/>
  <c r="F23" i="3"/>
  <c r="E23" i="3"/>
  <c r="F22" i="3"/>
  <c r="E22" i="3"/>
  <c r="F21" i="3"/>
  <c r="E21" i="3"/>
  <c r="F20" i="3"/>
  <c r="E20" i="3"/>
  <c r="F19" i="3"/>
  <c r="E19" i="3"/>
  <c r="F18" i="3"/>
  <c r="E18" i="3"/>
  <c r="F17" i="3"/>
  <c r="E17" i="3"/>
  <c r="F16" i="3"/>
  <c r="E16" i="3"/>
  <c r="F15" i="3"/>
  <c r="E15" i="3"/>
  <c r="F14" i="3"/>
  <c r="E14" i="3"/>
  <c r="F13" i="3"/>
  <c r="E13" i="3"/>
  <c r="F12" i="3"/>
  <c r="E12" i="3"/>
  <c r="F11" i="3"/>
  <c r="E11" i="3"/>
  <c r="F10" i="3"/>
  <c r="E10" i="3"/>
  <c r="F9" i="3"/>
  <c r="E9" i="3"/>
  <c r="F8" i="3"/>
  <c r="E8" i="3"/>
  <c r="F7" i="3"/>
  <c r="E7" i="3"/>
  <c r="F6" i="3"/>
  <c r="E6" i="3"/>
  <c r="F5" i="3"/>
  <c r="E5" i="3"/>
  <c r="F4" i="3"/>
  <c r="E4" i="3"/>
  <c r="F3" i="3"/>
  <c r="E3" i="3"/>
  <c r="F2" i="3"/>
  <c r="E2" i="3"/>
  <c r="CS25" i="12" l="1"/>
  <c r="CS28" i="12"/>
  <c r="CS27" i="12"/>
  <c r="BR24" i="12"/>
  <c r="CV24" i="12" s="1"/>
  <c r="AI36" i="12"/>
  <c r="CS36" i="12"/>
  <c r="CO19" i="12"/>
  <c r="CX19" i="12" s="1"/>
  <c r="CC21" i="12"/>
  <c r="CD21" i="12" s="1"/>
  <c r="CW21" i="12" s="1"/>
  <c r="CS33" i="12"/>
  <c r="CO24" i="12"/>
  <c r="CX24" i="12" s="1"/>
  <c r="AI38" i="12"/>
  <c r="CS38" i="12"/>
  <c r="CC9" i="12"/>
  <c r="CD9" i="12" s="1"/>
  <c r="CW9" i="12" s="1"/>
  <c r="CS7" i="12"/>
  <c r="BR13" i="12"/>
  <c r="CV13" i="12" s="1"/>
  <c r="BR23" i="12"/>
  <c r="CV23" i="12" s="1"/>
  <c r="BR20" i="12"/>
  <c r="CV20" i="12" s="1"/>
  <c r="CS5" i="12"/>
  <c r="CO21" i="12"/>
  <c r="CX21" i="12" s="1"/>
  <c r="P18" i="12"/>
  <c r="CQ18" i="12" s="1"/>
  <c r="CC20" i="12"/>
  <c r="CD20" i="12" s="1"/>
  <c r="CW20" i="12" s="1"/>
  <c r="P10" i="12"/>
  <c r="CQ10" i="12" s="1"/>
  <c r="BR5" i="12"/>
  <c r="CV5" i="12" s="1"/>
  <c r="CS13" i="12"/>
  <c r="CZ13" i="12" s="1"/>
  <c r="AI13" i="12"/>
  <c r="CZ20" i="12"/>
  <c r="AI24" i="12"/>
  <c r="CS24" i="12"/>
  <c r="CZ24" i="12" s="1"/>
  <c r="CS26" i="12"/>
  <c r="AI26" i="12"/>
  <c r="BR11" i="12"/>
  <c r="CV11" i="12" s="1"/>
  <c r="AI12" i="12"/>
  <c r="CS12" i="12"/>
  <c r="BR7" i="12"/>
  <c r="CV7" i="12" s="1"/>
  <c r="BR12" i="12"/>
  <c r="CV12" i="12" s="1"/>
  <c r="BR15" i="12"/>
  <c r="CV15" i="12" s="1"/>
  <c r="CC33" i="12"/>
  <c r="CD33" i="12" s="1"/>
  <c r="CW33" i="12" s="1"/>
  <c r="P6" i="12"/>
  <c r="P7" i="12"/>
  <c r="CQ7" i="12" s="1"/>
  <c r="CS16" i="12"/>
  <c r="CO13" i="12"/>
  <c r="CX13" i="12" s="1"/>
  <c r="CO9" i="12"/>
  <c r="CX9" i="12" s="1"/>
  <c r="CS18" i="12"/>
  <c r="CS15" i="12"/>
  <c r="CB8" i="12"/>
  <c r="CC8" i="12" s="1"/>
  <c r="CD8" i="12" s="1"/>
  <c r="CW8" i="12" s="1"/>
  <c r="AH23" i="12"/>
  <c r="AG23" i="12"/>
  <c r="V37" i="12"/>
  <c r="CR37" i="12" s="1"/>
  <c r="U37" i="12"/>
  <c r="CQ68" i="12"/>
  <c r="AI68" i="12"/>
  <c r="BR69" i="12"/>
  <c r="CV69" i="12" s="1"/>
  <c r="AI14" i="12"/>
  <c r="AP17" i="12"/>
  <c r="CO17" i="12"/>
  <c r="CX17" i="12" s="1"/>
  <c r="V19" i="12"/>
  <c r="CR19" i="12" s="1"/>
  <c r="CZ19" i="12" s="1"/>
  <c r="U19" i="12"/>
  <c r="U26" i="12"/>
  <c r="CC29" i="12"/>
  <c r="CD29" i="12" s="1"/>
  <c r="CW29" i="12" s="1"/>
  <c r="CZ29" i="12" s="1"/>
  <c r="BR43" i="12"/>
  <c r="CV43" i="12" s="1"/>
  <c r="AG5" i="12"/>
  <c r="BR9" i="12"/>
  <c r="CV9" i="12" s="1"/>
  <c r="AQ14" i="12"/>
  <c r="CT14" i="12" s="1"/>
  <c r="AP14" i="12"/>
  <c r="AG18" i="12"/>
  <c r="P27" i="12"/>
  <c r="CQ27" i="12" s="1"/>
  <c r="CZ27" i="12" s="1"/>
  <c r="CS30" i="12"/>
  <c r="V13" i="12"/>
  <c r="CR13" i="12" s="1"/>
  <c r="U13" i="12"/>
  <c r="CN28" i="12"/>
  <c r="CC30" i="12"/>
  <c r="CD30" i="12" s="1"/>
  <c r="CW30" i="12" s="1"/>
  <c r="BR53" i="12"/>
  <c r="CV53" i="12" s="1"/>
  <c r="P56" i="12"/>
  <c r="CQ56" i="12" s="1"/>
  <c r="V69" i="12"/>
  <c r="CR69" i="12" s="1"/>
  <c r="U69" i="12"/>
  <c r="AH9" i="12"/>
  <c r="AG9" i="12"/>
  <c r="AG12" i="12"/>
  <c r="AG15" i="12"/>
  <c r="CB26" i="12"/>
  <c r="CC26" i="12" s="1"/>
  <c r="CD26" i="12" s="1"/>
  <c r="CW26" i="12" s="1"/>
  <c r="AQ28" i="12"/>
  <c r="CT28" i="12" s="1"/>
  <c r="AP28" i="12"/>
  <c r="O36" i="12"/>
  <c r="P36" i="12" s="1"/>
  <c r="CQ36" i="12" s="1"/>
  <c r="CS54" i="12"/>
  <c r="H64" i="12"/>
  <c r="AQ8" i="12"/>
  <c r="CT8" i="12" s="1"/>
  <c r="H11" i="12"/>
  <c r="P11" i="12" s="1"/>
  <c r="CQ11" i="12" s="1"/>
  <c r="P16" i="12"/>
  <c r="CQ16" i="12" s="1"/>
  <c r="BJ16" i="12"/>
  <c r="BK16" i="12" s="1"/>
  <c r="AP22" i="12"/>
  <c r="U27" i="12"/>
  <c r="BR32" i="12"/>
  <c r="CV32" i="12" s="1"/>
  <c r="CO38" i="12"/>
  <c r="CX38" i="12" s="1"/>
  <c r="BR73" i="12"/>
  <c r="CV73" i="12" s="1"/>
  <c r="CO28" i="12"/>
  <c r="CX28" i="12" s="1"/>
  <c r="CS41" i="12"/>
  <c r="CS42" i="12"/>
  <c r="AI42" i="12"/>
  <c r="BR68" i="12"/>
  <c r="CV68" i="12" s="1"/>
  <c r="BR10" i="12"/>
  <c r="CV10" i="12" s="1"/>
  <c r="AG30" i="12"/>
  <c r="AH31" i="12"/>
  <c r="AG31" i="12"/>
  <c r="V33" i="12"/>
  <c r="CR33" i="12" s="1"/>
  <c r="U33" i="12"/>
  <c r="CO47" i="12"/>
  <c r="CX47" i="12" s="1"/>
  <c r="AP5" i="12"/>
  <c r="CO5" i="12"/>
  <c r="CX5" i="12" s="1"/>
  <c r="BD14" i="12"/>
  <c r="BE14" i="12" s="1"/>
  <c r="CC15" i="12"/>
  <c r="CD15" i="12" s="1"/>
  <c r="CW15" i="12" s="1"/>
  <c r="BP16" i="12"/>
  <c r="BQ16" i="12" s="1"/>
  <c r="BR16" i="12" s="1"/>
  <c r="CV16" i="12" s="1"/>
  <c r="AP18" i="12"/>
  <c r="CN18" i="12"/>
  <c r="CO18" i="12" s="1"/>
  <c r="CX18" i="12" s="1"/>
  <c r="AG19" i="12"/>
  <c r="U20" i="12"/>
  <c r="AG26" i="12"/>
  <c r="AG47" i="12"/>
  <c r="AH47" i="12"/>
  <c r="AQ60" i="12"/>
  <c r="CT60" i="12" s="1"/>
  <c r="AP60" i="12"/>
  <c r="CO62" i="12"/>
  <c r="CX62" i="12" s="1"/>
  <c r="U10" i="12"/>
  <c r="CC36" i="12"/>
  <c r="CD36" i="12" s="1"/>
  <c r="CW36" i="12" s="1"/>
  <c r="AI53" i="12"/>
  <c r="AX12" i="12"/>
  <c r="AY12" i="12" s="1"/>
  <c r="CU12" i="12" s="1"/>
  <c r="CZ12" i="12" s="1"/>
  <c r="AG13" i="12"/>
  <c r="CC13" i="12"/>
  <c r="CD13" i="12" s="1"/>
  <c r="CW13" i="12" s="1"/>
  <c r="AP15" i="12"/>
  <c r="AP19" i="12"/>
  <c r="CC24" i="12"/>
  <c r="CD24" i="12" s="1"/>
  <c r="CW24" i="12" s="1"/>
  <c r="AI32" i="12"/>
  <c r="AG35" i="12"/>
  <c r="AH35" i="12"/>
  <c r="CC35" i="12"/>
  <c r="CD35" i="12" s="1"/>
  <c r="CW35" i="12" s="1"/>
  <c r="BD48" i="12"/>
  <c r="BE48" i="12" s="1"/>
  <c r="BR48" i="12" s="1"/>
  <c r="CV48" i="12" s="1"/>
  <c r="V7" i="12"/>
  <c r="CR7" i="12" s="1"/>
  <c r="U7" i="12"/>
  <c r="AH10" i="12"/>
  <c r="AG10" i="12"/>
  <c r="BJ14" i="12"/>
  <c r="BK14" i="12" s="1"/>
  <c r="BR14" i="12" s="1"/>
  <c r="CV14" i="12" s="1"/>
  <c r="CZ14" i="12" s="1"/>
  <c r="O17" i="12"/>
  <c r="P17" i="12" s="1"/>
  <c r="CQ17" i="12" s="1"/>
  <c r="CB20" i="12"/>
  <c r="AQ26" i="12"/>
  <c r="CT26" i="12" s="1"/>
  <c r="AP26" i="12"/>
  <c r="CB33" i="12"/>
  <c r="CB35" i="12"/>
  <c r="BR39" i="12"/>
  <c r="CV39" i="12" s="1"/>
  <c r="AQ43" i="12"/>
  <c r="CT43" i="12" s="1"/>
  <c r="AG50" i="12"/>
  <c r="AH50" i="12"/>
  <c r="BR21" i="12"/>
  <c r="CV21" i="12" s="1"/>
  <c r="V25" i="12"/>
  <c r="CR25" i="12" s="1"/>
  <c r="CZ25" i="12" s="1"/>
  <c r="U25" i="12"/>
  <c r="BP55" i="12"/>
  <c r="BQ55" i="12" s="1"/>
  <c r="BR55" i="12" s="1"/>
  <c r="CV55" i="12" s="1"/>
  <c r="AD8" i="13"/>
  <c r="CZ8" i="13" s="1"/>
  <c r="AC8" i="13"/>
  <c r="AQ13" i="12"/>
  <c r="CT13" i="12" s="1"/>
  <c r="AP13" i="12"/>
  <c r="CC34" i="12"/>
  <c r="CD34" i="12" s="1"/>
  <c r="CW34" i="12" s="1"/>
  <c r="BJ7" i="13"/>
  <c r="BK7" i="13" s="1"/>
  <c r="AH11" i="12"/>
  <c r="AG11" i="12"/>
  <c r="H15" i="12"/>
  <c r="AH21" i="12"/>
  <c r="AG21" i="12"/>
  <c r="P28" i="12"/>
  <c r="CQ28" i="12" s="1"/>
  <c r="CO31" i="12"/>
  <c r="CX31" i="12" s="1"/>
  <c r="AG33" i="12"/>
  <c r="AH40" i="12"/>
  <c r="AI64" i="12"/>
  <c r="CS64" i="12"/>
  <c r="AD6" i="13"/>
  <c r="CZ6" i="13" s="1"/>
  <c r="AC6" i="13"/>
  <c r="AI20" i="12"/>
  <c r="AQ35" i="12"/>
  <c r="CT35" i="12" s="1"/>
  <c r="AP35" i="12"/>
  <c r="CC52" i="12"/>
  <c r="CD52" i="12" s="1"/>
  <c r="CW52" i="12" s="1"/>
  <c r="P58" i="12"/>
  <c r="CQ58" i="12" s="1"/>
  <c r="O5" i="12"/>
  <c r="P5" i="12" s="1"/>
  <c r="CQ5" i="12" s="1"/>
  <c r="CZ5" i="12" s="1"/>
  <c r="AP6" i="12"/>
  <c r="CO6" i="12"/>
  <c r="CX6" i="12" s="1"/>
  <c r="H9" i="12"/>
  <c r="P9" i="12" s="1"/>
  <c r="CQ9" i="12" s="1"/>
  <c r="U14" i="12"/>
  <c r="AH17" i="12"/>
  <c r="AQ20" i="12"/>
  <c r="CT20" i="12" s="1"/>
  <c r="CN24" i="12"/>
  <c r="AP31" i="12"/>
  <c r="CS53" i="12"/>
  <c r="CS61" i="12"/>
  <c r="AI61" i="12"/>
  <c r="BR84" i="12"/>
  <c r="CV84" i="12" s="1"/>
  <c r="P15" i="12"/>
  <c r="CQ15" i="12" s="1"/>
  <c r="CZ15" i="12" s="1"/>
  <c r="BR22" i="12"/>
  <c r="CV22" i="12" s="1"/>
  <c r="P23" i="12"/>
  <c r="CQ23" i="12" s="1"/>
  <c r="CS73" i="12"/>
  <c r="AI73" i="12"/>
  <c r="AG7" i="12"/>
  <c r="CC14" i="12"/>
  <c r="CD14" i="12" s="1"/>
  <c r="CW14" i="12" s="1"/>
  <c r="AP32" i="12"/>
  <c r="AP36" i="12"/>
  <c r="P38" i="12"/>
  <c r="CQ38" i="12" s="1"/>
  <c r="CZ38" i="12" s="1"/>
  <c r="CO50" i="12"/>
  <c r="CX50" i="12" s="1"/>
  <c r="CC55" i="12"/>
  <c r="CD55" i="12" s="1"/>
  <c r="CW55" i="12" s="1"/>
  <c r="V8" i="12"/>
  <c r="AP10" i="12"/>
  <c r="CB14" i="12"/>
  <c r="CO16" i="12"/>
  <c r="CX16" i="12" s="1"/>
  <c r="BP18" i="12"/>
  <c r="BQ18" i="12" s="1"/>
  <c r="BR18" i="12" s="1"/>
  <c r="CV18" i="12" s="1"/>
  <c r="U22" i="12"/>
  <c r="AG25" i="12"/>
  <c r="CC25" i="12"/>
  <c r="CD25" i="12" s="1"/>
  <c r="CW25" i="12" s="1"/>
  <c r="AP27" i="12"/>
  <c r="BR29" i="12"/>
  <c r="CV29" i="12" s="1"/>
  <c r="AH46" i="12"/>
  <c r="AH52" i="12"/>
  <c r="AG52" i="12"/>
  <c r="AI58" i="12"/>
  <c r="CS58" i="12"/>
  <c r="BR66" i="12"/>
  <c r="CV66" i="12" s="1"/>
  <c r="AX10" i="12"/>
  <c r="AY10" i="12" s="1"/>
  <c r="CU10" i="12" s="1"/>
  <c r="U15" i="12"/>
  <c r="AX24" i="12"/>
  <c r="AY24" i="12" s="1"/>
  <c r="CU24" i="12" s="1"/>
  <c r="BJ26" i="12"/>
  <c r="BK26" i="12" s="1"/>
  <c r="BR26" i="12" s="1"/>
  <c r="CV26" i="12" s="1"/>
  <c r="CS32" i="12"/>
  <c r="CZ32" i="12" s="1"/>
  <c r="AP33" i="12"/>
  <c r="AQ34" i="12"/>
  <c r="CT34" i="12" s="1"/>
  <c r="CC45" i="12"/>
  <c r="CD45" i="12" s="1"/>
  <c r="CW45" i="12" s="1"/>
  <c r="AQ46" i="12"/>
  <c r="CT46" i="12" s="1"/>
  <c r="AP46" i="12"/>
  <c r="CS67" i="12"/>
  <c r="AH22" i="12"/>
  <c r="AG22" i="12"/>
  <c r="AG28" i="12"/>
  <c r="BR51" i="12"/>
  <c r="CV51" i="12" s="1"/>
  <c r="V15" i="12"/>
  <c r="CR15" i="12" s="1"/>
  <c r="AQ25" i="12"/>
  <c r="CT25" i="12" s="1"/>
  <c r="AP25" i="12"/>
  <c r="CB28" i="12"/>
  <c r="AI29" i="12"/>
  <c r="BP42" i="12"/>
  <c r="BQ42" i="12" s="1"/>
  <c r="BR42" i="12" s="1"/>
  <c r="CV42" i="12" s="1"/>
  <c r="P42" i="12"/>
  <c r="CQ42" i="12" s="1"/>
  <c r="P44" i="12"/>
  <c r="CQ44" i="12" s="1"/>
  <c r="CC44" i="12"/>
  <c r="CD44" i="12" s="1"/>
  <c r="CW44" i="12" s="1"/>
  <c r="BR54" i="12"/>
  <c r="CV54" i="12" s="1"/>
  <c r="H41" i="12"/>
  <c r="P41" i="12" s="1"/>
  <c r="V47" i="12"/>
  <c r="CR47" i="12" s="1"/>
  <c r="U47" i="12"/>
  <c r="BJ56" i="12"/>
  <c r="BK56" i="12" s="1"/>
  <c r="CS60" i="12"/>
  <c r="CC85" i="12"/>
  <c r="CD85" i="12" s="1"/>
  <c r="CW85" i="12" s="1"/>
  <c r="BJ11" i="13"/>
  <c r="BK11" i="13" s="1"/>
  <c r="AH80" i="12"/>
  <c r="AG80" i="12"/>
  <c r="AP44" i="13"/>
  <c r="AO44" i="13"/>
  <c r="AP49" i="13"/>
  <c r="AO49" i="13"/>
  <c r="CB54" i="12"/>
  <c r="CC54" i="12" s="1"/>
  <c r="CD54" i="12" s="1"/>
  <c r="CW54" i="12" s="1"/>
  <c r="BR56" i="12"/>
  <c r="CV56" i="12" s="1"/>
  <c r="CC61" i="12"/>
  <c r="CD61" i="12" s="1"/>
  <c r="CW61" i="12" s="1"/>
  <c r="CS72" i="12"/>
  <c r="CC72" i="12"/>
  <c r="CD72" i="12" s="1"/>
  <c r="CW72" i="12" s="1"/>
  <c r="AX74" i="12"/>
  <c r="AY74" i="12" s="1"/>
  <c r="CU74" i="12" s="1"/>
  <c r="BJ5" i="13"/>
  <c r="BK5" i="13" s="1"/>
  <c r="DC5" i="13" s="1"/>
  <c r="BJ9" i="13"/>
  <c r="BK9" i="13" s="1"/>
  <c r="AP12" i="13"/>
  <c r="AO12" i="13"/>
  <c r="P30" i="12"/>
  <c r="CQ30" i="12" s="1"/>
  <c r="AX32" i="12"/>
  <c r="AY32" i="12" s="1"/>
  <c r="CU32" i="12" s="1"/>
  <c r="CN32" i="12"/>
  <c r="CO32" i="12" s="1"/>
  <c r="CX32" i="12" s="1"/>
  <c r="U35" i="12"/>
  <c r="CB52" i="12"/>
  <c r="AH71" i="12"/>
  <c r="AG71" i="12"/>
  <c r="AG72" i="12"/>
  <c r="P75" i="12"/>
  <c r="CQ75" i="12" s="1"/>
  <c r="AX81" i="12"/>
  <c r="AY81" i="12" s="1"/>
  <c r="CU81" i="12" s="1"/>
  <c r="CC84" i="12"/>
  <c r="CD84" i="12" s="1"/>
  <c r="CW84" i="12" s="1"/>
  <c r="AP10" i="13"/>
  <c r="AO10" i="13"/>
  <c r="CY13" i="13"/>
  <c r="AQ13" i="13"/>
  <c r="CC28" i="12"/>
  <c r="CD28" i="12" s="1"/>
  <c r="CW28" i="12" s="1"/>
  <c r="CB40" i="12"/>
  <c r="CC40" i="12" s="1"/>
  <c r="CD40" i="12" s="1"/>
  <c r="CW40" i="12" s="1"/>
  <c r="V56" i="12"/>
  <c r="CR56" i="12" s="1"/>
  <c r="U56" i="12"/>
  <c r="P64" i="12"/>
  <c r="CQ64" i="12" s="1"/>
  <c r="CB68" i="12"/>
  <c r="CC68" i="12" s="1"/>
  <c r="CD68" i="12" s="1"/>
  <c r="CW68" i="12" s="1"/>
  <c r="AG70" i="12"/>
  <c r="P84" i="12"/>
  <c r="CQ84" i="12" s="1"/>
  <c r="P45" i="12"/>
  <c r="CQ45" i="12" s="1"/>
  <c r="AQ54" i="12"/>
  <c r="CT54" i="12" s="1"/>
  <c r="CO54" i="12"/>
  <c r="CX54" i="12" s="1"/>
  <c r="AH55" i="12"/>
  <c r="BR57" i="12"/>
  <c r="CV57" i="12" s="1"/>
  <c r="AG61" i="12"/>
  <c r="AQ67" i="12"/>
  <c r="CT67" i="12" s="1"/>
  <c r="BJ78" i="12"/>
  <c r="BK78" i="12" s="1"/>
  <c r="BR78" i="12" s="1"/>
  <c r="CV78" i="12" s="1"/>
  <c r="CC82" i="12"/>
  <c r="CD82" i="12" s="1"/>
  <c r="CW82" i="12" s="1"/>
  <c r="BR63" i="12"/>
  <c r="CV63" i="12" s="1"/>
  <c r="AH69" i="12"/>
  <c r="AG69" i="12"/>
  <c r="CC79" i="12"/>
  <c r="CD79" i="12" s="1"/>
  <c r="CW79" i="12" s="1"/>
  <c r="DF14" i="13"/>
  <c r="DC14" i="13"/>
  <c r="AQ40" i="12"/>
  <c r="CT40" i="12" s="1"/>
  <c r="CB42" i="12"/>
  <c r="CC42" i="12" s="1"/>
  <c r="CD42" i="12" s="1"/>
  <c r="CW42" i="12" s="1"/>
  <c r="CC56" i="12"/>
  <c r="CD56" i="12" s="1"/>
  <c r="CW56" i="12" s="1"/>
  <c r="AH57" i="12"/>
  <c r="AG57" i="12"/>
  <c r="U63" i="12"/>
  <c r="AP72" i="12"/>
  <c r="U79" i="12"/>
  <c r="V79" i="12"/>
  <c r="CR79" i="12" s="1"/>
  <c r="AH37" i="12"/>
  <c r="AG37" i="12"/>
  <c r="U39" i="12"/>
  <c r="AG42" i="12"/>
  <c r="O43" i="12"/>
  <c r="P43" i="12" s="1"/>
  <c r="V45" i="12"/>
  <c r="CR45" i="12" s="1"/>
  <c r="U45" i="12"/>
  <c r="CO46" i="12"/>
  <c r="CX46" i="12" s="1"/>
  <c r="AP47" i="12"/>
  <c r="U53" i="12"/>
  <c r="AP54" i="12"/>
  <c r="H60" i="12"/>
  <c r="P60" i="12" s="1"/>
  <c r="AQ61" i="12"/>
  <c r="CT61" i="12" s="1"/>
  <c r="CZ61" i="12" s="1"/>
  <c r="AP61" i="12"/>
  <c r="AP67" i="12"/>
  <c r="CO71" i="12"/>
  <c r="CX71" i="12" s="1"/>
  <c r="H74" i="12"/>
  <c r="BR37" i="12"/>
  <c r="CV37" i="12" s="1"/>
  <c r="AG55" i="12"/>
  <c r="AH63" i="12"/>
  <c r="AG63" i="12"/>
  <c r="AH39" i="12"/>
  <c r="AH44" i="12"/>
  <c r="CO52" i="12"/>
  <c r="CX52" i="12" s="1"/>
  <c r="P74" i="12"/>
  <c r="CQ74" i="12" s="1"/>
  <c r="AI79" i="12"/>
  <c r="CS79" i="12"/>
  <c r="CS82" i="12"/>
  <c r="AI82" i="12"/>
  <c r="DA21" i="13"/>
  <c r="CO40" i="12"/>
  <c r="CX40" i="12" s="1"/>
  <c r="AQ42" i="12"/>
  <c r="CT42" i="12" s="1"/>
  <c r="AQ47" i="12"/>
  <c r="CT47" i="12" s="1"/>
  <c r="AG48" i="12"/>
  <c r="U51" i="12"/>
  <c r="CS56" i="12"/>
  <c r="P59" i="12"/>
  <c r="CQ59" i="12" s="1"/>
  <c r="CC63" i="12"/>
  <c r="CD63" i="12" s="1"/>
  <c r="CW63" i="12" s="1"/>
  <c r="AP68" i="12"/>
  <c r="H31" i="12"/>
  <c r="AG45" i="12"/>
  <c r="AH48" i="12"/>
  <c r="BR83" i="12"/>
  <c r="CV83" i="12" s="1"/>
  <c r="DC12" i="13"/>
  <c r="DF12" i="13"/>
  <c r="CC48" i="12"/>
  <c r="CD48" i="12" s="1"/>
  <c r="CW48" i="12" s="1"/>
  <c r="AI51" i="12"/>
  <c r="CC53" i="12"/>
  <c r="CD53" i="12" s="1"/>
  <c r="CW53" i="12" s="1"/>
  <c r="V74" i="12"/>
  <c r="CR74" i="12" s="1"/>
  <c r="U74" i="12"/>
  <c r="CO75" i="12"/>
  <c r="CX75" i="12" s="1"/>
  <c r="V78" i="12"/>
  <c r="CR78" i="12" s="1"/>
  <c r="U78" i="12"/>
  <c r="AQ79" i="12"/>
  <c r="CT79" i="12" s="1"/>
  <c r="AP79" i="12"/>
  <c r="DC8" i="13"/>
  <c r="DF8" i="13"/>
  <c r="AD9" i="13"/>
  <c r="CZ9" i="13" s="1"/>
  <c r="AC9" i="13"/>
  <c r="CM26" i="13"/>
  <c r="DE26" i="13" s="1"/>
  <c r="V34" i="12"/>
  <c r="CR34" i="12" s="1"/>
  <c r="CZ34" i="12" s="1"/>
  <c r="AP42" i="12"/>
  <c r="U49" i="12"/>
  <c r="CC51" i="12"/>
  <c r="CD51" i="12" s="1"/>
  <c r="CW51" i="12" s="1"/>
  <c r="AG53" i="12"/>
  <c r="AP55" i="12"/>
  <c r="CB58" i="12"/>
  <c r="CC58" i="12" s="1"/>
  <c r="CD58" i="12" s="1"/>
  <c r="CW58" i="12" s="1"/>
  <c r="AP62" i="12"/>
  <c r="U66" i="12"/>
  <c r="AP70" i="12"/>
  <c r="H72" i="12"/>
  <c r="P72" i="12" s="1"/>
  <c r="AH78" i="12"/>
  <c r="AG78" i="12"/>
  <c r="CC81" i="12"/>
  <c r="CD81" i="12" s="1"/>
  <c r="CW81" i="12" s="1"/>
  <c r="AG82" i="12"/>
  <c r="CC83" i="12"/>
  <c r="CD83" i="12" s="1"/>
  <c r="CW83" i="12" s="1"/>
  <c r="P31" i="12"/>
  <c r="CQ31" i="12" s="1"/>
  <c r="AG39" i="12"/>
  <c r="AG41" i="12"/>
  <c r="AP44" i="12"/>
  <c r="AH45" i="12"/>
  <c r="AQ56" i="12"/>
  <c r="CT56" i="12" s="1"/>
  <c r="AG64" i="12"/>
  <c r="AQ75" i="12"/>
  <c r="CT75" i="12" s="1"/>
  <c r="AP75" i="12"/>
  <c r="CM5" i="13"/>
  <c r="DE5" i="13" s="1"/>
  <c r="DA26" i="13"/>
  <c r="AP37" i="12"/>
  <c r="AH49" i="12"/>
  <c r="AG49" i="12"/>
  <c r="AH66" i="12"/>
  <c r="AG66" i="12"/>
  <c r="BR77" i="12"/>
  <c r="CV77" i="12" s="1"/>
  <c r="P83" i="12"/>
  <c r="CQ83" i="12" s="1"/>
  <c r="DF10" i="13"/>
  <c r="DC10" i="13"/>
  <c r="U18" i="12"/>
  <c r="AQ39" i="12"/>
  <c r="CT39" i="12" s="1"/>
  <c r="AP39" i="12"/>
  <c r="AX44" i="12"/>
  <c r="AY44" i="12" s="1"/>
  <c r="CU44" i="12" s="1"/>
  <c r="BR49" i="12"/>
  <c r="CV49" i="12" s="1"/>
  <c r="AP53" i="12"/>
  <c r="P54" i="12"/>
  <c r="CQ54" i="12" s="1"/>
  <c r="AG58" i="12"/>
  <c r="AX75" i="12"/>
  <c r="AY75" i="12" s="1"/>
  <c r="CU75" i="12" s="1"/>
  <c r="BJ76" i="12"/>
  <c r="BK76" i="12" s="1"/>
  <c r="P85" i="12"/>
  <c r="CQ85" i="12" s="1"/>
  <c r="BR85" i="12"/>
  <c r="CV85" i="12" s="1"/>
  <c r="DF25" i="13"/>
  <c r="DC25" i="13"/>
  <c r="AP12" i="12"/>
  <c r="AP24" i="12"/>
  <c r="U36" i="12"/>
  <c r="U38" i="12"/>
  <c r="AG51" i="12"/>
  <c r="U60" i="12"/>
  <c r="BR60" i="12"/>
  <c r="CV60" i="12" s="1"/>
  <c r="CS65" i="12"/>
  <c r="CZ65" i="12" s="1"/>
  <c r="AI65" i="12"/>
  <c r="AH81" i="12"/>
  <c r="AG81" i="12"/>
  <c r="DA7" i="13"/>
  <c r="DF15" i="13"/>
  <c r="DC15" i="13"/>
  <c r="U5" i="12"/>
  <c r="U17" i="12"/>
  <c r="AG29" i="12"/>
  <c r="AP30" i="12"/>
  <c r="AG32" i="12"/>
  <c r="AP45" i="12"/>
  <c r="AQ48" i="12"/>
  <c r="CT48" i="12" s="1"/>
  <c r="AQ51" i="12"/>
  <c r="CT51" i="12" s="1"/>
  <c r="CZ51" i="12" s="1"/>
  <c r="AP51" i="12"/>
  <c r="AQ65" i="12"/>
  <c r="CT65" i="12" s="1"/>
  <c r="AP65" i="12"/>
  <c r="H69" i="12"/>
  <c r="P69" i="12" s="1"/>
  <c r="CQ69" i="12" s="1"/>
  <c r="AX30" i="12"/>
  <c r="AY30" i="12" s="1"/>
  <c r="CU30" i="12" s="1"/>
  <c r="O33" i="12"/>
  <c r="P33" i="12" s="1"/>
  <c r="CQ33" i="12" s="1"/>
  <c r="CZ33" i="12" s="1"/>
  <c r="AG36" i="12"/>
  <c r="CO45" i="12"/>
  <c r="CX45" i="12" s="1"/>
  <c r="U52" i="12"/>
  <c r="AQ53" i="12"/>
  <c r="CT53" i="12" s="1"/>
  <c r="CZ53" i="12" s="1"/>
  <c r="U54" i="12"/>
  <c r="AQ58" i="12"/>
  <c r="CT58" i="12" s="1"/>
  <c r="AP58" i="12"/>
  <c r="U61" i="12"/>
  <c r="BD63" i="12"/>
  <c r="BE63" i="12" s="1"/>
  <c r="BJ69" i="12"/>
  <c r="BK69" i="12" s="1"/>
  <c r="BP71" i="12"/>
  <c r="BQ71" i="12" s="1"/>
  <c r="BR71" i="12" s="1"/>
  <c r="CV71" i="12" s="1"/>
  <c r="U76" i="12"/>
  <c r="BT8" i="13"/>
  <c r="DD8" i="13" s="1"/>
  <c r="BT17" i="13"/>
  <c r="DD17" i="13" s="1"/>
  <c r="AP18" i="13"/>
  <c r="DC21" i="13"/>
  <c r="DF21" i="13"/>
  <c r="CN57" i="12"/>
  <c r="CO57" i="12" s="1"/>
  <c r="CX57" i="12" s="1"/>
  <c r="U73" i="12"/>
  <c r="AH75" i="12"/>
  <c r="AG75" i="12"/>
  <c r="AP5" i="13"/>
  <c r="AX13" i="13"/>
  <c r="AQ15" i="13"/>
  <c r="DA15" i="13"/>
  <c r="DH15" i="13" s="1"/>
  <c r="BT19" i="13"/>
  <c r="DD19" i="13" s="1"/>
  <c r="O57" i="12"/>
  <c r="P57" i="12" s="1"/>
  <c r="CQ57" i="12" s="1"/>
  <c r="O71" i="12"/>
  <c r="P71" i="12" s="1"/>
  <c r="CQ71" i="12" s="1"/>
  <c r="BD71" i="12"/>
  <c r="BE71" i="12" s="1"/>
  <c r="V73" i="12"/>
  <c r="CR73" i="12" s="1"/>
  <c r="CZ73" i="12" s="1"/>
  <c r="BD84" i="12"/>
  <c r="BE84" i="12" s="1"/>
  <c r="AY13" i="13"/>
  <c r="DB13" i="13" s="1"/>
  <c r="BJ23" i="13"/>
  <c r="BK23" i="13" s="1"/>
  <c r="DF81" i="13"/>
  <c r="DC81" i="13"/>
  <c r="CB80" i="12"/>
  <c r="CC80" i="12" s="1"/>
  <c r="CD80" i="12" s="1"/>
  <c r="CW80" i="12" s="1"/>
  <c r="AP6" i="13"/>
  <c r="AO6" i="13"/>
  <c r="AP8" i="13"/>
  <c r="BJ13" i="13"/>
  <c r="BK13" i="13" s="1"/>
  <c r="BT21" i="13"/>
  <c r="DD21" i="13" s="1"/>
  <c r="P81" i="12"/>
  <c r="CQ81" i="12" s="1"/>
  <c r="AQ11" i="13"/>
  <c r="DC35" i="13"/>
  <c r="DF35" i="13"/>
  <c r="AY42" i="13"/>
  <c r="DB42" i="13" s="1"/>
  <c r="AX42" i="13"/>
  <c r="CN72" i="12"/>
  <c r="CO72" i="12" s="1"/>
  <c r="CX72" i="12" s="1"/>
  <c r="BD79" i="12"/>
  <c r="BE79" i="12" s="1"/>
  <c r="BR79" i="12" s="1"/>
  <c r="CV79" i="12" s="1"/>
  <c r="BJ81" i="12"/>
  <c r="BK81" i="12" s="1"/>
  <c r="BR81" i="12" s="1"/>
  <c r="CV81" i="12" s="1"/>
  <c r="AX16" i="13"/>
  <c r="X19" i="13"/>
  <c r="CY19" i="13" s="1"/>
  <c r="AQ9" i="13"/>
  <c r="BT25" i="13"/>
  <c r="DD25" i="13" s="1"/>
  <c r="BJ29" i="13"/>
  <c r="BK29" i="13" s="1"/>
  <c r="AH76" i="12"/>
  <c r="BP76" i="12"/>
  <c r="BQ76" i="12" s="1"/>
  <c r="BR76" i="12" s="1"/>
  <c r="CV76" i="12" s="1"/>
  <c r="CC78" i="12"/>
  <c r="CD78" i="12" s="1"/>
  <c r="CW78" i="12" s="1"/>
  <c r="AP82" i="12"/>
  <c r="CN82" i="12"/>
  <c r="CO82" i="12" s="1"/>
  <c r="CX82" i="12" s="1"/>
  <c r="V84" i="12"/>
  <c r="CR84" i="12" s="1"/>
  <c r="X14" i="13"/>
  <c r="CY14" i="13" s="1"/>
  <c r="DF16" i="13"/>
  <c r="DC16" i="13"/>
  <c r="AG83" i="12"/>
  <c r="AO8" i="13"/>
  <c r="AX11" i="13"/>
  <c r="DA11" i="13"/>
  <c r="AD19" i="13"/>
  <c r="CZ19" i="13" s="1"/>
  <c r="DF20" i="13"/>
  <c r="DC20" i="13"/>
  <c r="DF80" i="13"/>
  <c r="DC80" i="13"/>
  <c r="V81" i="12"/>
  <c r="CR81" i="12" s="1"/>
  <c r="AX82" i="12"/>
  <c r="AY82" i="12" s="1"/>
  <c r="CU82" i="12" s="1"/>
  <c r="AX70" i="12"/>
  <c r="AY70" i="12" s="1"/>
  <c r="CU70" i="12" s="1"/>
  <c r="CN70" i="12"/>
  <c r="CO70" i="12" s="1"/>
  <c r="CX70" i="12" s="1"/>
  <c r="O77" i="12"/>
  <c r="P77" i="12" s="1"/>
  <c r="CQ77" i="12" s="1"/>
  <c r="DA9" i="13"/>
  <c r="AC14" i="13"/>
  <c r="DA63" i="13"/>
  <c r="DC26" i="13"/>
  <c r="DF26" i="13"/>
  <c r="AG76" i="12"/>
  <c r="BT35" i="13"/>
  <c r="DD35" i="13" s="1"/>
  <c r="DF52" i="13"/>
  <c r="DC52" i="13"/>
  <c r="H67" i="12"/>
  <c r="P67" i="12" s="1"/>
  <c r="U68" i="12"/>
  <c r="AP83" i="12"/>
  <c r="CN83" i="12"/>
  <c r="CO83" i="12" s="1"/>
  <c r="CX83" i="12" s="1"/>
  <c r="BJ22" i="13"/>
  <c r="BK22" i="13" s="1"/>
  <c r="AP73" i="12"/>
  <c r="BR74" i="12"/>
  <c r="CV74" i="12" s="1"/>
  <c r="P82" i="12"/>
  <c r="CQ82" i="12" s="1"/>
  <c r="AG84" i="12"/>
  <c r="V85" i="12"/>
  <c r="BI7" i="13"/>
  <c r="DA23" i="13"/>
  <c r="AQ23" i="13"/>
  <c r="DF40" i="13"/>
  <c r="DC40" i="13"/>
  <c r="CC66" i="12"/>
  <c r="CD66" i="12" s="1"/>
  <c r="CW66" i="12" s="1"/>
  <c r="P70" i="12"/>
  <c r="AI84" i="12"/>
  <c r="DF28" i="13"/>
  <c r="DC28" i="13"/>
  <c r="DF36" i="13"/>
  <c r="DC36" i="13"/>
  <c r="DF72" i="13"/>
  <c r="DC72" i="13"/>
  <c r="AP40" i="12"/>
  <c r="AP52" i="12"/>
  <c r="V59" i="12"/>
  <c r="U59" i="12"/>
  <c r="CB66" i="12"/>
  <c r="V72" i="12"/>
  <c r="CR72" i="12" s="1"/>
  <c r="U77" i="12"/>
  <c r="BJ6" i="13"/>
  <c r="BK6" i="13" s="1"/>
  <c r="AQ30" i="13"/>
  <c r="AX38" i="13"/>
  <c r="AG60" i="12"/>
  <c r="AP63" i="12"/>
  <c r="BT5" i="13"/>
  <c r="DD5" i="13" s="1"/>
  <c r="W10" i="13"/>
  <c r="X10" i="13" s="1"/>
  <c r="CY10" i="13" s="1"/>
  <c r="CT16" i="13"/>
  <c r="CU16" i="13" s="1"/>
  <c r="DF19" i="13"/>
  <c r="DC19" i="13"/>
  <c r="X22" i="13"/>
  <c r="AQ66" i="12"/>
  <c r="CT66" i="12" s="1"/>
  <c r="AP66" i="12"/>
  <c r="BD67" i="12"/>
  <c r="BE67" i="12" s="1"/>
  <c r="BR67" i="12" s="1"/>
  <c r="CV67" i="12" s="1"/>
  <c r="AH77" i="12"/>
  <c r="CB79" i="12"/>
  <c r="W11" i="13"/>
  <c r="X11" i="13" s="1"/>
  <c r="CY11" i="13" s="1"/>
  <c r="BJ17" i="13"/>
  <c r="BK17" i="13" s="1"/>
  <c r="CZ35" i="13"/>
  <c r="BR72" i="12"/>
  <c r="CV72" i="12" s="1"/>
  <c r="H76" i="12"/>
  <c r="P76" i="12" s="1"/>
  <c r="CQ76" i="12" s="1"/>
  <c r="CO58" i="12"/>
  <c r="CX58" i="12" s="1"/>
  <c r="AH62" i="12"/>
  <c r="AG62" i="12"/>
  <c r="BR62" i="12"/>
  <c r="CV62" i="12" s="1"/>
  <c r="CN71" i="12"/>
  <c r="O78" i="12"/>
  <c r="P78" i="12" s="1"/>
  <c r="CQ78" i="12" s="1"/>
  <c r="W7" i="13"/>
  <c r="X7" i="13" s="1"/>
  <c r="CY7" i="13" s="1"/>
  <c r="CK11" i="13"/>
  <c r="CL11" i="13" s="1"/>
  <c r="CM11" i="13" s="1"/>
  <c r="DE11" i="13" s="1"/>
  <c r="CK12" i="13"/>
  <c r="CL12" i="13" s="1"/>
  <c r="CM12" i="13" s="1"/>
  <c r="DE12" i="13" s="1"/>
  <c r="DA20" i="13"/>
  <c r="DC37" i="13"/>
  <c r="X52" i="13"/>
  <c r="CY52" i="13" s="1"/>
  <c r="AP17" i="13"/>
  <c r="AO17" i="13"/>
  <c r="X18" i="13"/>
  <c r="CY18" i="13" s="1"/>
  <c r="AQ38" i="13"/>
  <c r="DA38" i="13"/>
  <c r="DH38" i="13" s="1"/>
  <c r="AC49" i="13"/>
  <c r="AD49" i="13"/>
  <c r="CZ49" i="13" s="1"/>
  <c r="DC71" i="13"/>
  <c r="DF71" i="13"/>
  <c r="DF75" i="13"/>
  <c r="DC75" i="13"/>
  <c r="AO7" i="13"/>
  <c r="BJ24" i="13"/>
  <c r="BK24" i="13" s="1"/>
  <c r="AP32" i="13"/>
  <c r="AO32" i="13"/>
  <c r="AC44" i="13"/>
  <c r="AD44" i="13"/>
  <c r="CZ44" i="13" s="1"/>
  <c r="DF54" i="13"/>
  <c r="DC54" i="13"/>
  <c r="AY56" i="13"/>
  <c r="DB56" i="13" s="1"/>
  <c r="AX56" i="13"/>
  <c r="DF58" i="13"/>
  <c r="DC58" i="13"/>
  <c r="DA61" i="13"/>
  <c r="DC67" i="13"/>
  <c r="DF67" i="13"/>
  <c r="AP76" i="13"/>
  <c r="AO76" i="13"/>
  <c r="DA78" i="13"/>
  <c r="CT22" i="13"/>
  <c r="CU22" i="13" s="1"/>
  <c r="AY33" i="13"/>
  <c r="DB33" i="13" s="1"/>
  <c r="AX37" i="13"/>
  <c r="AP41" i="13"/>
  <c r="AO41" i="13"/>
  <c r="DF46" i="13"/>
  <c r="DC46" i="13"/>
  <c r="P58" i="13"/>
  <c r="X58" i="13" s="1"/>
  <c r="CY58" i="13" s="1"/>
  <c r="P81" i="13"/>
  <c r="BJ85" i="13"/>
  <c r="BK85" i="13" s="1"/>
  <c r="AO14" i="13"/>
  <c r="CK14" i="13"/>
  <c r="CL14" i="13" s="1"/>
  <c r="CM14" i="13" s="1"/>
  <c r="DE14" i="13" s="1"/>
  <c r="AP36" i="13"/>
  <c r="AO36" i="13"/>
  <c r="BJ45" i="13"/>
  <c r="BK45" i="13" s="1"/>
  <c r="X34" i="13"/>
  <c r="CY34" i="13" s="1"/>
  <c r="DF38" i="13"/>
  <c r="DC38" i="13"/>
  <c r="AP40" i="13"/>
  <c r="BT43" i="13"/>
  <c r="DD43" i="13" s="1"/>
  <c r="DF56" i="13"/>
  <c r="DC56" i="13"/>
  <c r="DA70" i="13"/>
  <c r="AQ70" i="13"/>
  <c r="AC35" i="13"/>
  <c r="AP47" i="13"/>
  <c r="AO47" i="13"/>
  <c r="DH69" i="13"/>
  <c r="BJ73" i="13"/>
  <c r="BK73" i="13" s="1"/>
  <c r="BJ78" i="13"/>
  <c r="BK78" i="13" s="1"/>
  <c r="AP19" i="13"/>
  <c r="AO19" i="13"/>
  <c r="AD20" i="13"/>
  <c r="CZ20" i="13" s="1"/>
  <c r="DH20" i="13" s="1"/>
  <c r="AC20" i="13"/>
  <c r="AX22" i="13"/>
  <c r="X26" i="13"/>
  <c r="CY26" i="13" s="1"/>
  <c r="AX27" i="13"/>
  <c r="AX30" i="13"/>
  <c r="CT40" i="13"/>
  <c r="CU40" i="13" s="1"/>
  <c r="AX21" i="13"/>
  <c r="AC25" i="13"/>
  <c r="CK25" i="13"/>
  <c r="CL25" i="13" s="1"/>
  <c r="CM25" i="13" s="1"/>
  <c r="DE25" i="13" s="1"/>
  <c r="BT26" i="13"/>
  <c r="DD26" i="13" s="1"/>
  <c r="AY41" i="13"/>
  <c r="DB41" i="13" s="1"/>
  <c r="AY47" i="13"/>
  <c r="DB47" i="13" s="1"/>
  <c r="AX47" i="13"/>
  <c r="CK48" i="13"/>
  <c r="CL48" i="13" s="1"/>
  <c r="CM48" i="13" s="1"/>
  <c r="DE48" i="13" s="1"/>
  <c r="DC65" i="13"/>
  <c r="DF65" i="13"/>
  <c r="X83" i="13"/>
  <c r="CY83" i="13" s="1"/>
  <c r="AO18" i="13"/>
  <c r="BJ27" i="13"/>
  <c r="BK27" i="13" s="1"/>
  <c r="P28" i="13"/>
  <c r="X28" i="13" s="1"/>
  <c r="CY28" i="13" s="1"/>
  <c r="BJ30" i="13"/>
  <c r="BK30" i="13" s="1"/>
  <c r="BI51" i="13"/>
  <c r="BJ51" i="13" s="1"/>
  <c r="BK51" i="13" s="1"/>
  <c r="DA62" i="13"/>
  <c r="AQ62" i="13"/>
  <c r="AD83" i="13"/>
  <c r="CZ83" i="13" s="1"/>
  <c r="AO23" i="13"/>
  <c r="AP25" i="13"/>
  <c r="AO25" i="13"/>
  <c r="AO40" i="13"/>
  <c r="AX41" i="13"/>
  <c r="AD43" i="13"/>
  <c r="CZ43" i="13" s="1"/>
  <c r="AC43" i="13"/>
  <c r="DF49" i="13"/>
  <c r="DC49" i="13"/>
  <c r="AP60" i="13"/>
  <c r="AO60" i="13"/>
  <c r="AQ24" i="13"/>
  <c r="BJ47" i="13"/>
  <c r="BK47" i="13" s="1"/>
  <c r="DF50" i="13"/>
  <c r="X56" i="13"/>
  <c r="X75" i="13"/>
  <c r="CY75" i="13" s="1"/>
  <c r="DA83" i="13"/>
  <c r="AQ83" i="13"/>
  <c r="X85" i="13"/>
  <c r="CY85" i="13" s="1"/>
  <c r="AY19" i="13"/>
  <c r="DB19" i="13" s="1"/>
  <c r="BI32" i="13"/>
  <c r="BJ32" i="13" s="1"/>
  <c r="BK32" i="13" s="1"/>
  <c r="AO34" i="13"/>
  <c r="AC39" i="13"/>
  <c r="DA43" i="13"/>
  <c r="DA58" i="13"/>
  <c r="AD75" i="13"/>
  <c r="CZ75" i="13" s="1"/>
  <c r="AY23" i="13"/>
  <c r="DB23" i="13" s="1"/>
  <c r="AX23" i="13"/>
  <c r="X30" i="13"/>
  <c r="CY30" i="13" s="1"/>
  <c r="W33" i="13"/>
  <c r="X33" i="13" s="1"/>
  <c r="AQ50" i="13"/>
  <c r="DA50" i="13"/>
  <c r="DH50" i="13" s="1"/>
  <c r="DF57" i="13"/>
  <c r="DC57" i="13"/>
  <c r="DF68" i="13"/>
  <c r="DC68" i="13"/>
  <c r="X16" i="13"/>
  <c r="AO20" i="13"/>
  <c r="AQ39" i="13"/>
  <c r="DA39" i="13"/>
  <c r="DF66" i="13"/>
  <c r="DC66" i="13"/>
  <c r="DH66" i="13" s="1"/>
  <c r="AD67" i="13"/>
  <c r="CZ67" i="13" s="1"/>
  <c r="AC67" i="13"/>
  <c r="X27" i="13"/>
  <c r="AY35" i="13"/>
  <c r="DB35" i="13" s="1"/>
  <c r="AX35" i="13"/>
  <c r="BJ41" i="13"/>
  <c r="BK41" i="13" s="1"/>
  <c r="DC55" i="13"/>
  <c r="DF55" i="13"/>
  <c r="AX64" i="13"/>
  <c r="X78" i="13"/>
  <c r="CY78" i="13" s="1"/>
  <c r="DA85" i="13"/>
  <c r="AO15" i="13"/>
  <c r="X21" i="13"/>
  <c r="CY21" i="13" s="1"/>
  <c r="AC29" i="13"/>
  <c r="AD29" i="13"/>
  <c r="BT30" i="13"/>
  <c r="DD30" i="13" s="1"/>
  <c r="P36" i="13"/>
  <c r="X36" i="13" s="1"/>
  <c r="CY36" i="13" s="1"/>
  <c r="X37" i="13"/>
  <c r="CY37" i="13" s="1"/>
  <c r="BJ44" i="13"/>
  <c r="BK44" i="13" s="1"/>
  <c r="X53" i="13"/>
  <c r="CY53" i="13" s="1"/>
  <c r="DH53" i="13" s="1"/>
  <c r="AY20" i="13"/>
  <c r="DB20" i="13" s="1"/>
  <c r="AX20" i="13"/>
  <c r="CM20" i="13"/>
  <c r="DE20" i="13" s="1"/>
  <c r="BS21" i="13"/>
  <c r="AO26" i="13"/>
  <c r="W32" i="13"/>
  <c r="X32" i="13" s="1"/>
  <c r="CY32" i="13" s="1"/>
  <c r="AP34" i="13"/>
  <c r="AO43" i="13"/>
  <c r="AC13" i="13"/>
  <c r="AX24" i="13"/>
  <c r="DF62" i="13"/>
  <c r="DC62" i="13"/>
  <c r="CM78" i="13"/>
  <c r="DE78" i="13" s="1"/>
  <c r="AP78" i="12"/>
  <c r="AX12" i="13"/>
  <c r="AY15" i="13"/>
  <c r="DB15" i="13" s="1"/>
  <c r="AX15" i="13"/>
  <c r="AC21" i="13"/>
  <c r="BT22" i="13"/>
  <c r="DD22" i="13" s="1"/>
  <c r="DA24" i="13"/>
  <c r="AC28" i="13"/>
  <c r="AP31" i="13"/>
  <c r="AO31" i="13"/>
  <c r="AO39" i="13"/>
  <c r="DF60" i="13"/>
  <c r="DC60" i="13"/>
  <c r="DF69" i="13"/>
  <c r="DC69" i="13"/>
  <c r="BT74" i="13"/>
  <c r="DD74" i="13" s="1"/>
  <c r="DC83" i="13"/>
  <c r="DF83" i="13"/>
  <c r="U71" i="12"/>
  <c r="U83" i="12"/>
  <c r="AC11" i="13"/>
  <c r="AP42" i="13"/>
  <c r="AO42" i="13"/>
  <c r="BT44" i="13"/>
  <c r="DD44" i="13" s="1"/>
  <c r="DA45" i="13"/>
  <c r="DC79" i="13"/>
  <c r="DF79" i="13"/>
  <c r="X82" i="13"/>
  <c r="CY82" i="13" s="1"/>
  <c r="CM84" i="13"/>
  <c r="DE84" i="13" s="1"/>
  <c r="AG74" i="12"/>
  <c r="AP77" i="12"/>
  <c r="AO5" i="13"/>
  <c r="AX8" i="13"/>
  <c r="AY10" i="13"/>
  <c r="DB10" i="13" s="1"/>
  <c r="AC17" i="13"/>
  <c r="AO27" i="13"/>
  <c r="AP28" i="13"/>
  <c r="AO28" i="13"/>
  <c r="P35" i="13"/>
  <c r="X35" i="13" s="1"/>
  <c r="AP37" i="13"/>
  <c r="AO37" i="13"/>
  <c r="BT41" i="13"/>
  <c r="DD41" i="13" s="1"/>
  <c r="CK17" i="13"/>
  <c r="CL17" i="13" s="1"/>
  <c r="CM17" i="13" s="1"/>
  <c r="DE17" i="13" s="1"/>
  <c r="CT29" i="13"/>
  <c r="CU29" i="13" s="1"/>
  <c r="BJ43" i="13"/>
  <c r="BK43" i="13" s="1"/>
  <c r="X47" i="13"/>
  <c r="CY47" i="13" s="1"/>
  <c r="X57" i="13"/>
  <c r="CY57" i="13" s="1"/>
  <c r="AD61" i="13"/>
  <c r="CZ61" i="13" s="1"/>
  <c r="AC61" i="13"/>
  <c r="BT38" i="13"/>
  <c r="DD38" i="13" s="1"/>
  <c r="DC70" i="13"/>
  <c r="DH70" i="13" s="1"/>
  <c r="BT73" i="13"/>
  <c r="DD73" i="13" s="1"/>
  <c r="AY77" i="13"/>
  <c r="DB77" i="13" s="1"/>
  <c r="AX77" i="13"/>
  <c r="W31" i="13"/>
  <c r="X31" i="13" s="1"/>
  <c r="CY31" i="13" s="1"/>
  <c r="AY36" i="13"/>
  <c r="DB36" i="13" s="1"/>
  <c r="AX36" i="13"/>
  <c r="P41" i="13"/>
  <c r="X41" i="13" s="1"/>
  <c r="CY41" i="13" s="1"/>
  <c r="P53" i="13"/>
  <c r="W59" i="13"/>
  <c r="X59" i="13" s="1"/>
  <c r="CY59" i="13" s="1"/>
  <c r="AY63" i="13"/>
  <c r="DB63" i="13" s="1"/>
  <c r="AX63" i="13"/>
  <c r="AP68" i="13"/>
  <c r="AD74" i="13"/>
  <c r="CZ74" i="13" s="1"/>
  <c r="AD82" i="13"/>
  <c r="CZ82" i="13" s="1"/>
  <c r="AC33" i="13"/>
  <c r="CT37" i="13"/>
  <c r="CU37" i="13" s="1"/>
  <c r="AP48" i="13"/>
  <c r="AO48" i="13"/>
  <c r="AY55" i="13"/>
  <c r="DB55" i="13" s="1"/>
  <c r="AD66" i="13"/>
  <c r="CZ66" i="13" s="1"/>
  <c r="AO68" i="13"/>
  <c r="CE83" i="13"/>
  <c r="CF83" i="13" s="1"/>
  <c r="CM83" i="13" s="1"/>
  <c r="DE83" i="13" s="1"/>
  <c r="DF53" i="13"/>
  <c r="DC53" i="13"/>
  <c r="X73" i="13"/>
  <c r="CY73" i="13" s="1"/>
  <c r="X81" i="13"/>
  <c r="CY81" i="13" s="1"/>
  <c r="DH81" i="13" s="1"/>
  <c r="AD85" i="13"/>
  <c r="CZ85" i="13" s="1"/>
  <c r="AC85" i="13"/>
  <c r="W45" i="13"/>
  <c r="X45" i="13" s="1"/>
  <c r="CY45" i="13" s="1"/>
  <c r="W46" i="13"/>
  <c r="X46" i="13" s="1"/>
  <c r="CY46" i="13" s="1"/>
  <c r="BT50" i="13"/>
  <c r="DD50" i="13" s="1"/>
  <c r="W54" i="13"/>
  <c r="X54" i="13" s="1"/>
  <c r="CY54" i="13" s="1"/>
  <c r="BT54" i="13"/>
  <c r="DD54" i="13" s="1"/>
  <c r="P55" i="13"/>
  <c r="P56" i="13"/>
  <c r="BT58" i="13"/>
  <c r="DD58" i="13" s="1"/>
  <c r="BJ64" i="13"/>
  <c r="BK64" i="13" s="1"/>
  <c r="W65" i="13"/>
  <c r="X65" i="13" s="1"/>
  <c r="CY65" i="13" s="1"/>
  <c r="AD72" i="13"/>
  <c r="CZ72" i="13" s="1"/>
  <c r="AD73" i="13"/>
  <c r="CZ73" i="13" s="1"/>
  <c r="AC73" i="13"/>
  <c r="AP74" i="13"/>
  <c r="AD80" i="13"/>
  <c r="CZ80" i="13" s="1"/>
  <c r="AD81" i="13"/>
  <c r="CZ81" i="13" s="1"/>
  <c r="AC81" i="13"/>
  <c r="AP82" i="13"/>
  <c r="AO83" i="13"/>
  <c r="AP84" i="13"/>
  <c r="AY48" i="13"/>
  <c r="DB48" i="13" s="1"/>
  <c r="AX48" i="13"/>
  <c r="AD52" i="13"/>
  <c r="CZ52" i="13" s="1"/>
  <c r="AY68" i="13"/>
  <c r="DB68" i="13" s="1"/>
  <c r="AX68" i="13"/>
  <c r="AP72" i="13"/>
  <c r="AO72" i="13"/>
  <c r="BJ77" i="13"/>
  <c r="BK77" i="13" s="1"/>
  <c r="AP80" i="13"/>
  <c r="AO80" i="13"/>
  <c r="CT49" i="13"/>
  <c r="CU49" i="13" s="1"/>
  <c r="AP52" i="13"/>
  <c r="BS56" i="13"/>
  <c r="BT56" i="13" s="1"/>
  <c r="DD56" i="13" s="1"/>
  <c r="AD57" i="13"/>
  <c r="CZ57" i="13" s="1"/>
  <c r="AC57" i="13"/>
  <c r="AP59" i="13"/>
  <c r="AO84" i="13"/>
  <c r="BT53" i="13"/>
  <c r="DD53" i="13" s="1"/>
  <c r="DF63" i="13"/>
  <c r="DC63" i="13"/>
  <c r="X71" i="13"/>
  <c r="CY71" i="13" s="1"/>
  <c r="AY75" i="13"/>
  <c r="DB75" i="13" s="1"/>
  <c r="AX75" i="13"/>
  <c r="X79" i="13"/>
  <c r="CY79" i="13" s="1"/>
  <c r="AY83" i="13"/>
  <c r="DB83" i="13" s="1"/>
  <c r="AX83" i="13"/>
  <c r="BI42" i="13"/>
  <c r="BJ42" i="13" s="1"/>
  <c r="BK42" i="13" s="1"/>
  <c r="CK45" i="13"/>
  <c r="CL45" i="13" s="1"/>
  <c r="CM45" i="13" s="1"/>
  <c r="DE45" i="13" s="1"/>
  <c r="AX49" i="13"/>
  <c r="CT51" i="13"/>
  <c r="CU51" i="13" s="1"/>
  <c r="AD54" i="13"/>
  <c r="CZ54" i="13" s="1"/>
  <c r="BY54" i="13"/>
  <c r="BZ54" i="13" s="1"/>
  <c r="CM54" i="13" s="1"/>
  <c r="DE54" i="13" s="1"/>
  <c r="CT65" i="13"/>
  <c r="CU65" i="13" s="1"/>
  <c r="BS55" i="13"/>
  <c r="BT55" i="13" s="1"/>
  <c r="DD55" i="13" s="1"/>
  <c r="CK56" i="13"/>
  <c r="CL56" i="13" s="1"/>
  <c r="CM56" i="13" s="1"/>
  <c r="DE56" i="13" s="1"/>
  <c r="AP57" i="13"/>
  <c r="AC65" i="13"/>
  <c r="AY67" i="13"/>
  <c r="DB67" i="13" s="1"/>
  <c r="AX67" i="13"/>
  <c r="BS70" i="13"/>
  <c r="BT70" i="13" s="1"/>
  <c r="DD70" i="13" s="1"/>
  <c r="CT71" i="13"/>
  <c r="CU71" i="13" s="1"/>
  <c r="CT79" i="13"/>
  <c r="CU79" i="13" s="1"/>
  <c r="AO85" i="13"/>
  <c r="AQ51" i="13"/>
  <c r="DA51" i="13"/>
  <c r="X55" i="13"/>
  <c r="CY55" i="13" s="1"/>
  <c r="AP65" i="13"/>
  <c r="AY84" i="13"/>
  <c r="DB84" i="13" s="1"/>
  <c r="AX84" i="13"/>
  <c r="CK85" i="13"/>
  <c r="CL85" i="13" s="1"/>
  <c r="CM85" i="13" s="1"/>
  <c r="DE85" i="13" s="1"/>
  <c r="BJ76" i="13"/>
  <c r="BK76" i="13" s="1"/>
  <c r="X77" i="13"/>
  <c r="CY77" i="13" s="1"/>
  <c r="AP54" i="13"/>
  <c r="AO54" i="13"/>
  <c r="AO58" i="13"/>
  <c r="AY59" i="13"/>
  <c r="DB59" i="13" s="1"/>
  <c r="AX59" i="13"/>
  <c r="AX66" i="13"/>
  <c r="AC71" i="13"/>
  <c r="AC79" i="13"/>
  <c r="AY39" i="13"/>
  <c r="DB39" i="13" s="1"/>
  <c r="AX39" i="13"/>
  <c r="AC55" i="13"/>
  <c r="AO57" i="13"/>
  <c r="X63" i="13"/>
  <c r="CY63" i="13" s="1"/>
  <c r="DH63" i="13" s="1"/>
  <c r="AP64" i="13"/>
  <c r="AO64" i="13"/>
  <c r="AD69" i="13"/>
  <c r="CZ69" i="13" s="1"/>
  <c r="AC69" i="13"/>
  <c r="AP71" i="13"/>
  <c r="DA73" i="13"/>
  <c r="AP79" i="13"/>
  <c r="DA81" i="13"/>
  <c r="AY31" i="13"/>
  <c r="DB31" i="13" s="1"/>
  <c r="BT42" i="13"/>
  <c r="DD42" i="13" s="1"/>
  <c r="BJ61" i="13"/>
  <c r="BK61" i="13" s="1"/>
  <c r="AD63" i="13"/>
  <c r="CZ63" i="13" s="1"/>
  <c r="P67" i="13"/>
  <c r="X67" i="13" s="1"/>
  <c r="BS68" i="13"/>
  <c r="BT68" i="13" s="1"/>
  <c r="DD68" i="13" s="1"/>
  <c r="AX72" i="13"/>
  <c r="BI74" i="13"/>
  <c r="BJ74" i="13" s="1"/>
  <c r="BK74" i="13" s="1"/>
  <c r="AD77" i="13"/>
  <c r="CZ77" i="13" s="1"/>
  <c r="AX80" i="13"/>
  <c r="BI82" i="13"/>
  <c r="BJ82" i="13" s="1"/>
  <c r="BK82" i="13" s="1"/>
  <c r="BI84" i="13"/>
  <c r="BJ84" i="13" s="1"/>
  <c r="BK84" i="13" s="1"/>
  <c r="AX85" i="13"/>
  <c r="BI33" i="13"/>
  <c r="BJ33" i="13" s="1"/>
  <c r="BK33" i="13" s="1"/>
  <c r="CK36" i="13"/>
  <c r="CL36" i="13" s="1"/>
  <c r="CM36" i="13" s="1"/>
  <c r="DE36" i="13" s="1"/>
  <c r="AO53" i="13"/>
  <c r="BJ59" i="13"/>
  <c r="BK59" i="13" s="1"/>
  <c r="W68" i="13"/>
  <c r="X68" i="13" s="1"/>
  <c r="CY68" i="13" s="1"/>
  <c r="AY51" i="13"/>
  <c r="DB51" i="13" s="1"/>
  <c r="AX51" i="13"/>
  <c r="AY65" i="13"/>
  <c r="DB65" i="13" s="1"/>
  <c r="AX65" i="13"/>
  <c r="AQ69" i="13"/>
  <c r="BT76" i="13"/>
  <c r="DD76" i="13" s="1"/>
  <c r="AX31" i="13"/>
  <c r="BI39" i="13"/>
  <c r="BJ39" i="13" s="1"/>
  <c r="BK39" i="13" s="1"/>
  <c r="AP46" i="13"/>
  <c r="BS48" i="13"/>
  <c r="BT48" i="13" s="1"/>
  <c r="DD48" i="13" s="1"/>
  <c r="AO56" i="13"/>
  <c r="AY57" i="13"/>
  <c r="DB57" i="13" s="1"/>
  <c r="AD62" i="13"/>
  <c r="CZ62" i="13" s="1"/>
  <c r="DH62" i="13" s="1"/>
  <c r="CK68" i="13"/>
  <c r="CL68" i="13" s="1"/>
  <c r="CM68" i="13" s="1"/>
  <c r="DE68" i="13" s="1"/>
  <c r="CT69" i="13"/>
  <c r="CU69" i="13" s="1"/>
  <c r="AP77" i="13"/>
  <c r="CT36" i="13"/>
  <c r="CU36" i="13" s="1"/>
  <c r="AC42" i="13"/>
  <c r="AO77" i="13"/>
  <c r="BI31" i="13"/>
  <c r="BJ31" i="13" s="1"/>
  <c r="BK31" i="13" s="1"/>
  <c r="BI34" i="13"/>
  <c r="BJ34" i="13" s="1"/>
  <c r="BK34" i="13" s="1"/>
  <c r="P44" i="13"/>
  <c r="X44" i="13" s="1"/>
  <c r="CY44" i="13" s="1"/>
  <c r="BT59" i="13"/>
  <c r="DD59" i="13" s="1"/>
  <c r="AC62" i="13"/>
  <c r="AY71" i="13"/>
  <c r="DB71" i="13" s="1"/>
  <c r="AX71" i="13"/>
  <c r="AY79" i="13"/>
  <c r="DB79" i="13" s="1"/>
  <c r="AX79" i="13"/>
  <c r="BS84" i="13"/>
  <c r="BT84" i="13" s="1"/>
  <c r="DD84" i="13" s="1"/>
  <c r="P85" i="13"/>
  <c r="AO62" i="13"/>
  <c r="AO74" i="13"/>
  <c r="AO82" i="13"/>
  <c r="AC63" i="13"/>
  <c r="AC75" i="13"/>
  <c r="AC83" i="13"/>
  <c r="DF32" i="13" l="1"/>
  <c r="DC32" i="13"/>
  <c r="CQ60" i="12"/>
  <c r="CZ60" i="12" s="1"/>
  <c r="AI60" i="12"/>
  <c r="CZ9" i="12"/>
  <c r="DF84" i="13"/>
  <c r="DC84" i="13"/>
  <c r="CY35" i="13"/>
  <c r="DH35" i="13" s="1"/>
  <c r="AQ35" i="13"/>
  <c r="DH51" i="13"/>
  <c r="DH39" i="13"/>
  <c r="CZ69" i="12"/>
  <c r="DF34" i="13"/>
  <c r="DC34" i="13"/>
  <c r="CY67" i="13"/>
  <c r="DH67" i="13" s="1"/>
  <c r="AQ67" i="13"/>
  <c r="CZ79" i="12"/>
  <c r="CQ41" i="12"/>
  <c r="CZ41" i="12" s="1"/>
  <c r="AI41" i="12"/>
  <c r="CZ26" i="12"/>
  <c r="CQ67" i="12"/>
  <c r="CZ67" i="12" s="1"/>
  <c r="AI67" i="12"/>
  <c r="DC33" i="13"/>
  <c r="DF33" i="13"/>
  <c r="CQ72" i="12"/>
  <c r="CZ72" i="12" s="1"/>
  <c r="AI72" i="12"/>
  <c r="DF7" i="13"/>
  <c r="DC7" i="13"/>
  <c r="DH7" i="13" s="1"/>
  <c r="DC59" i="13"/>
  <c r="DF59" i="13"/>
  <c r="AQ64" i="13"/>
  <c r="DA64" i="13"/>
  <c r="DH55" i="13"/>
  <c r="DH26" i="13"/>
  <c r="DC45" i="13"/>
  <c r="DF45" i="13"/>
  <c r="AQ61" i="13"/>
  <c r="AI81" i="12"/>
  <c r="CS81" i="12"/>
  <c r="AI10" i="12"/>
  <c r="CS10" i="12"/>
  <c r="CZ10" i="12" s="1"/>
  <c r="CS47" i="12"/>
  <c r="CZ47" i="12" s="1"/>
  <c r="AI47" i="12"/>
  <c r="AQ31" i="13"/>
  <c r="DA31" i="13"/>
  <c r="DH31" i="13" s="1"/>
  <c r="DF31" i="13"/>
  <c r="DC31" i="13"/>
  <c r="DH71" i="13"/>
  <c r="DF44" i="13"/>
  <c r="DC44" i="13"/>
  <c r="DA36" i="13"/>
  <c r="DH36" i="13" s="1"/>
  <c r="AQ36" i="13"/>
  <c r="CY22" i="13"/>
  <c r="AQ22" i="13"/>
  <c r="CZ58" i="12"/>
  <c r="AQ5" i="13"/>
  <c r="DA5" i="13"/>
  <c r="DH5" i="13" s="1"/>
  <c r="AQ21" i="13"/>
  <c r="AI9" i="12"/>
  <c r="CS9" i="12"/>
  <c r="AI33" i="12"/>
  <c r="DF30" i="13"/>
  <c r="DC30" i="13"/>
  <c r="AQ19" i="13"/>
  <c r="DA19" i="13"/>
  <c r="DF85" i="13"/>
  <c r="DC85" i="13"/>
  <c r="DH85" i="13" s="1"/>
  <c r="AQ20" i="13"/>
  <c r="CQ70" i="12"/>
  <c r="CZ70" i="12" s="1"/>
  <c r="AI70" i="12"/>
  <c r="CZ81" i="12"/>
  <c r="AI75" i="12"/>
  <c r="CS75" i="12"/>
  <c r="CZ75" i="12" s="1"/>
  <c r="AI69" i="12"/>
  <c r="CS69" i="12"/>
  <c r="AQ53" i="13"/>
  <c r="AQ10" i="13"/>
  <c r="DA10" i="13"/>
  <c r="CS35" i="12"/>
  <c r="CZ35" i="12" s="1"/>
  <c r="AI35" i="12"/>
  <c r="CZ42" i="12"/>
  <c r="CZ56" i="12"/>
  <c r="DH14" i="13"/>
  <c r="DC13" i="13"/>
  <c r="DH13" i="13" s="1"/>
  <c r="DF13" i="13"/>
  <c r="AI16" i="12"/>
  <c r="DA8" i="13"/>
  <c r="DH8" i="13" s="1"/>
  <c r="AQ8" i="13"/>
  <c r="AI66" i="12"/>
  <c r="CS66" i="12"/>
  <c r="CZ66" i="12" s="1"/>
  <c r="CZ23" i="12"/>
  <c r="CZ7" i="12"/>
  <c r="CZ18" i="12"/>
  <c r="CZ77" i="12"/>
  <c r="CQ43" i="12"/>
  <c r="CZ43" i="12" s="1"/>
  <c r="AI43" i="12"/>
  <c r="DA49" i="13"/>
  <c r="DH49" i="13" s="1"/>
  <c r="AQ49" i="13"/>
  <c r="CZ68" i="12"/>
  <c r="CQ6" i="12"/>
  <c r="CZ6" i="12" s="1"/>
  <c r="AI6" i="12"/>
  <c r="CY33" i="13"/>
  <c r="AQ33" i="13"/>
  <c r="AI49" i="12"/>
  <c r="CS49" i="12"/>
  <c r="CZ49" i="12" s="1"/>
  <c r="CZ74" i="12"/>
  <c r="CS52" i="12"/>
  <c r="CZ52" i="12" s="1"/>
  <c r="AI52" i="12"/>
  <c r="AI50" i="12"/>
  <c r="CS50" i="12"/>
  <c r="CZ50" i="12" s="1"/>
  <c r="AI71" i="12"/>
  <c r="CS71" i="12"/>
  <c r="CZ71" i="12" s="1"/>
  <c r="DA44" i="13"/>
  <c r="DH44" i="13" s="1"/>
  <c r="AQ44" i="13"/>
  <c r="CS46" i="12"/>
  <c r="CZ46" i="12" s="1"/>
  <c r="AI46" i="12"/>
  <c r="CZ16" i="12"/>
  <c r="DA82" i="13"/>
  <c r="DH82" i="13" s="1"/>
  <c r="AQ82" i="13"/>
  <c r="DA74" i="13"/>
  <c r="DH74" i="13" s="1"/>
  <c r="AQ74" i="13"/>
  <c r="DA48" i="13"/>
  <c r="DH48" i="13" s="1"/>
  <c r="AQ48" i="13"/>
  <c r="CS62" i="12"/>
  <c r="CZ62" i="12" s="1"/>
  <c r="AI62" i="12"/>
  <c r="AQ14" i="13"/>
  <c r="CR85" i="12"/>
  <c r="AI85" i="12"/>
  <c r="AI48" i="12"/>
  <c r="CS48" i="12"/>
  <c r="CZ48" i="12" s="1"/>
  <c r="CS55" i="12"/>
  <c r="CZ55" i="12" s="1"/>
  <c r="AI55" i="12"/>
  <c r="CS40" i="12"/>
  <c r="CZ40" i="12" s="1"/>
  <c r="AI40" i="12"/>
  <c r="DA84" i="13"/>
  <c r="DH84" i="13" s="1"/>
  <c r="AQ84" i="13"/>
  <c r="AQ77" i="13"/>
  <c r="DA77" i="13"/>
  <c r="DF43" i="13"/>
  <c r="DC43" i="13"/>
  <c r="DH43" i="13" s="1"/>
  <c r="DH65" i="13"/>
  <c r="AQ81" i="13"/>
  <c r="DA60" i="13"/>
  <c r="DH60" i="13" s="1"/>
  <c r="AQ60" i="13"/>
  <c r="DC6" i="13"/>
  <c r="DF6" i="13"/>
  <c r="AI83" i="12"/>
  <c r="AI76" i="12"/>
  <c r="CS76" i="12"/>
  <c r="CZ76" i="12" s="1"/>
  <c r="CZ85" i="12"/>
  <c r="AQ26" i="13"/>
  <c r="CS44" i="12"/>
  <c r="CZ44" i="12" s="1"/>
  <c r="AI44" i="12"/>
  <c r="AI37" i="12"/>
  <c r="CS37" i="12"/>
  <c r="CZ37" i="12" s="1"/>
  <c r="CS80" i="12"/>
  <c r="CZ80" i="12" s="1"/>
  <c r="AI80" i="12"/>
  <c r="AI5" i="12"/>
  <c r="CY56" i="13"/>
  <c r="DH56" i="13" s="1"/>
  <c r="AQ56" i="13"/>
  <c r="DH58" i="13"/>
  <c r="AQ85" i="13"/>
  <c r="DH78" i="13"/>
  <c r="AQ41" i="13"/>
  <c r="DA41" i="13"/>
  <c r="DH41" i="13" s="1"/>
  <c r="DA68" i="13"/>
  <c r="DH68" i="13" s="1"/>
  <c r="AQ68" i="13"/>
  <c r="DF61" i="13"/>
  <c r="DC61" i="13"/>
  <c r="DH61" i="13" s="1"/>
  <c r="CZ82" i="12"/>
  <c r="DF29" i="13"/>
  <c r="DC29" i="13"/>
  <c r="DF23" i="13"/>
  <c r="DC23" i="13"/>
  <c r="DH23" i="13" s="1"/>
  <c r="AI39" i="12"/>
  <c r="CS39" i="12"/>
  <c r="CZ39" i="12" s="1"/>
  <c r="DF78" i="13"/>
  <c r="DC78" i="13"/>
  <c r="AQ63" i="13"/>
  <c r="DF74" i="13"/>
  <c r="DC74" i="13"/>
  <c r="DC47" i="13"/>
  <c r="DF47" i="13"/>
  <c r="DF24" i="13"/>
  <c r="DC24" i="13"/>
  <c r="DH24" i="13" s="1"/>
  <c r="DF64" i="13"/>
  <c r="DC64" i="13"/>
  <c r="DA52" i="13"/>
  <c r="DH52" i="13" s="1"/>
  <c r="AQ52" i="13"/>
  <c r="DA37" i="13"/>
  <c r="AQ37" i="13"/>
  <c r="DF39" i="13"/>
  <c r="DC39" i="13"/>
  <c r="DF76" i="13"/>
  <c r="DC76" i="13"/>
  <c r="DA80" i="13"/>
  <c r="DH80" i="13" s="1"/>
  <c r="AQ80" i="13"/>
  <c r="AQ28" i="13"/>
  <c r="DA28" i="13"/>
  <c r="DH28" i="13" s="1"/>
  <c r="DF41" i="13"/>
  <c r="DC41" i="13"/>
  <c r="AQ78" i="13"/>
  <c r="CZ45" i="12"/>
  <c r="AI34" i="12"/>
  <c r="AQ65" i="13"/>
  <c r="DA65" i="13"/>
  <c r="DF82" i="13"/>
  <c r="DC82" i="13"/>
  <c r="DH47" i="13"/>
  <c r="AQ75" i="13"/>
  <c r="DA18" i="13"/>
  <c r="DH18" i="13" s="1"/>
  <c r="AQ18" i="13"/>
  <c r="DH77" i="13"/>
  <c r="AQ73" i="13"/>
  <c r="DC77" i="13"/>
  <c r="DF77" i="13"/>
  <c r="CZ84" i="12"/>
  <c r="DF11" i="13"/>
  <c r="DC11" i="13"/>
  <c r="CZ28" i="12"/>
  <c r="AI30" i="12"/>
  <c r="AI23" i="12"/>
  <c r="CS23" i="12"/>
  <c r="DH75" i="13"/>
  <c r="DF27" i="13"/>
  <c r="DC27" i="13"/>
  <c r="AQ59" i="13"/>
  <c r="DA59" i="13"/>
  <c r="DH59" i="13" s="1"/>
  <c r="AQ57" i="13"/>
  <c r="DA57" i="13"/>
  <c r="DA34" i="13"/>
  <c r="DH34" i="13" s="1"/>
  <c r="AQ34" i="13"/>
  <c r="AQ58" i="13"/>
  <c r="AI74" i="12"/>
  <c r="AI63" i="12"/>
  <c r="CS63" i="12"/>
  <c r="CZ63" i="12" s="1"/>
  <c r="CZ30" i="12"/>
  <c r="AI22" i="12"/>
  <c r="CS22" i="12"/>
  <c r="CZ22" i="12" s="1"/>
  <c r="AI19" i="12"/>
  <c r="CS31" i="12"/>
  <c r="AI31" i="12"/>
  <c r="AI27" i="12"/>
  <c r="AQ17" i="13"/>
  <c r="DA17" i="13"/>
  <c r="DH17" i="13" s="1"/>
  <c r="DF51" i="13"/>
  <c r="DC51" i="13"/>
  <c r="AQ16" i="13"/>
  <c r="CY16" i="13"/>
  <c r="DH16" i="13" s="1"/>
  <c r="CZ83" i="12"/>
  <c r="AQ55" i="13"/>
  <c r="CZ78" i="12"/>
  <c r="DA42" i="13"/>
  <c r="DH42" i="13" s="1"/>
  <c r="AQ42" i="13"/>
  <c r="DH30" i="13"/>
  <c r="AQ79" i="13"/>
  <c r="DA79" i="13"/>
  <c r="DH79" i="13" s="1"/>
  <c r="DA72" i="13"/>
  <c r="DH72" i="13" s="1"/>
  <c r="AQ72" i="13"/>
  <c r="CY27" i="13"/>
  <c r="AQ27" i="13"/>
  <c r="DA40" i="13"/>
  <c r="DH40" i="13" s="1"/>
  <c r="AQ40" i="13"/>
  <c r="DA76" i="13"/>
  <c r="DH76" i="13" s="1"/>
  <c r="AQ76" i="13"/>
  <c r="DF17" i="13"/>
  <c r="DC17" i="13"/>
  <c r="CR59" i="12"/>
  <c r="AI59" i="12"/>
  <c r="DF22" i="13"/>
  <c r="DC22" i="13"/>
  <c r="DH19" i="13"/>
  <c r="CZ59" i="12"/>
  <c r="AI21" i="12"/>
  <c r="CS21" i="12"/>
  <c r="CZ21" i="12" s="1"/>
  <c r="AI54" i="12"/>
  <c r="AI15" i="12"/>
  <c r="AI28" i="12"/>
  <c r="DH37" i="13"/>
  <c r="DH57" i="13"/>
  <c r="CZ29" i="13"/>
  <c r="DH29" i="13" s="1"/>
  <c r="AQ29" i="13"/>
  <c r="CS78" i="12"/>
  <c r="AI78" i="12"/>
  <c r="DF73" i="13"/>
  <c r="DC73" i="13"/>
  <c r="DH73" i="13" s="1"/>
  <c r="DH21" i="13"/>
  <c r="AQ66" i="13"/>
  <c r="DF42" i="13"/>
  <c r="DC42" i="13"/>
  <c r="DH45" i="13"/>
  <c r="DH11" i="13"/>
  <c r="AI56" i="12"/>
  <c r="AI57" i="12"/>
  <c r="CS57" i="12"/>
  <c r="CZ57" i="12" s="1"/>
  <c r="CZ64" i="12"/>
  <c r="AQ12" i="13"/>
  <c r="DA12" i="13"/>
  <c r="DH12" i="13" s="1"/>
  <c r="AI17" i="12"/>
  <c r="CS17" i="12"/>
  <c r="CZ17" i="12" s="1"/>
  <c r="AI7" i="12"/>
  <c r="CZ31" i="12"/>
  <c r="DH10" i="13"/>
  <c r="DA47" i="13"/>
  <c r="AQ47" i="13"/>
  <c r="AQ71" i="13"/>
  <c r="DA71" i="13"/>
  <c r="AQ43" i="13"/>
  <c r="AQ7" i="13"/>
  <c r="CZ54" i="12"/>
  <c r="CS45" i="12"/>
  <c r="AI45" i="12"/>
  <c r="DF9" i="13"/>
  <c r="DC9" i="13"/>
  <c r="DH9" i="13" s="1"/>
  <c r="CZ36" i="12"/>
  <c r="DH83" i="13"/>
  <c r="DA32" i="13"/>
  <c r="DH32" i="13" s="1"/>
  <c r="AQ32" i="13"/>
  <c r="AQ6" i="13"/>
  <c r="DA6" i="13"/>
  <c r="DH6" i="13" s="1"/>
  <c r="AQ54" i="13"/>
  <c r="DA54" i="13"/>
  <c r="DH54" i="13" s="1"/>
  <c r="AQ46" i="13"/>
  <c r="DA46" i="13"/>
  <c r="DH46" i="13" s="1"/>
  <c r="AQ45" i="13"/>
  <c r="AQ25" i="13"/>
  <c r="DA25" i="13"/>
  <c r="DH25" i="13" s="1"/>
  <c r="AI77" i="12"/>
  <c r="CS77" i="12"/>
  <c r="CR8" i="12"/>
  <c r="CZ8" i="12" s="1"/>
  <c r="AI8" i="12"/>
  <c r="AI11" i="12"/>
  <c r="CS11" i="12"/>
  <c r="CZ11" i="12" s="1"/>
  <c r="AI18" i="12"/>
  <c r="AI25" i="12"/>
  <c r="DH22" i="13" l="1"/>
  <c r="DH64" i="13"/>
  <c r="DH33" i="13"/>
  <c r="DH27"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G10" authorId="0" shapeId="0" xr:uid="{AC1031D7-A74D-45EF-8D44-45555620CACF}">
      <text>
        <r>
          <rPr>
            <b/>
            <sz val="9"/>
            <color indexed="81"/>
            <rFont val="Tahoma"/>
            <family val="2"/>
          </rPr>
          <t>user:</t>
        </r>
        <r>
          <rPr>
            <sz val="9"/>
            <color indexed="81"/>
            <rFont val="Tahoma"/>
            <family val="2"/>
          </rPr>
          <t xml:space="preserve">
Ya se encontró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6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6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6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X53" authorId="0" shapeId="0" xr:uid="{00000000-0006-0000-0600-000004000000}">
      <text>
        <r>
          <rPr>
            <b/>
            <sz val="9"/>
            <color rgb="FF000000"/>
            <rFont val="Tahoma"/>
            <family val="2"/>
            <charset val="1"/>
          </rPr>
          <t xml:space="preserve">Ronald Rodriguez:
</t>
        </r>
        <r>
          <rPr>
            <sz val="9"/>
            <color rgb="FF000000"/>
            <rFont val="Tahoma"/>
            <family val="2"/>
            <charset val="1"/>
          </rPr>
          <t xml:space="preserve">Repetido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método, categoría, etapa de investigación, prioridad.</t>
        </r>
      </text>
    </comment>
    <comment ref="R1" authorId="0" shapeId="0" xr:uid="{00000000-0006-0000-0700-000002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 ref="R2" authorId="0" shapeId="0" xr:uid="{00000000-0006-0000-0700-000003000000}">
      <text>
        <r>
          <rPr>
            <sz val="11"/>
            <color rgb="FF000000"/>
            <rFont val="Calibri"/>
            <family val="2"/>
            <charset val="1"/>
          </rPr>
          <t>[Comentario encadenado]
Su versión de Excel le permite leer este comentario encadenado; sin embargo, las ediciones que se apliquen se quitarán si el archivo se abre en una versión más reciente de Excel. Más información: https://go.microsoft.com/fwlink/?linkid=870924
Comentario:
    crítica, resumen, ideas</t>
        </r>
      </text>
    </comment>
  </commentList>
</comments>
</file>

<file path=xl/sharedStrings.xml><?xml version="1.0" encoding="utf-8"?>
<sst xmlns="http://schemas.openxmlformats.org/spreadsheetml/2006/main" count="18370" uniqueCount="5971">
  <si>
    <t>INTELIGENCIA TECNOLÓGICA - REGISTRO PALABRAS CLAVE</t>
  </si>
  <si>
    <t>Dirección de Innovación - Vicerrectoría de Investigación</t>
  </si>
  <si>
    <t>Proyecto:  Sistema inteligente de vigilancia</t>
  </si>
  <si>
    <t>Investigador:  Ronald Rodríguez</t>
  </si>
  <si>
    <t>TEMA</t>
  </si>
  <si>
    <t>PALABRAS EN INGLÉS</t>
  </si>
  <si>
    <t>INGLES</t>
  </si>
  <si>
    <t>ESPAÑOL</t>
  </si>
  <si>
    <t>Conceptos principales</t>
  </si>
  <si>
    <t>Computer vision</t>
  </si>
  <si>
    <t>Visión por computadora</t>
  </si>
  <si>
    <t>Image processing</t>
  </si>
  <si>
    <t>Procesamiento de imágenes</t>
  </si>
  <si>
    <t>Video processing</t>
  </si>
  <si>
    <t>Procesamiento de video</t>
  </si>
  <si>
    <t>Smart surveillance</t>
  </si>
  <si>
    <t>AND</t>
  </si>
  <si>
    <t>Posibles aplicaciones del sistema</t>
  </si>
  <si>
    <t>Actions classification</t>
  </si>
  <si>
    <t>Clasificación de acciones</t>
  </si>
  <si>
    <t>Aggresive behavior recognition</t>
  </si>
  <si>
    <t>Reconocimiento de comportamiento agresivo</t>
  </si>
  <si>
    <t>Aggresive behavior detection</t>
  </si>
  <si>
    <t>Anomaly detection</t>
  </si>
  <si>
    <t>Detección de anomalías</t>
  </si>
  <si>
    <t>Anomaly Tagging</t>
  </si>
  <si>
    <t>Etiquetado de anomalías</t>
  </si>
  <si>
    <t>Anomalous Behaviour Detection</t>
  </si>
  <si>
    <t>Detección de comportamiento anómalo</t>
  </si>
  <si>
    <t>Behavior prediction</t>
  </si>
  <si>
    <t>Predicción de comportamiento</t>
  </si>
  <si>
    <t>Behavior recognition</t>
  </si>
  <si>
    <t>Reconocimiento de comportamiento</t>
  </si>
  <si>
    <t>Behavior representation</t>
  </si>
  <si>
    <t>Representación del comportamiento</t>
  </si>
  <si>
    <t>threat behavior analysis</t>
  </si>
  <si>
    <t>Análisis de comportamiento amenazante</t>
  </si>
  <si>
    <t>Behavior study</t>
  </si>
  <si>
    <t>Behavior-based safety</t>
  </si>
  <si>
    <t>Seguridad basada en compotamiento</t>
  </si>
  <si>
    <t>Concurrent safety surveillance</t>
  </si>
  <si>
    <t>Vigilancia concurrente</t>
  </si>
  <si>
    <t>Crowd Recognition</t>
  </si>
  <si>
    <t>Reconocimiento de multitudes</t>
  </si>
  <si>
    <t>depression detection</t>
  </si>
  <si>
    <t>Detección de depresión</t>
  </si>
  <si>
    <t>Drowsiness detection</t>
  </si>
  <si>
    <t>Detección de personas somnolientas</t>
  </si>
  <si>
    <t>Emotion recognition</t>
  </si>
  <si>
    <t>Reconocimiento de emociones</t>
  </si>
  <si>
    <t>Fall detection</t>
  </si>
  <si>
    <t>Detección de caidas</t>
  </si>
  <si>
    <t>human activity recognition</t>
  </si>
  <si>
    <t>Reconocimiento de actividad humana</t>
  </si>
  <si>
    <t>Objects detection</t>
  </si>
  <si>
    <t>Detección de objetos</t>
  </si>
  <si>
    <t>People counting</t>
  </si>
  <si>
    <t>Conteo de personas</t>
  </si>
  <si>
    <t>People safety</t>
  </si>
  <si>
    <t>Seguridad de las personas</t>
  </si>
  <si>
    <t>People security</t>
  </si>
  <si>
    <t>Safety incidents recognition</t>
  </si>
  <si>
    <t>Reconocimiento de incidentes de seguridad</t>
  </si>
  <si>
    <t>Security incidents recognition</t>
  </si>
  <si>
    <t>Tecnología de implementación</t>
  </si>
  <si>
    <t>Amazon web services</t>
  </si>
  <si>
    <t>AWS</t>
  </si>
  <si>
    <t>Google Cloud Platform</t>
  </si>
  <si>
    <t>GPC</t>
  </si>
  <si>
    <t>KERAS</t>
  </si>
  <si>
    <t>CAFFE</t>
  </si>
  <si>
    <t>THEANO</t>
  </si>
  <si>
    <t>Cloud Computing</t>
  </si>
  <si>
    <t>Computación en la nube</t>
  </si>
  <si>
    <t>Big data</t>
  </si>
  <si>
    <t>Cantidad masiva de datos</t>
  </si>
  <si>
    <t>Cloud platform</t>
  </si>
  <si>
    <t>Plataforma en la nube</t>
  </si>
  <si>
    <t>IOT</t>
  </si>
  <si>
    <t>Openpose</t>
  </si>
  <si>
    <t>OpenCV</t>
  </si>
  <si>
    <t>TensorFlow</t>
  </si>
  <si>
    <t>CCTV</t>
  </si>
  <si>
    <t>IP camera</t>
  </si>
  <si>
    <t>Métodos de IA computacional</t>
  </si>
  <si>
    <t>neural network</t>
  </si>
  <si>
    <t>fuzzy logic</t>
  </si>
  <si>
    <t>genetic algorithm</t>
  </si>
  <si>
    <t>markov chain</t>
  </si>
  <si>
    <t>markov model</t>
  </si>
  <si>
    <t>knn</t>
  </si>
  <si>
    <t>som</t>
  </si>
  <si>
    <t>deep learning</t>
  </si>
  <si>
    <t>machine learning</t>
  </si>
  <si>
    <t>svm</t>
  </si>
  <si>
    <t>ensamble method</t>
  </si>
  <si>
    <t>bagging</t>
  </si>
  <si>
    <t>decision tree</t>
  </si>
  <si>
    <t>ridge</t>
  </si>
  <si>
    <t>elastic net</t>
  </si>
  <si>
    <t>lasso</t>
  </si>
  <si>
    <t>ADICIONALES</t>
  </si>
  <si>
    <t>Entornos</t>
  </si>
  <si>
    <t>Smart Campus</t>
  </si>
  <si>
    <t>Campus inteligente</t>
  </si>
  <si>
    <t>Smart Homes</t>
  </si>
  <si>
    <t>Hogares inteligentes</t>
  </si>
  <si>
    <t>Smart Factories</t>
  </si>
  <si>
    <t>Fábricas inteligentes</t>
  </si>
  <si>
    <t>Smart Cities</t>
  </si>
  <si>
    <t>Ciudades inteligentes</t>
  </si>
  <si>
    <t>Humanidad y ética</t>
  </si>
  <si>
    <t>Ethical Implication</t>
  </si>
  <si>
    <t>Implicaciones éticas</t>
  </si>
  <si>
    <t>People privacy</t>
  </si>
  <si>
    <t>Privacidad de las personas</t>
  </si>
  <si>
    <t>Social Impact</t>
  </si>
  <si>
    <t>Impacto social</t>
  </si>
  <si>
    <t>Otras palabras</t>
  </si>
  <si>
    <t>Pose</t>
  </si>
  <si>
    <t>Automatic query</t>
  </si>
  <si>
    <t>Consulta automática</t>
  </si>
  <si>
    <t>Gesture</t>
  </si>
  <si>
    <t>Gesto</t>
  </si>
  <si>
    <t>Face movement</t>
  </si>
  <si>
    <t>Movimiento facial</t>
  </si>
  <si>
    <t>Habit recognition</t>
  </si>
  <si>
    <t>Reconocimiento de hábitos</t>
  </si>
  <si>
    <t>Actions</t>
  </si>
  <si>
    <t>Acciones</t>
  </si>
  <si>
    <t>Stimulus response</t>
  </si>
  <si>
    <t>Respuesta a estímulos</t>
  </si>
  <si>
    <t>Customer service flaws</t>
  </si>
  <si>
    <t>Fallas en servicio al cliente</t>
  </si>
  <si>
    <t>agitated behavior</t>
  </si>
  <si>
    <t>Comportamiento agitado</t>
  </si>
  <si>
    <t>Emotion</t>
  </si>
  <si>
    <t>Emoción</t>
  </si>
  <si>
    <t>Device linking</t>
  </si>
  <si>
    <t>Enlace de dispositivos</t>
  </si>
  <si>
    <t>Autonomous training</t>
  </si>
  <si>
    <t>Entrenamiento autónomo</t>
  </si>
  <si>
    <t xml:space="preserve">SU=("Imaging Science &amp; Photographic Technology") </t>
  </si>
  <si>
    <t xml:space="preserve">SU=("Engineering") </t>
  </si>
  <si>
    <t xml:space="preserve">SU=("Computer Science") </t>
  </si>
  <si>
    <t>open pose</t>
  </si>
  <si>
    <t>https://github.com/CMU-Perceptual-Computing-Lab/openpose/blob/master/doc/modules/python_module.md</t>
  </si>
  <si>
    <t>https://wrnch.ai/</t>
  </si>
  <si>
    <t>https://www.youtube.com/watch?v=pW6nZXeWlGM</t>
  </si>
  <si>
    <t>https://www.youtube.com/watch?v=C1Sxk6zxWLM</t>
  </si>
  <si>
    <t>open cv</t>
  </si>
  <si>
    <t>https://opencv.org/</t>
  </si>
  <si>
    <t>Camera lens</t>
  </si>
  <si>
    <t>https://www.youtube.com/watch?v=d0o8BSi2NGM</t>
  </si>
  <si>
    <t>Reading  camera with opencv</t>
  </si>
  <si>
    <t>http://funvision.blogspot.com/2017/06/opencv-reading-ip-camera-video-stream.html</t>
  </si>
  <si>
    <t>Búsquedas iniciales - Proyecto: Sistema de vigilancia inteligente</t>
  </si>
  <si>
    <t xml:space="preserve">Número </t>
  </si>
  <si>
    <t>Ecuación</t>
  </si>
  <si>
    <t>Resultados</t>
  </si>
  <si>
    <t>Comentarios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</si>
  <si>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t>
  </si>
  <si>
    <t>Consulta inicial con los keywords establecidos en el ejercicio de escritura libre. Se identifican varios temas que no son de relevancia y por consiguiente, se tienen en cuenta para realizar las restricciones pertinentes.</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</si>
  <si>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</si>
  <si>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Se ingresan las palabra clave indentificadas en la consulta anterior, reduciendo notablemente el resultado. Se realizará una variación con sólo los títulos para facilitar la selección en el futuro.</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</si>
  <si>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t>
  </si>
  <si>
    <t>Búsqueda por sólo títulos.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</si>
  <si>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AND TS=(pose OR gesture OR "face movement" OR "habit recognition" OR actions OR "stimulus response" OR "customer service flaws" OR "agitated behavior" OR emotion) NOT TS=(parkinson OR particle OR insects OR mouse OR pig OR "thermal image" OR infrared OR crops OR agricultural OR speech OR voice OR friction OR materials OR brain OR heart OR coronary OR motor OR ultrasonic OR neuropsycho* OR psycho*)</t>
  </si>
  <si>
    <t>Varios artículos psicológicos, relacionados pero no relevantes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</si>
  <si>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t>
  </si>
  <si>
    <t>Se agregan negaciones en sensores y teléfonos</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</si>
  <si>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NOT SU=(Psychology)</t>
  </si>
  <si>
    <t>Se remueve toda la disciplina de psicología</t>
  </si>
  <si>
    <t>(TI=("behavior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</si>
  <si>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comportamiento: Restricción por áreas de investigación, posibles seminales</t>
  </si>
  <si>
    <t>TI=(( "image processing" OR "video processing"))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</si>
  <si>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Por procesamiento de imágenes y video Restricción por áreas de investigación, posibles seminales</t>
  </si>
  <si>
    <t>TI=((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</si>
  <si>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Dos artículos relevantes con detección de personas somnolientas (2016 y 2017) , 
1 de caidas (2014) y 1 de comparatción de herramientas de detección(viejo y por lo tanto no debería considerarse)</t>
  </si>
  <si>
    <t>TS=(( "image processing" OR "video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analysis"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</si>
  <si>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Artículo relevante: Robust Video Surveillance for Fall Detection Based on Human Shape Deformation y otros artículos para contextualización del tema con algunos artículos comparativos. Entre los autores destacados se encuentran Rougier, Caroline; Meunier, Jean; St-Arnaud, Alain; con 17 citaciones promedio. Los 10 primeros resultados desde la vista de citaciones tiene otros artículos relevantes</t>
  </si>
  <si>
    <t>TS=(  "image processing" OR "video processing" OR "behavior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</si>
  <si>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El refinamiento por el criterio computer science artificial inteligence (3883). Potencial para buscar autores</t>
  </si>
  <si>
    <t>((TI=(("video processing")) OR TS=(("video processing"))) AND (TS=("behavior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</si>
  <si>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Con sólo procesamiento de video Artículos relevantes, actuales y con una cantidad moderada de citas. (No seminal)</t>
  </si>
  <si>
    <t>Búsqueda por palabras clave muy relacionados con el tema</t>
  </si>
  <si>
    <t>TI=( "video processing") OR TS=(( "video processing"))</t>
  </si>
  <si>
    <t>Búsqueda de seminales en procesamiento de video. Autores destacados con 97 citas promedio: Sheikh, HR; Bovik, AC. Con 67 citas promedio Sheikh, Hamid Rahim; Sabir, Muhammad Farooq; Bovik, Alan Conrad</t>
  </si>
  <si>
    <t>TI=( "image processing") OR TS=(( "image processing"))</t>
  </si>
  <si>
    <t>Búsqueda de seminales en procesamiento de imágenes. El refinamiento por el criterio computer science artificial inteligence(3871) Se encuentran métodos de aceleración para representación de imágenes. Autores destacados: Beck, Amir; Teboulle, Marc con 302 citaciones en promedio</t>
  </si>
  <si>
    <t>TI=(( "image processing" OR "video processing") AND (surveillance OR security OR safety OR behav*))</t>
  </si>
  <si>
    <t xml:space="preserve">Se identifica una revista que podría seguirse: JOURNAL OF SIGNAL PROCESSING SYSTEMS FOR SIGNAL IMAGE AND VIDEO TECHNOLOGY  y un artículo relevante: JOURNAL OF SIGNAL PROCESSING SYSTEMS FOR SIGNAL IMAGE AND VIDEO TECHNOLOGY  </t>
  </si>
  <si>
    <t>TI=("behav* recognition" OR "human behav* recognition")</t>
  </si>
  <si>
    <t>Artículos muy relevantes en el reconocimiento de comportamiento en la sección de computer science artificial intelligence</t>
  </si>
  <si>
    <t>TS=("intelligent surve*") OR TI =("intelligent surve*")</t>
  </si>
  <si>
    <t>Artículo destacado para smart campus 
Development of intelligent multisensor surveillance systems with agents</t>
  </si>
  <si>
    <t>Búsqueda individual de palabras clave</t>
  </si>
  <si>
    <t>TS=( "video processing") OR TI=(( "video processing"))</t>
  </si>
  <si>
    <t>Consultas realizadas con el fin de descartar palabras clave que no sean relevantes, inválidas o que no tengan resultados</t>
  </si>
  <si>
    <t>TS=( "image processing") OR TI=(( "image processing"))</t>
  </si>
  <si>
    <t>TS=("computer vision") OR TI=("computer vision")</t>
  </si>
  <si>
    <t>TS=("actions classification") OR TI=("actions classification")</t>
  </si>
  <si>
    <t>TS=("act* classification") OR TI=("act* classification")</t>
  </si>
  <si>
    <t>TS=("act* detect*") OR TI=("act* detect*")</t>
  </si>
  <si>
    <t>TS=("aggresive behavior recognition") OR TI=("aggresive behavior recognition")</t>
  </si>
  <si>
    <t>TS=("aggresive behavior detection") OR TI=("aggresive behavior detection")</t>
  </si>
  <si>
    <t>TS=("anomal* detect*") OR TI=("anomal* detect*")</t>
  </si>
  <si>
    <t>TS=("anomal* behav* detect*") OR TI=("anomal* behav* detect*")</t>
  </si>
  <si>
    <t>TS=("anomal* tag*") OR TI=("anomal* tag*")</t>
  </si>
  <si>
    <t>TS=("behav* prediction") OR TI=("behav* prediction")</t>
  </si>
  <si>
    <t>TS=("behav* recogn*") OR TI=("behav* recogn")</t>
  </si>
  <si>
    <t>TS=("behav* represent*") OR TI=("behav* represent*")</t>
  </si>
  <si>
    <t>TS=("behav* stud*") OR TI=("behav* stud*")</t>
  </si>
  <si>
    <t>TS=("behavior*-based safe*") OR  TI=("behavior*-based safe*")</t>
  </si>
  <si>
    <t>TS=("threat* analysis") OR  TI=("threat* analysis")</t>
  </si>
  <si>
    <t>TS=("concurrent safe* survey*") OR TI=("concurrent safe* survey*")</t>
  </si>
  <si>
    <t>TS=("recurrent safe* survey*") OR TI=("recurrent safe* survey*")</t>
  </si>
  <si>
    <t>TS=("paralell* safe* survey*") OR TI=("paralell* safe* survey*")</t>
  </si>
  <si>
    <t>TS=("crowd recog*") OR TI=("crowd recog*")</t>
  </si>
  <si>
    <t>TS=("crowd detect*") OR TI=("crowd detect*")</t>
  </si>
  <si>
    <t>TS=("depression recog*") OR TI=("depression recog*")</t>
  </si>
  <si>
    <t>TS=("depression detect*") OR TI=("depression detect*")</t>
  </si>
  <si>
    <t>TS=("drowsiness recog*") OR TI=("drowsiness recog*")</t>
  </si>
  <si>
    <t>TS=("drowsiness detect*") OR TI=("drowsiness detect*")</t>
  </si>
  <si>
    <t>TS=("emotion* recog*") OR TI=("emotion* recog*")</t>
  </si>
  <si>
    <t>TS=("emotion* detect*") OR TI=("emotion* detect*")</t>
  </si>
  <si>
    <t>TS=("fall* recog*") OR TI=("fall* recog*")</t>
  </si>
  <si>
    <t>TS=("fall* detect*") OR TI=("fall* detect*")</t>
  </si>
  <si>
    <t>TS=("human act* recog*") OR TI=("human act* recog*")</t>
  </si>
  <si>
    <t>TS=("human act* detect*") OR TI=("human act* detect*")</t>
  </si>
  <si>
    <t>TS=("object recog*") OR TI=("object recog*")</t>
  </si>
  <si>
    <t>TS=("object detect*") OR TI=("object detect*")</t>
  </si>
  <si>
    <t>TS=("people count*") OR TI=("people count*")</t>
  </si>
  <si>
    <t>TS=("people security") OR TI=("people security")</t>
  </si>
  <si>
    <t>TS=("people safety") OR TI=("people safety")</t>
  </si>
  <si>
    <t>TS=("security incidents recognition) OR TI=("security incidents recognition)</t>
  </si>
  <si>
    <t>TS=("safety incidents recognition") OR TI=("safety incidents recognition")</t>
  </si>
  <si>
    <t>TS=("incident* recog*") OR TI=("incident* recog*")</t>
  </si>
  <si>
    <t>TS=("accident* recog*") OR TI=("accident* recog*")</t>
  </si>
  <si>
    <t>TS=("pedestrian recog*") OR TI=("pedestrian recog*")</t>
  </si>
  <si>
    <t>TS=("pedestrian detect*") OR TI=("pedestrian detect*")</t>
  </si>
  <si>
    <t>TS=("amazon web services") OR TI=("amazon web services")</t>
  </si>
  <si>
    <t>TS=("google cloud platform") OR TI=("google cloud platform")</t>
  </si>
  <si>
    <t>TS=("keras") OR TI=("keras")</t>
  </si>
  <si>
    <t>TS=("caffe") OR TI=("caffe")</t>
  </si>
  <si>
    <t>TS=("theano") OR TI=("theano")</t>
  </si>
  <si>
    <t>TS=("cloud computing") OR TI=("cloud computing")</t>
  </si>
  <si>
    <t>TS=("cloud platform") OR TI=("cloud platform")</t>
  </si>
  <si>
    <t>TS=("big data") OR TI=("big data")</t>
  </si>
  <si>
    <t>TS=("iot") OR TI=("iot")</t>
  </si>
  <si>
    <t>TS=("openpose") OR TI=("openpose")</t>
  </si>
  <si>
    <t>TS=("opencv") OR TI=("opencv")</t>
  </si>
  <si>
    <t>TS=("tensorflow") OR TI=("tensorflow")</t>
  </si>
  <si>
    <t>TS=("python") OR TI=("python")</t>
  </si>
  <si>
    <t>TS=("CCTV") OR TI=("CCTV")</t>
  </si>
  <si>
    <t>TS=("IP camera") OR TI=("IP camera")</t>
  </si>
  <si>
    <t>TS=("smart campus") OR TI=("smart campus")</t>
  </si>
  <si>
    <t>Ecuaciones finales</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</si>
  <si>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</si>
  <si>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Se extraen 198 artículos relacionados con el proyecto y se identifican los autores y revistas más relevantes.machine vision?
human action recognition is for neuroscience?</t>
  </si>
  <si>
    <t xml:space="preserve"> (TS=(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TS=("amazon web services" OR "google cloud platform" OR keras OR caffe OR theano OR "cloud computing" OR "cloud platform" OR "big data" OR iot OR opencv OR tensorflow OR python OR cctv OR "ip camera")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</si>
  <si>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 publicaciones con relavancia alta</t>
  </si>
  <si>
    <t xml:space="preserve">(TS=("computer vision") AND TS=("surveillance" )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 </t>
  </si>
  <si>
    <t>26 Articulos con relavancia alta</t>
  </si>
  <si>
    <t>TS=("smart surveillance" and cloud)</t>
  </si>
  <si>
    <t>2 Artículos relevantes</t>
  </si>
  <si>
    <t>TS=("edge computing" AND "surveillance")</t>
  </si>
  <si>
    <t>10 Artículos relevantes</t>
  </si>
  <si>
    <t>TS=("fog computing" AND "surveillance")</t>
  </si>
  <si>
    <t>3 Artículos 2 en común con ecuación 81</t>
  </si>
  <si>
    <t>TS=("cloud computing" AND "surveillance")</t>
  </si>
  <si>
    <t>13  Articulos con relavancia alta</t>
  </si>
  <si>
    <t>Ecuaciones Ergonomía</t>
  </si>
  <si>
    <t>TS=(("motion capture" AND ergonom*) OR ("motion capture" AND health)) AND WC=("Ergonomics")</t>
  </si>
  <si>
    <t>16  Articulos con relavancia alta</t>
  </si>
  <si>
    <t>TS=(("motion capture" AND ergonom*) OR ("motion capture" AND health))  AND WC=("COMPUTER SCIENCE INTERDISCIPLINARY APPLICATIONS")</t>
  </si>
  <si>
    <t>Ecuaciones salud en oficina</t>
  </si>
  <si>
    <t>TI=("health"and "office") or TI=("wellbeing"and "office") or TI=("safety"and "office") AND WC=("PUBLIC ENVIRONMENTAL OCCUPATIONAL HEALTH")</t>
  </si>
  <si>
    <t>TI=("health"and "office") or TI=("wellbeing"and "office") or TI=("safety"and "office") AND WC=("HEALTH CARE SCIENCES SERVICES ")</t>
  </si>
  <si>
    <t>TI=("emotion"and"recognition"and("body"or"corporal"or"pose"or"activity"))
Refinado por: CATEGORÍAS DE WEB OF SCIENCE: ( COMPUTER SCIENCE ARTIFICIAL INTELLIGENCE )</t>
  </si>
  <si>
    <t>ti=(stress and prevalence and (work or job or labour))</t>
  </si>
  <si>
    <t xml:space="preserve">	
ti=(depression and prevalence and (work or job or labour))</t>
  </si>
  <si>
    <t>ti=(("noise"or "illumination"or "temperature") and "occupational") and wc=("PUBLIC ENVIRONMENTAL OCCUPATIONAL HEALTH")</t>
  </si>
  <si>
    <t>Factores de riesgo físico</t>
  </si>
  <si>
    <t xml:space="preserve">ti=("night work" and risk) and wc=("PUBLIC ENVIRONMENTAL OCCUPATIONAL HEALTH") </t>
  </si>
  <si>
    <t>ti=(("biologic* risk") and "occupational") and wc=("PUBLIC ENVIRONMENTAL OCCUPATIONAL HEALTH")</t>
  </si>
  <si>
    <t>Factores de riesgo biológico</t>
  </si>
  <si>
    <t>ts=(risk and (flood or storm) and (occupational)) and wc=("PUBLIC ENVIRONMENTAL OCCUPATIONAL HEALTH")</t>
  </si>
  <si>
    <t>Factores de riesgo ambiental</t>
  </si>
  <si>
    <t xml:space="preserve">TI=((emotion or feeling or mood) and (detection or recognition)) and wc=("COMPUTER SCIENCE ARTIFICIAL INTELLIGENCE") </t>
  </si>
  <si>
    <t>TI=(depression and (detection or recognition)) and wc=("PUBLIC ENVIRONMENTAL OCCUPATIONAL HEALTH")</t>
  </si>
  <si>
    <t>REVISTAS</t>
  </si>
  <si>
    <t>Journal title</t>
  </si>
  <si>
    <t>Source</t>
  </si>
  <si>
    <t>Source Pub</t>
  </si>
  <si>
    <t>Cantidad Artículos</t>
  </si>
  <si>
    <t>Cantidad de citas</t>
  </si>
  <si>
    <t>ADVANCED ENGINEERING INFORMATICS</t>
  </si>
  <si>
    <t>COMPUTER VISION AND IMAGE UNDERSTANDING</t>
  </si>
  <si>
    <t>ADVANCES IN NATURAL COMPUTATION, PT 2, PROCEEDINGS</t>
  </si>
  <si>
    <t>IEEE TRANSACTIONS ON PATTERN ANALYSIS AND MACHINE INTELLIGENCE</t>
  </si>
  <si>
    <t>APPLIED SOFT COMPUTING</t>
  </si>
  <si>
    <t>IMAGE AND VISION COMPUTING</t>
  </si>
  <si>
    <t>INTERNATIONAL JOURNAL OF COMPUTER VISION</t>
  </si>
  <si>
    <t>ARTIFICIAL INTELLIGENCE REVIEW</t>
  </si>
  <si>
    <t>PATTERN RECOGNITION LETTERS</t>
  </si>
  <si>
    <t>NEUROCOMPUTING</t>
  </si>
  <si>
    <t>COGNITIVE SYSTEMS RESEARCH</t>
  </si>
  <si>
    <t>PATTERN RECOGNITION</t>
  </si>
  <si>
    <t>COMPUTER VISION - ACCV 2006, PT II</t>
  </si>
  <si>
    <t>IET COMPUTER VISION</t>
  </si>
  <si>
    <t>IEEE TRANSACTIONS ON IMAGE PROCESSING</t>
  </si>
  <si>
    <t>JOURNAL OF REAL-TIME IMAGE PROCESSING</t>
  </si>
  <si>
    <t>EXPERT SYSTEMS WITH APPLICATIONS</t>
  </si>
  <si>
    <t>IEEE TRANSACTIONS ON CYBERNETICS</t>
  </si>
  <si>
    <t>MACHINE VISION AND APPLICATIONS</t>
  </si>
  <si>
    <t>IET IMAGE PROCESSING</t>
  </si>
  <si>
    <t>NEURAL COMPUTING &amp; APPLICATIONS</t>
  </si>
  <si>
    <t>INTERNATIONAL JOURNAL ON ARTIFICIAL INTELLIGENCE TOOLS</t>
  </si>
  <si>
    <t>JOURNAL OF INTELLIGENT &amp; ROBOTIC SYSTEMS</t>
  </si>
  <si>
    <t>NEURAL COMPUTATION</t>
  </si>
  <si>
    <t>Elsevier (science direct)</t>
  </si>
  <si>
    <t>CONNECTION SCIENCE</t>
  </si>
  <si>
    <t>EVOLUTIONARY COMPUTATION</t>
  </si>
  <si>
    <t>IEEE TRANSACTIONS ON AFFECTIVE COMPUTING</t>
  </si>
  <si>
    <t>IEEE TRANSACTIONS ON NEURAL NETWORKS AND LEARNING SYSTEMS</t>
  </si>
  <si>
    <t>IEEE TRANSACTIONS ON SYSTEMS MAN AND CYBERNETICS PART B-CYBERNETICS</t>
  </si>
  <si>
    <t>INFORMATION FUSION</t>
  </si>
  <si>
    <t>ENGINEERING APPLICATIONS OF ARTIFICIAL INTELLIGENCE</t>
  </si>
  <si>
    <t>INTELLIGENT AUTOMATION AND SOFT COMPUTING</t>
  </si>
  <si>
    <t>INTERNATIONAL JOURNAL OF INNOVATIVE COMPUTING INFORMATION AND CONTROL</t>
  </si>
  <si>
    <t>INTERNATIONAL JOURNAL OF MACHINE LEARNING AND CYBERNETICS</t>
  </si>
  <si>
    <t>INTERNATIONAL JOURNAL OF NEURAL SYSTEMS</t>
  </si>
  <si>
    <t>INTERNATIONAL JOURNAL OF PATTERN RECOGNITION AND ARTIFICIAL INTELLIGENCE</t>
  </si>
  <si>
    <t>INTERNATIONAL JOURNAL OF SEMANTIC COMPUTING</t>
  </si>
  <si>
    <t>INTERNATIONAL JOURNAL ON DOCUMENT ANALYSIS AND RECOGNITION</t>
  </si>
  <si>
    <t>JOURNAL OF ADVANCED COMPUTATIONAL INTELLIGENCE AND INTELLIGENT INFORMATICS</t>
  </si>
  <si>
    <t>JOURNAL OF AMBIENT INTELLIGENCE AND HUMANIZED COMPUTING</t>
  </si>
  <si>
    <t>JOURNAL OF AMBIENT INTELLIGENCE AND SMART ENVIRONMENTS</t>
  </si>
  <si>
    <t>JOURNAL OF MATHEMATICAL IMAGING AND VISION</t>
  </si>
  <si>
    <t>MICAI 2005: ADVANCES IN ARTIFICIAL INTELLIGENCE</t>
  </si>
  <si>
    <t>NEURAL NETWORK WORLD</t>
  </si>
  <si>
    <t>NEURAL NETWORKS</t>
  </si>
  <si>
    <t>PATTERN ANALYSIS AND APPLICATIONS</t>
  </si>
  <si>
    <t>PATTERN RECOGNITION, PROCEEDINGS</t>
  </si>
  <si>
    <t>PROGRESS IN ARTIFICIAL INTELLIGENCE, PROCEEDINGS</t>
  </si>
  <si>
    <t>ROBOTICS AND AUTONOMOUS SYSTEMS</t>
  </si>
  <si>
    <t>IEEE TRANSACTIONS ON SYSTEMS MAN AND CYBERNETICS PART C-APPLICATIONS AND REVIEWS</t>
  </si>
  <si>
    <t>Autores</t>
  </si>
  <si>
    <t>publicaciones</t>
  </si>
  <si>
    <t>Seo,JoonOh</t>
  </si>
  <si>
    <t>Bay,Herbert</t>
  </si>
  <si>
    <t>Sun,Y</t>
  </si>
  <si>
    <t>Pisharady,PramodKumar</t>
  </si>
  <si>
    <t>Bhanu,B</t>
  </si>
  <si>
    <t>Moeslund,ThomasB.</t>
  </si>
  <si>
    <t>Vats,Ekta</t>
  </si>
  <si>
    <t>Zia,M.Zeeshan</t>
  </si>
  <si>
    <t>Tripathi,RajeshKumar</t>
  </si>
  <si>
    <t>Dollar,Piotr</t>
  </si>
  <si>
    <t>Goyal,Kalpana</t>
  </si>
  <si>
    <t>Mensink,Thomas</t>
  </si>
  <si>
    <t>Bhuvaneswari,R.</t>
  </si>
  <si>
    <t>Russakovsky,Olga</t>
  </si>
  <si>
    <t>Manohar,V</t>
  </si>
  <si>
    <t>Yao,Shihong</t>
  </si>
  <si>
    <t>Maddalena,Lucia</t>
  </si>
  <si>
    <t>Bianco,Simone</t>
  </si>
  <si>
    <t>Maillot,NicolasEric</t>
  </si>
  <si>
    <t>Chaquet,JoseM.</t>
  </si>
  <si>
    <t>Borji,Ali</t>
  </si>
  <si>
    <t>Delibasis,K.K.</t>
  </si>
  <si>
    <t>Galleguillos,Carolina</t>
  </si>
  <si>
    <t>Gall,Juergen</t>
  </si>
  <si>
    <t>Geronimo,David</t>
  </si>
  <si>
    <t>Zhou,Xiaowei</t>
  </si>
  <si>
    <t>Intille,SS</t>
  </si>
  <si>
    <t>Kasturi,Rangachar</t>
  </si>
  <si>
    <t>Linde,Oskar</t>
  </si>
  <si>
    <t>Roy,Debaditya</t>
  </si>
  <si>
    <t>Zhang,Yaqing</t>
  </si>
  <si>
    <t>Mozafari,AzadehSadat</t>
  </si>
  <si>
    <t>Nedrich,Matthew</t>
  </si>
  <si>
    <t>Perko,Roland</t>
  </si>
  <si>
    <t>Wang,Xiaogang</t>
  </si>
  <si>
    <t>Somasundaram,Guruprasad</t>
  </si>
  <si>
    <t>Sanfeliu,A</t>
  </si>
  <si>
    <t>Thacker,NeilA.</t>
  </si>
  <si>
    <t>Wolf,Christian</t>
  </si>
  <si>
    <t>Wang,Chaohui</t>
  </si>
  <si>
    <t>Wolf,Lior</t>
  </si>
  <si>
    <t>Wang,Liang</t>
  </si>
  <si>
    <t>Peters,G</t>
  </si>
  <si>
    <t>Ryoo,M.S.</t>
  </si>
  <si>
    <t>Zafeiriou,Stefanos</t>
  </si>
  <si>
    <t>Aggarwal,J.K.</t>
  </si>
  <si>
    <t>Zamalieva,Daniya</t>
  </si>
  <si>
    <t>Hosang,Jan</t>
  </si>
  <si>
    <t>Zhang,Wenhao</t>
  </si>
  <si>
    <t>Zhu,Guokang</t>
  </si>
  <si>
    <t>Wu,Lin</t>
  </si>
  <si>
    <t>DeSilva,LiyanageC.</t>
  </si>
  <si>
    <t>Kholerdi,HedyehA.</t>
  </si>
  <si>
    <t>Lopez-Rubio,Ezequiel</t>
  </si>
  <si>
    <t>Trujillo,Leonardo</t>
  </si>
  <si>
    <t>David,P</t>
  </si>
  <si>
    <t>BenMabrouk,Amira</t>
  </si>
  <si>
    <t>Brkic,Karla</t>
  </si>
  <si>
    <t>Wang,Yang</t>
  </si>
  <si>
    <t>Guo,Lie</t>
  </si>
  <si>
    <t>Onofri,Leonardo</t>
  </si>
  <si>
    <t>Andalo,FernandaA.</t>
  </si>
  <si>
    <t>Sahoo,SurajPrakash</t>
  </si>
  <si>
    <t>Seo,Jeong-Jik</t>
  </si>
  <si>
    <t>Yoon,SangMin</t>
  </si>
  <si>
    <t>Gu,Ke</t>
  </si>
  <si>
    <t>Pons,Gerard</t>
  </si>
  <si>
    <t>Heitz,Geremy</t>
  </si>
  <si>
    <t>Jiang,Ping</t>
  </si>
  <si>
    <t>Schneiderman,H</t>
  </si>
  <si>
    <t>Liu,An-An</t>
  </si>
  <si>
    <t>Schroff,Florian</t>
  </si>
  <si>
    <t>Liu,Li</t>
  </si>
  <si>
    <t>Shah,M</t>
  </si>
  <si>
    <t>Pang,Yanwei</t>
  </si>
  <si>
    <t>Bergtholdt,Martin</t>
  </si>
  <si>
    <t>Zhang,Jianguang</t>
  </si>
  <si>
    <t>Cristani,Marco</t>
  </si>
  <si>
    <t>Dee,HannahM.</t>
  </si>
  <si>
    <t>Chiranjeevi,Pojala</t>
  </si>
  <si>
    <t>Serre,Thomas</t>
  </si>
  <si>
    <t>Ermis,ErhanBaki</t>
  </si>
  <si>
    <t>Li,Nijun</t>
  </si>
  <si>
    <t>Khan,FahadShahbaz</t>
  </si>
  <si>
    <t>Li,Chaolong</t>
  </si>
  <si>
    <t>Meng,Hongying</t>
  </si>
  <si>
    <t>Reisert,Marco</t>
  </si>
  <si>
    <t>Wang,Limin</t>
  </si>
  <si>
    <t>Zhu,Chao</t>
  </si>
  <si>
    <t>Meng,Meng</t>
  </si>
  <si>
    <t>Serrano,IsmaelI.</t>
  </si>
  <si>
    <t>Tariq,Usman</t>
  </si>
  <si>
    <t>Foggia,Pasquale</t>
  </si>
  <si>
    <t>Albanese,Massimiliano</t>
  </si>
  <si>
    <t>Wang,Hongcheng</t>
  </si>
  <si>
    <t>Felzenszwalb,PedroF.</t>
  </si>
  <si>
    <t>Kalogeiton,Vicky</t>
  </si>
  <si>
    <t>Vazquez,RA</t>
  </si>
  <si>
    <t>Shotton,Jamie</t>
  </si>
  <si>
    <t>Leordeanu,Marius</t>
  </si>
  <si>
    <t>Deniz,O.</t>
  </si>
  <si>
    <t>Nayar,ShreeK.</t>
  </si>
  <si>
    <t>Wohler,C</t>
  </si>
  <si>
    <t>Franzius,Mathias</t>
  </si>
  <si>
    <t>Wojek,Christian</t>
  </si>
  <si>
    <t>Yao,Bangpeng</t>
  </si>
  <si>
    <t>Zhang,Xiangyu</t>
  </si>
  <si>
    <t>Bekel,H</t>
  </si>
  <si>
    <t>Shao,Ling</t>
  </si>
  <si>
    <t>He,Ran</t>
  </si>
  <si>
    <t>Hu,WM</t>
  </si>
  <si>
    <t>Camplani,Massimo</t>
  </si>
  <si>
    <t>Garcia-Bunster,G.</t>
  </si>
  <si>
    <t>Duncan,K.</t>
  </si>
  <si>
    <t>Chen,Tsong-Yi</t>
  </si>
  <si>
    <t>Cament,LeonardoA.</t>
  </si>
  <si>
    <t>Haque,MohammadA.</t>
  </si>
  <si>
    <t>Koohzadi,Maryam</t>
  </si>
  <si>
    <t>Kouskouridas,R.</t>
  </si>
  <si>
    <t>Paisitkriangkrai,S.</t>
  </si>
  <si>
    <t>Yu,Sheng</t>
  </si>
  <si>
    <t>Sevilmis,Tarkan</t>
  </si>
  <si>
    <t>Zhang,Shengping</t>
  </si>
  <si>
    <t>Soleymani,Mohammad</t>
  </si>
  <si>
    <t>Imani,Maryam</t>
  </si>
  <si>
    <t>Kyrki,V</t>
  </si>
  <si>
    <t>Ji,Qing-Ge</t>
  </si>
  <si>
    <t>Xiao,Fen</t>
  </si>
  <si>
    <t>Orts-Escolano,Sergio</t>
  </si>
  <si>
    <t>Bonaiuto,J.</t>
  </si>
  <si>
    <t>Salah,AlbertAli</t>
  </si>
  <si>
    <t>Carneiro,Gustavo</t>
  </si>
  <si>
    <t>Tang,Qiling</t>
  </si>
  <si>
    <t>Gehrig,Stefan</t>
  </si>
  <si>
    <t>Callari,FG</t>
  </si>
  <si>
    <t>Kelly,Philip</t>
  </si>
  <si>
    <t>Egmont-Petersen,M</t>
  </si>
  <si>
    <t>Onoro-Rubio,Daniel</t>
  </si>
  <si>
    <t>Salvi,Joaquim</t>
  </si>
  <si>
    <t>Meyers,Ethan</t>
  </si>
  <si>
    <t>Guo,Guodong</t>
  </si>
  <si>
    <t>Li,Ruonan</t>
  </si>
  <si>
    <t>Yuan,Yuan</t>
  </si>
  <si>
    <t>Zhu,Fan</t>
  </si>
  <si>
    <t>Ouyang,Wanli</t>
  </si>
  <si>
    <t>Buxton,H</t>
  </si>
  <si>
    <t>Gomes,SamuelL.</t>
  </si>
  <si>
    <t>Cao,Yanpeng</t>
  </si>
  <si>
    <t>Zhao,L.X.</t>
  </si>
  <si>
    <t>Florczyk,S</t>
  </si>
  <si>
    <t>Alvarez,JoseM.</t>
  </si>
  <si>
    <t>Li,Yali</t>
  </si>
  <si>
    <t>Destrero,Augusto</t>
  </si>
  <si>
    <t>Ratnayake,Kumara</t>
  </si>
  <si>
    <t>He,Tao</t>
  </si>
  <si>
    <t>Meng,Fan</t>
  </si>
  <si>
    <t>Li,Jie</t>
  </si>
  <si>
    <t>Mirzayans,T</t>
  </si>
  <si>
    <t>Brunetti,Antonio</t>
  </si>
  <si>
    <t>Ergun,Hilal</t>
  </si>
  <si>
    <t>Aziz,NorNadirahAbdul</t>
  </si>
  <si>
    <t>Tsitsoulis,Athanasios</t>
  </si>
  <si>
    <t>Szwoch,Grzegorz</t>
  </si>
  <si>
    <t>Walia,GurjitSingh</t>
  </si>
  <si>
    <t>Wachs,JuanP.</t>
  </si>
  <si>
    <t>Ma,Junjie</t>
  </si>
  <si>
    <t>Varga,Domonkos</t>
  </si>
  <si>
    <t>Malik,Jitendra</t>
  </si>
  <si>
    <t>JavierFlores,Marco</t>
  </si>
  <si>
    <t>Kakarala,Ramakrishna</t>
  </si>
  <si>
    <t>Albers,A.H.R.</t>
  </si>
  <si>
    <t>Liu,Yun-Fu</t>
  </si>
  <si>
    <t>Hsia,Chih-Hsien</t>
  </si>
  <si>
    <t>Ozdemir,Bahadir</t>
  </si>
  <si>
    <t>Mehta,Rakesh</t>
  </si>
  <si>
    <t>Haering,Niels</t>
  </si>
  <si>
    <t>Guo,Yanming</t>
  </si>
  <si>
    <t>Lloyd,Kaelon</t>
  </si>
  <si>
    <t>Faubel,Christian</t>
  </si>
  <si>
    <t>Qian,Huimin</t>
  </si>
  <si>
    <t>Juang,Chia-Feng</t>
  </si>
  <si>
    <t>Ning,Jifeng</t>
  </si>
  <si>
    <t>Kok,VenJyn</t>
  </si>
  <si>
    <t>Lienhart,R</t>
  </si>
  <si>
    <t>Letsch,Florian</t>
  </si>
  <si>
    <t>Shabani,AmirH.</t>
  </si>
  <si>
    <t>Li,Jing</t>
  </si>
  <si>
    <t>Ribeiro,Manasses</t>
  </si>
  <si>
    <t>Sanchez-Mendoza,David</t>
  </si>
  <si>
    <t>Wang,Mei</t>
  </si>
  <si>
    <t>Rybski,PE</t>
  </si>
  <si>
    <t>Schiele,Bernt</t>
  </si>
  <si>
    <t>Chan,CheeSeng</t>
  </si>
  <si>
    <t>Carmona,EnriqueJ.</t>
  </si>
  <si>
    <t>Masip,David</t>
  </si>
  <si>
    <t>Qiao,Yu</t>
  </si>
  <si>
    <t>Fei-Fei,Li</t>
  </si>
  <si>
    <t>Gevers,Theo</t>
  </si>
  <si>
    <t>Buongiorno,Domenico</t>
  </si>
  <si>
    <t>Fernandez-Caballero,Antonio</t>
  </si>
  <si>
    <t>Lu,Xiaoqiang</t>
  </si>
  <si>
    <t>Lopez,AntonioM.</t>
  </si>
  <si>
    <t>Trotta,GianpaoloFrancesco</t>
  </si>
  <si>
    <t>Kasturi,R</t>
  </si>
  <si>
    <t>Courtney,Patrick</t>
  </si>
  <si>
    <t>Jiu,Mingyuan</t>
  </si>
  <si>
    <t>Zhao,Yi-Bing</t>
  </si>
  <si>
    <t>Wong,Yongkang</t>
  </si>
  <si>
    <t>Jiang,Jianmin</t>
  </si>
  <si>
    <t>Anwer,RaoMuhammad</t>
  </si>
  <si>
    <t>Ji,Rongrong</t>
  </si>
  <si>
    <t>Picariello,Antonio</t>
  </si>
  <si>
    <t>Lempitsky,Victor</t>
  </si>
  <si>
    <t>Grigorescu,SorinM.</t>
  </si>
  <si>
    <t>Garofolo,John</t>
  </si>
  <si>
    <t>Han,SangUk</t>
  </si>
  <si>
    <t>Poggio,Tomaso</t>
  </si>
  <si>
    <t>Wang,Y</t>
  </si>
  <si>
    <t>Wang,Zhaowen</t>
  </si>
  <si>
    <t>Lin,YQ</t>
  </si>
  <si>
    <t>Hannuna,Sion</t>
  </si>
  <si>
    <t>Hu,Kai</t>
  </si>
  <si>
    <t>Jalal,AnandSingh</t>
  </si>
  <si>
    <t>Chang,Shih-Fu</t>
  </si>
  <si>
    <t>Singhai,Jyoti</t>
  </si>
  <si>
    <t>Cao,Yanlong</t>
  </si>
  <si>
    <t>Subban,Ravi</t>
  </si>
  <si>
    <t>Satheesh,Sanjeev</t>
  </si>
  <si>
    <t>Soundararajan,P</t>
  </si>
  <si>
    <t>Yusoff,MuhammadIzad</t>
  </si>
  <si>
    <t>Ess,Andreas</t>
  </si>
  <si>
    <t>Fisher,RobertB.</t>
  </si>
  <si>
    <t>Ciocca,Gianluigi</t>
  </si>
  <si>
    <t>deAlbuquerque,VictorH.C.</t>
  </si>
  <si>
    <t>Wyard-Scott,L</t>
  </si>
  <si>
    <t>Plagianakos,V.P.</t>
  </si>
  <si>
    <t>Wu,Song</t>
  </si>
  <si>
    <t>Belongie,Serge</t>
  </si>
  <si>
    <t>Shen,Weiming</t>
  </si>
  <si>
    <t>Sappa,AngelD.</t>
  </si>
  <si>
    <t>Zhao,Liming</t>
  </si>
  <si>
    <t>Bobick,AF</t>
  </si>
  <si>
    <t>Serratosa,F</t>
  </si>
  <si>
    <t>Lindeberg,Tony</t>
  </si>
  <si>
    <t>Girshick,Ross</t>
  </si>
  <si>
    <t>Hilton,Adrian</t>
  </si>
  <si>
    <t>Ehrlich,Daniele</t>
  </si>
  <si>
    <t>Jamzad,Mansour</t>
  </si>
  <si>
    <t>Moldoveanu,Florin</t>
  </si>
  <si>
    <t>Leonardis,Ales</t>
  </si>
  <si>
    <t>Cherian,Anoop</t>
  </si>
  <si>
    <t>Clark,AdrianF.</t>
  </si>
  <si>
    <t>Komodakis,Nikos</t>
  </si>
  <si>
    <t>Suter,David</t>
  </si>
  <si>
    <t>Lombardi,Eric</t>
  </si>
  <si>
    <t>Zhang,Cha</t>
  </si>
  <si>
    <t>Yilmaz,Alper</t>
  </si>
  <si>
    <t>Smith,MelvynL.</t>
  </si>
  <si>
    <t>Wang,Qi</t>
  </si>
  <si>
    <t>TaheriNejad,Nima</t>
  </si>
  <si>
    <t>Morikawa,Chamin</t>
  </si>
  <si>
    <t>Olague,Gustavo</t>
  </si>
  <si>
    <t>Zagrouba,Ezzeddine</t>
  </si>
  <si>
    <t>Hrkac,Tomislav</t>
  </si>
  <si>
    <t>Ge,Ping-Shu</t>
  </si>
  <si>
    <t>Soda,Paolo</t>
  </si>
  <si>
    <t>Ari,Samit</t>
  </si>
  <si>
    <t>Kuijper,Arjan</t>
  </si>
  <si>
    <t>Cheng,Yongqiang</t>
  </si>
  <si>
    <t>Xu,Ning</t>
  </si>
  <si>
    <t>Zhang,Kun</t>
  </si>
  <si>
    <t>Han,Yahong</t>
  </si>
  <si>
    <t>Cheng,Ming-Ming</t>
  </si>
  <si>
    <t>Gopalakrishnan,Viswanath</t>
  </si>
  <si>
    <t>Clarot,Pierre</t>
  </si>
  <si>
    <t>Xu,Jiaolong</t>
  </si>
  <si>
    <t>Cui,Zhen</t>
  </si>
  <si>
    <t>Burkhardt,Hans</t>
  </si>
  <si>
    <t>Peng,Yuxin</t>
  </si>
  <si>
    <t>Deniz,Oscar</t>
  </si>
  <si>
    <t>Petrosino,Alfredo</t>
  </si>
  <si>
    <t>Tao,Dacheng</t>
  </si>
  <si>
    <t>Chellappa,Rama</t>
  </si>
  <si>
    <t>Zabih,Ramin</t>
  </si>
  <si>
    <t>Yao,Angela</t>
  </si>
  <si>
    <t>Benenson,Rodrigo</t>
  </si>
  <si>
    <t>Ferrari,Vittorio</t>
  </si>
  <si>
    <t>Goldgof,Dmitry</t>
  </si>
  <si>
    <t>Sukthankar,Rahul</t>
  </si>
  <si>
    <t>Verbeek,Jakob</t>
  </si>
  <si>
    <t>Criminisi,Antonio</t>
  </si>
  <si>
    <t>Mori,Greg</t>
  </si>
  <si>
    <t>Walk,Stefan</t>
  </si>
  <si>
    <t>Hassner,Tal</t>
  </si>
  <si>
    <t>Zou,Jianhua</t>
  </si>
  <si>
    <t>Yang,Can</t>
  </si>
  <si>
    <t>Stark,Michael</t>
  </si>
  <si>
    <t>Lin,Kai-Hsiang</t>
  </si>
  <si>
    <t>Tan,TN</t>
  </si>
  <si>
    <t>Paiement,Adeline</t>
  </si>
  <si>
    <t>Sarkar,S.</t>
  </si>
  <si>
    <t>Torres-Torriti,M.</t>
  </si>
  <si>
    <t>Irani,Ramin</t>
  </si>
  <si>
    <t>Charkari,NasrollahMoghadam</t>
  </si>
  <si>
    <t>Gasteratos,A.</t>
  </si>
  <si>
    <t>Shen,C.</t>
  </si>
  <si>
    <t>Cheng,Yun</t>
  </si>
  <si>
    <t>Zhang,Baochang</t>
  </si>
  <si>
    <t>Chi,Rui</t>
  </si>
  <si>
    <t>Deng,Wenzheng</t>
  </si>
  <si>
    <t>Itti,L.</t>
  </si>
  <si>
    <t>Vasconcelos,Nuno</t>
  </si>
  <si>
    <t>Schneider,Nicolai</t>
  </si>
  <si>
    <t>O'Connor,NoelE.</t>
  </si>
  <si>
    <t>Thonnat,Monique</t>
  </si>
  <si>
    <t>Drira,Hassen</t>
  </si>
  <si>
    <t>Lopez-Sastre,RobertoJ.</t>
  </si>
  <si>
    <t>Matabosch,Carles</t>
  </si>
  <si>
    <t>Kim,Hyung-Il</t>
  </si>
  <si>
    <t>Bastan,Muhammet</t>
  </si>
  <si>
    <t>Garcia,David</t>
  </si>
  <si>
    <t>Sang,Nong</t>
  </si>
  <si>
    <t>Anlauf,JK</t>
  </si>
  <si>
    <t>Qi,Lei</t>
  </si>
  <si>
    <t>Guan,Dayan</t>
  </si>
  <si>
    <t>Su,Q.</t>
  </si>
  <si>
    <t>Kappes,Joerg</t>
  </si>
  <si>
    <t>Ferrie,FP</t>
  </si>
  <si>
    <t>Dementhon,D</t>
  </si>
  <si>
    <t>DeMol,Christine</t>
  </si>
  <si>
    <t>Elidan,Gal</t>
  </si>
  <si>
    <t>Branzoi,Vlad</t>
  </si>
  <si>
    <t>Zeng,Xingyu</t>
  </si>
  <si>
    <t>Vadakkepat,Prahlad</t>
  </si>
  <si>
    <t>Deng,Jia</t>
  </si>
  <si>
    <t>Kanade,T</t>
  </si>
  <si>
    <t>Winn,John</t>
  </si>
  <si>
    <t>Ahuja,Narendra</t>
  </si>
  <si>
    <t>Chen,Thou-Ho(Chao-Ho)</t>
  </si>
  <si>
    <t>Han,Guan</t>
  </si>
  <si>
    <t>MarcosLuque-Baena,Rafael</t>
  </si>
  <si>
    <t>Percannella,Gennaro</t>
  </si>
  <si>
    <t>Akyuz,YusufCaglar</t>
  </si>
  <si>
    <t>Mustafah,YasirMohd</t>
  </si>
  <si>
    <t>Bourbakis,Nikolaos</t>
  </si>
  <si>
    <t>Kapoor,Rajiv</t>
  </si>
  <si>
    <t>Jolion,Jean-Michel</t>
  </si>
  <si>
    <t>Dai,Yaping</t>
  </si>
  <si>
    <t>Sziranyi,Tamas</t>
  </si>
  <si>
    <t>MariaArmingol,Jose</t>
  </si>
  <si>
    <t>deWith,P.H.N.</t>
  </si>
  <si>
    <t>Wu,Tsung-Cheng</t>
  </si>
  <si>
    <t>Freeman,Michael</t>
  </si>
  <si>
    <t>Morell,Vicente</t>
  </si>
  <si>
    <t>Amer,Aishy</t>
  </si>
  <si>
    <t>Ellwart,Damian</t>
  </si>
  <si>
    <t>Koelsch,Mathias</t>
  </si>
  <si>
    <t>Venetianer,PeterL.</t>
  </si>
  <si>
    <t>Rosin,PaulL.</t>
  </si>
  <si>
    <t>Davis,JamesW.</t>
  </si>
  <si>
    <t>Velastin,SergioA.</t>
  </si>
  <si>
    <t>Sossa,H</t>
  </si>
  <si>
    <t>Wilbert,Niko</t>
  </si>
  <si>
    <t>Zheng,Wei-Shi</t>
  </si>
  <si>
    <t>Reboucas,ElizangeladeS.</t>
  </si>
  <si>
    <t>Mao,Hua</t>
  </si>
  <si>
    <t>Qi,Zhiquan</t>
  </si>
  <si>
    <t>Parimi,N</t>
  </si>
  <si>
    <t>Schoener,Gregor</t>
  </si>
  <si>
    <t>Liu,Yu</t>
  </si>
  <si>
    <t>Chen,Liang-Tso</t>
  </si>
  <si>
    <t>Lim,MeiKuan</t>
  </si>
  <si>
    <t>Jirak,Doreen</t>
  </si>
  <si>
    <t>Allinson,NigelM.</t>
  </si>
  <si>
    <t>Gao,Ruoyun</t>
  </si>
  <si>
    <t>Deng,Weihong</t>
  </si>
  <si>
    <t>Pan,Shaoming</t>
  </si>
  <si>
    <t>Li,Xi</t>
  </si>
  <si>
    <t>Raghavendra,R.</t>
  </si>
  <si>
    <t>Cheng,Xu</t>
  </si>
  <si>
    <t>Bax,I</t>
  </si>
  <si>
    <t>Galdames,FranciscoJ.</t>
  </si>
  <si>
    <t>deRidder,D</t>
  </si>
  <si>
    <t>Lai,Alice</t>
  </si>
  <si>
    <t>Wang,Shengjin</t>
  </si>
  <si>
    <t>Guo,Jing-Ming</t>
  </si>
  <si>
    <t>Zhang,Lei</t>
  </si>
  <si>
    <t>Srinivas,M.</t>
  </si>
  <si>
    <t>Alquezar,R</t>
  </si>
  <si>
    <t>Feng,Yachuang</t>
  </si>
  <si>
    <t>Xia,Lu</t>
  </si>
  <si>
    <t>Penatti,OtavioA.B.</t>
  </si>
  <si>
    <t>Bueno,G.</t>
  </si>
  <si>
    <t>Kamarainen,JK</t>
  </si>
  <si>
    <t>Turaga,Pavan</t>
  </si>
  <si>
    <t>Arbelaez,Pablo</t>
  </si>
  <si>
    <t>Amores,Jaume</t>
  </si>
  <si>
    <t>Aksoy,Selim</t>
  </si>
  <si>
    <t>Mao,Yaobin</t>
  </si>
  <si>
    <t>Lazzaretti,AndreEugenio</t>
  </si>
  <si>
    <t>Zelek,JohnS.</t>
  </si>
  <si>
    <t>Kuranov,A</t>
  </si>
  <si>
    <t>Veloso,MM</t>
  </si>
  <si>
    <t>Macesanu,Gigel</t>
  </si>
  <si>
    <t>Lee,SangHyun</t>
  </si>
  <si>
    <t>He,YH</t>
  </si>
  <si>
    <t>Agrawal,SubhashChand</t>
  </si>
  <si>
    <t>Raju,H</t>
  </si>
  <si>
    <t>Tuytelaars,Tinne</t>
  </si>
  <si>
    <t>Napoletano,Paolo</t>
  </si>
  <si>
    <t>Maglogiannis,I.</t>
  </si>
  <si>
    <t>Ponsa,Daniel</t>
  </si>
  <si>
    <t>Kruger,Volker</t>
  </si>
  <si>
    <t>Morellas,Vassilios</t>
  </si>
  <si>
    <t>Barron,JohnL.</t>
  </si>
  <si>
    <t>Paragios,Nikos</t>
  </si>
  <si>
    <t>Mille,Julien</t>
  </si>
  <si>
    <t>Zhang,Zhengyou</t>
  </si>
  <si>
    <t>Smith,LyndonN.</t>
  </si>
  <si>
    <t>Ghaderi,Reza</t>
  </si>
  <si>
    <t>Petra,IskandarM.</t>
  </si>
  <si>
    <t>Kalafatic,Zoran</t>
  </si>
  <si>
    <t>Zhang,Ming-Heng</t>
  </si>
  <si>
    <t>Pechenizkiy,Mykola</t>
  </si>
  <si>
    <t>Wang,Xiaonian</t>
  </si>
  <si>
    <t>Nie,Wei-Zhi</t>
  </si>
  <si>
    <t>Zhen,Xiantong</t>
  </si>
  <si>
    <t>Tang,Jinhui</t>
  </si>
  <si>
    <t>Jiang,Huaizu</t>
  </si>
  <si>
    <t>Moogi,Pratibha</t>
  </si>
  <si>
    <t>Jodoin,Pierre-Marc</t>
  </si>
  <si>
    <t>vandeWeijer,Joost</t>
  </si>
  <si>
    <t>Zheng,Wenming</t>
  </si>
  <si>
    <t>Tang,Xiaoou</t>
  </si>
  <si>
    <t>Espinosa-Aranda,JoseLuis</t>
  </si>
  <si>
    <t>Qiao,Jun-Fei</t>
  </si>
  <si>
    <t>Cuntoor,Naresh</t>
  </si>
  <si>
    <t>Razavi,Nima</t>
  </si>
  <si>
    <t>Schmid,Cordelia</t>
  </si>
  <si>
    <t>Soundararajan,Padmanabhan</t>
  </si>
  <si>
    <t>Sminchisescu,Cristian</t>
  </si>
  <si>
    <t>Csurka,Gabriela</t>
  </si>
  <si>
    <t>Zisserman,Andrew</t>
  </si>
  <si>
    <t>Bileschi,Stanley</t>
  </si>
  <si>
    <t>Roth,Stefan</t>
  </si>
  <si>
    <t>Taigman,Yaniv</t>
  </si>
  <si>
    <t>He,Kaiming</t>
  </si>
  <si>
    <t>Yu,Weichuan</t>
  </si>
  <si>
    <t>Li,Zhen</t>
  </si>
  <si>
    <t>Wang,L</t>
  </si>
  <si>
    <t>Mirmehdi,Majid</t>
  </si>
  <si>
    <t>Oberli,C.</t>
  </si>
  <si>
    <t>Nasrollahi,Kamal</t>
  </si>
  <si>
    <t>Badekas,E.</t>
  </si>
  <si>
    <t>Zhang,J.</t>
  </si>
  <si>
    <t>Xie,Li</t>
  </si>
  <si>
    <t>Ye,Qixiang</t>
  </si>
  <si>
    <t>Lu,Zhe-Ming</t>
  </si>
  <si>
    <t>Peng,Liangchan</t>
  </si>
  <si>
    <t>Stalder,Reto</t>
  </si>
  <si>
    <t>Smeaton,AlanF.</t>
  </si>
  <si>
    <t>Boonaert,Jacques</t>
  </si>
  <si>
    <t>Redondo-Cabrera,Carolina</t>
  </si>
  <si>
    <t>Fofi,David</t>
  </si>
  <si>
    <t>DeNeve,Wesley</t>
  </si>
  <si>
    <t>Gudukbay,Ugur</t>
  </si>
  <si>
    <t>Jou,Brendan</t>
  </si>
  <si>
    <t>Zhang,Tianxu</t>
  </si>
  <si>
    <t>Xie,Jin</t>
  </si>
  <si>
    <t>Huang,Weilin</t>
  </si>
  <si>
    <t>Liu,H.</t>
  </si>
  <si>
    <t>Schmidt,Stefan</t>
  </si>
  <si>
    <t>Duraiswami,R</t>
  </si>
  <si>
    <t>Odone,Francesca</t>
  </si>
  <si>
    <t>Packer,Benjamin</t>
  </si>
  <si>
    <t>Boult,TerryE.</t>
  </si>
  <si>
    <t>Loh,AiPoh</t>
  </si>
  <si>
    <t>Su,Hao</t>
  </si>
  <si>
    <t>Rother,Carsten</t>
  </si>
  <si>
    <t>Wang,Da-Jinn</t>
  </si>
  <si>
    <t>Wen,Jing</t>
  </si>
  <si>
    <t>Dominguez,Enrique</t>
  </si>
  <si>
    <t>Vento,Mario</t>
  </si>
  <si>
    <t>Sert,Mustafa</t>
  </si>
  <si>
    <t>Azman,AmeliaWong</t>
  </si>
  <si>
    <t>Hirota,Kaoru</t>
  </si>
  <si>
    <t>Sebe,Nicu</t>
  </si>
  <si>
    <t>delaEscalera,Arturo</t>
  </si>
  <si>
    <t>Chiang,Jen-Shiun</t>
  </si>
  <si>
    <t>Pears,Nick</t>
  </si>
  <si>
    <t>Garcia-Rodriguez,Jose</t>
  </si>
  <si>
    <t>Czyzewski,Andrzej</t>
  </si>
  <si>
    <t>Goshorn,Deborah</t>
  </si>
  <si>
    <t>Lipton,Alan</t>
  </si>
  <si>
    <t>Marshall,David</t>
  </si>
  <si>
    <t>Barron,R</t>
  </si>
  <si>
    <t>Wiskott,Laurenz</t>
  </si>
  <si>
    <t>Hu,Bao-Gang</t>
  </si>
  <si>
    <t>Neto,EdsonCavalcanti</t>
  </si>
  <si>
    <t>Yi,Zhang</t>
  </si>
  <si>
    <t>Tian,Yingjie</t>
  </si>
  <si>
    <t>Pilarski,P</t>
  </si>
  <si>
    <t>Oerlemans,Ard</t>
  </si>
  <si>
    <t>Wermter,Stefan</t>
  </si>
  <si>
    <t>Liu,Yan</t>
  </si>
  <si>
    <t>Wang,Tao</t>
  </si>
  <si>
    <t>Zhang,Zhongfei</t>
  </si>
  <si>
    <t>DelBue,Alessio</t>
  </si>
  <si>
    <t>Guo,Haiyan</t>
  </si>
  <si>
    <t>Heidemann,G</t>
  </si>
  <si>
    <t>Bowyer,KevinW.</t>
  </si>
  <si>
    <t>Handels,H</t>
  </si>
  <si>
    <t>Tian,Qi</t>
  </si>
  <si>
    <t>Chang,Che-Hao</t>
  </si>
  <si>
    <t>Zhang,David</t>
  </si>
  <si>
    <t>Mohan,KrishnaC.</t>
  </si>
  <si>
    <t>Andrade,J</t>
  </si>
  <si>
    <t>Gao,Junbin</t>
  </si>
  <si>
    <t>Testoni,Vanessa</t>
  </si>
  <si>
    <t>Salido,J.</t>
  </si>
  <si>
    <t>Kalviainen,H</t>
  </si>
  <si>
    <t>Srivastava,Anuj</t>
  </si>
  <si>
    <t>Carreira,Joao</t>
  </si>
  <si>
    <t>Eckert,Sandra</t>
  </si>
  <si>
    <t>Xiang,Wenbo</t>
  </si>
  <si>
    <t>Lopes,HeitorSilverio</t>
  </si>
  <si>
    <t>Lapedriza,Agata</t>
  </si>
  <si>
    <t>Clausi,DavidA.</t>
  </si>
  <si>
    <t>Pisarevsky,V</t>
  </si>
  <si>
    <t>Cocias,TiberiuT.</t>
  </si>
  <si>
    <t>Kim,Hyoungkwan</t>
  </si>
  <si>
    <t>Hua,Y</t>
  </si>
  <si>
    <t>Garofolo,J</t>
  </si>
  <si>
    <t>Crum,WilliamR.</t>
  </si>
  <si>
    <t>Dogan,Emre</t>
  </si>
  <si>
    <t>Kankanhalli,Mohan</t>
  </si>
  <si>
    <t>Yang,Jian</t>
  </si>
  <si>
    <t>Subrahmanian,V.S.</t>
  </si>
  <si>
    <t>Bowers,Rachel</t>
  </si>
  <si>
    <t>Le,Vuong</t>
  </si>
  <si>
    <t>Burghardt,Tilo</t>
  </si>
  <si>
    <t>Gao,Xieping</t>
  </si>
  <si>
    <t>Pantic,Maja</t>
  </si>
  <si>
    <t>Ma,Sean</t>
  </si>
  <si>
    <t>Zainuddin,NorAfiqah</t>
  </si>
  <si>
    <t>ReboucasFilho,PedroP.</t>
  </si>
  <si>
    <t>Musilek,P</t>
  </si>
  <si>
    <t>Lew,MichaelS.</t>
  </si>
  <si>
    <t>Chong,Yanwen</t>
  </si>
  <si>
    <t>Verges,J</t>
  </si>
  <si>
    <t>Gkioxari,Georgia</t>
  </si>
  <si>
    <t>Ramesh,Visvanathan</t>
  </si>
  <si>
    <t>Eren,Gonen</t>
  </si>
  <si>
    <t>Udrea,Octavian</t>
  </si>
  <si>
    <t>Boonstra,Matthew</t>
  </si>
  <si>
    <t>Huang,ThomasS.</t>
  </si>
  <si>
    <t>Tao,Lili</t>
  </si>
  <si>
    <t>Huang,Zhiheng</t>
  </si>
  <si>
    <t>Rashidan,MohammadAriff</t>
  </si>
  <si>
    <t>Tavares,JoaoManuelR.S.</t>
  </si>
  <si>
    <t>Gupta,Saurabh</t>
  </si>
  <si>
    <t>Clark,Christine</t>
  </si>
  <si>
    <t>Baccouche,Moez</t>
  </si>
  <si>
    <t>Korzhova,Valentina</t>
  </si>
  <si>
    <t>Lv,Xutao</t>
  </si>
  <si>
    <t>Karpathy,Andrej</t>
  </si>
  <si>
    <t>Hariharan,Bharath</t>
  </si>
  <si>
    <t>Dellandrea,Emmanuel</t>
  </si>
  <si>
    <t>Zhang,Jing</t>
  </si>
  <si>
    <t>Han,TonyX.</t>
  </si>
  <si>
    <t>Khosla,Aditya</t>
  </si>
  <si>
    <t>Kar,Abhishek</t>
  </si>
  <si>
    <t>Bernstein,Michael</t>
  </si>
  <si>
    <t>Tulsiani,Shubham</t>
  </si>
  <si>
    <t>Bichot,Charles-Edmond</t>
  </si>
  <si>
    <t>Garcia,Christophe</t>
  </si>
  <si>
    <t>Berg,AlexanderC.</t>
  </si>
  <si>
    <t>Sankur,Bulent</t>
  </si>
  <si>
    <t>Arquitectura</t>
  </si>
  <si>
    <t>Factores de Riesgo</t>
  </si>
  <si>
    <t>Marcos de trabajo</t>
  </si>
  <si>
    <t>Indicadores</t>
  </si>
  <si>
    <t>Métodos de evaluación</t>
  </si>
  <si>
    <t>Codi</t>
  </si>
  <si>
    <t>Nombre</t>
  </si>
  <si>
    <t>Fecha</t>
  </si>
  <si>
    <t>Resumen</t>
  </si>
  <si>
    <t>Modelos utilizados</t>
  </si>
  <si>
    <t>Mecanismos relacionados</t>
  </si>
  <si>
    <t>Pro y contra</t>
  </si>
  <si>
    <t>Factores de riesgo psicosocial laboral: métodos e
instrumentos de evaluación</t>
  </si>
  <si>
    <t>Víctor H. Charria O 1 ; Kewy V. Sarsosa P 2 ; Felipe Arenas O 3 .</t>
  </si>
  <si>
    <t>Objetivo Realizar un análisis acerca de las condiciones básicas
requeridas para la evaluación de factores de riesgo psicosocial
intralaboral en contextos organizacionales. Metodología: se
retoman los referentes conceptuales principales que se han
utilizado para identificar las causas de estrés en el trabajo,
haciendo énfasis en el modelo Demanda – Control y el
modelo Desequilibro – Esfuerzo – Recompensa. Resultados:
se presentan algunas metodologías e instrumentos que han
mostrado una alta confiabilidad para la identificación de
factores psicosociales en diversos contextos organizacionales
de diferentes países del mundo. Se destaca el caso colombiano
donde, a pesar de contar con pocos instrumentos validados,
hay un avance significativo frente a la temática a partir de la
resolución 2646 del 2008 y la construcción en el 2010 de la
Batería de Instrumentos para la Evaluación de Factores de
Riesgo Psicosocial por parte del Ministerio de la Protección
Social.</t>
  </si>
  <si>
    <t>modelo Demanda – Control y el
modelo Desequilibro – Esfuerzo – Recompensa</t>
  </si>
  <si>
    <t>[43, 44](tiempos de exposición, probabilidades, efectos especí-
ficos) y tiene en cuenta la influencia de entornos ma-
teriales y circunstancias normativas (contratos, puestos,
remuneraciones, horarios). Sin embargo, desatienden las
realidades tácitas e informales de las organizaciones que
hacen parte de la experiencia del trabajador, y variables
mediadoras como la personalidad, la percepción, la va-
loración o aspectos sociodemográficos [1, 27]</t>
  </si>
  <si>
    <t>Psychosocial Work Environment and
Depression: Epidemiologic Assessment of
the Demand–Control Model</t>
  </si>
  <si>
    <t>Hilde Mausner-Dorsch, PhD, and William W. Eaton, PhD</t>
  </si>
  <si>
    <t>Objectives. This study examined the
relation between occupational variables
and 3 forms of depression (major de-
pressive episode, depressive syndrome,
and dysphoria). It was hypothesized that
individuals working in occupations with
high psychologic strain (high psycho-
logic demands and low decision author-
ity) would have a higher prevalence of
depression relative to those working in
occupations with the other 3 possible
conditions.
Methods. The analysis was based
on data for 905 respondents who were
employed full-time in the year before
the follow-up interview for the Epide-
miologic Catchment Area Program in
Baltimore, Md, between 1993 and 1996.
Psychosocial work environment, socio-
demographic variables, and psycho-
pathology were assessed in a household
interview that included the National
Institute of Mental Health Diagnostic
Interview Schedule. Subscales for the
demand–control model for psychoso-
cial work environment were modified
slightly after factor analysis.</t>
  </si>
  <si>
    <t>Rapid assessment of psychosocial well-being: Are computers the way forward
in a clinical setting?</t>
  </si>
  <si>
    <t>Allison Boyes 1 , Sallie Newell 1,2, * &amp; Afaf Girgis 1,2</t>
  </si>
  <si>
    <t>Abstract
Objective: To compare the agreement between anxiety, depression and supportive care needs data obtained
using a touchscreen computer survey with traditional pen-and-paper surveys. Methods: The sample con-
sisted of 1304 consecutive patients attending the medical or radiation oncology outpatient department in
two public cancer treatment centres. Of the 357 eligible patients, 355 (99%) consented to participate and
350 (98%) completed both touchscreen computer and pen-and-paper versions of the Hospital Anxiety and
Depression Scale (HADS) and short-form Supportive Care Needs Survey (SCNS-short). Results: Simple j
values indicated moderate agreement (X 1⁄4 0:57) between the two modes of survey administration for most
HADS items. Simple j coefficients indicated only fair agreement (X 1⁄4 0:28) when a simplified response
option format was used in the computerised SCNS-short. When the paper and computerised survey used
the same response format, simple j coefficients increased and indicated moderate agreement (X 1⁄4 0:44) for
most SCNS-short items. j Coefficients indicated at least moderate agreement (j &gt; 0:41) in identifying
patients with elevated levels of anxiety and depression; there were no significant differences in the pro-
portion of patients identified with elevated levels of anxiety and depression according to computer survey
compared to paper survey. Prevalence-adjusted bias-adjusted j (PABAK) coefficients indicated at least
moderate agreement (X 1⁄4 0:79) in identifying participants with moderate/high levels of unmet needs.
However, participants tended to report lower levels of unmet needs with a simplified response format in the
computerised SCNS-short compared to the paper survey. This was not observed when the response format
of the computerised SCNS-short replicated the paper survey. Conclusions: Despite the advantages that
computerised surveys offer for simplifying survey presentation, current results suggest the need to exactly
replicate the question and response option format of the original paper survey to ensure the data collected
are equivalent. This finding is particularly important given the potential application of computerised
surveys in the clinical setting to quickly assess and identify patients’ concerns requiring intervention by
health care providers.</t>
  </si>
  <si>
    <t>Etiqueta</t>
  </si>
  <si>
    <t>Notas u observaciones</t>
  </si>
  <si>
    <t>Documento</t>
  </si>
  <si>
    <t>Técnica o método de solución</t>
  </si>
  <si>
    <t>Algoritmos utilizados</t>
  </si>
  <si>
    <t>Extracción o proceso de características</t>
  </si>
  <si>
    <t>Tarea de nivel Bajo</t>
  </si>
  <si>
    <t>Tarea de nivel Medio</t>
  </si>
  <si>
    <t>Tarea de nivel Alto</t>
  </si>
  <si>
    <t>Bases de datos</t>
  </si>
  <si>
    <t>Paradigma de aplicación</t>
  </si>
  <si>
    <t>Dominio de Aplicación</t>
  </si>
  <si>
    <t>Tipo de Aplicación</t>
  </si>
  <si>
    <t>Tipo de aprendizaje</t>
  </si>
  <si>
    <t>Entorno de Aplicación</t>
  </si>
  <si>
    <t>Aspectos legales y privacidad</t>
  </si>
  <si>
    <t>Componente Minimo</t>
  </si>
  <si>
    <t>Plataforma de implementación</t>
  </si>
  <si>
    <t>Prioridad</t>
  </si>
  <si>
    <t>General</t>
  </si>
  <si>
    <t>Aspectos positivos</t>
  </si>
  <si>
    <t>Aspectos negativos</t>
  </si>
  <si>
    <t>Rama Mapa Mental</t>
  </si>
  <si>
    <t>ID</t>
  </si>
  <si>
    <t>Nombre Archivo</t>
  </si>
  <si>
    <t>Nombre Artículo</t>
  </si>
  <si>
    <t>Abstract</t>
  </si>
  <si>
    <t>Fuente</t>
  </si>
  <si>
    <t>Tipo Publicación</t>
  </si>
  <si>
    <t>Año Publicación</t>
  </si>
  <si>
    <t>Cantidad de Citas</t>
  </si>
  <si>
    <t>NA</t>
  </si>
  <si>
    <t>Detección de patrones de movimiento</t>
  </si>
  <si>
    <t>Bienestar y salud</t>
  </si>
  <si>
    <t>Online</t>
  </si>
  <si>
    <t>Abierto, Cerrado</t>
  </si>
  <si>
    <t>Básica</t>
  </si>
  <si>
    <t>On premise</t>
  </si>
  <si>
    <t>1-Computer vision techniques for construction safety and health monitoring-(Seo. et al, 2015)</t>
  </si>
  <si>
    <t>Computer vision techniques for construction safety and health monitoring</t>
  </si>
  <si>
    <t>For construction safety and health, continuous monitoring of unsafe conditions and action is essential in order to eliminate potential hazards in a timely manner. As a robust and automated means of field observation, computer vision techniques have been applied for the extraction of safety related information from site images and videos, and regarded as effective solutions complementary to current time-consuming and unreliable manual observational practices. Although some research efforts have been directed toward computer vision-based safety and health monitoring, its application in real practice remains premature due to a number of technical issues and research challenges in terms of reliability, accuracy, and applicability. This paper thus reviews previous attempts in construction applications from both technical and practical perspectives in order to understand the current status of computer vision techniques, which in turn suggests the direction of future research in the field of computer vision-based safety and health monitoring. Specifically, this paper categorizes previous studies into three groups-object detection, object tracking, and action recognition-based on types of information required to evaluate unsafe conditions and acts. The results demonstrate that major research challenges include comprehensive scene understanding, varying tracking accuracy by camera position, and action recognition of multiple equipment and workers. In addition, we identified several practical issues including a lack of task-specific and quantifiable metrics to evaluate the extracted information in safety context, technical obstacles due to dynamic conditions at construction sites and privacy issues. These challenges indicate a need for further research in these areas. Accordingly, this paper provides researchers insights into advancing knowledge and techniques for computer vision-based safety and health monitoring, and offers fresh opportunities and considerations to practitioners in understanding and adopting the techniques. (C) 2015 Elsevier Ltd. All rights reserved.</t>
  </si>
  <si>
    <t>Seo, JoonOh; Han, SangUk; Lee, SangHyun; Kim, Hyoungkwan</t>
  </si>
  <si>
    <t>J</t>
  </si>
  <si>
    <t>Programación evolutiva</t>
  </si>
  <si>
    <t>Primitivas: Máxima, media, desviación, mediana</t>
  </si>
  <si>
    <t>Extracción de Regiones o puntos de Interés</t>
  </si>
  <si>
    <t>No especificada, pero son imágenes SAR (Radar de apertura sintética)</t>
  </si>
  <si>
    <t>Rastreo y Conteo de Múltiples Objetos</t>
  </si>
  <si>
    <t>Evolutivo</t>
  </si>
  <si>
    <t>Cerrado</t>
  </si>
  <si>
    <t>Programación genética para visión artificial bunscando nuevas combinaciones entre caracteristicas y métodos de tratamiento de imágenes</t>
  </si>
  <si>
    <t>Reducción de code-bloating
combinación de operadores y características para extracción de ROI</t>
  </si>
  <si>
    <t>3-Object detection in multi-modal images using
genetic programming-(Bhanu, 2003)</t>
  </si>
  <si>
    <t>Object detection in multi-modal images using genetic programming</t>
  </si>
  <si>
    <t>In this paper, we learn to discover composite operators and features that are synthesized from combinations of primitive image processing operations for object detection. Our approach is based on genetic programming ( GP). The motivation for using GP-based learning is that we hope to automate the design of object detection system by automatically synthesizing object detection procedures from primitive operations and primitive features. There are many basic operations that can operate on images and the ways of combining these primitive operations to perform meaningful processing for object detection are almost infinite. The human expert, limited by experience, knowledge and time, can only try a very small number of conventional combinations. Genetic programming, on the other hand, attempts many unconventional combinations that may never be imagined by human experts. In some cases, these unconventional combinations yield exceptionally good results. To improve the efficiency of GP, we propose soft composite operator size limit to control the code-bloat problem while at the same time avoid severe restriction on the GP search. Our experiments, which are performed on selected regions of images to improve training efficiency, show that GP can synthesize effective composite operators consisting of pre-designed primitive operators and primitive features to effectively detect objects in images and the learned composite operators can be applied to the whole training image and other similar testing images. (C) 2004 Elsevier B. V. All rights reserved.</t>
  </si>
  <si>
    <t>Bhanu, B; Lin, YQ</t>
  </si>
  <si>
    <t>Híbrido Lógica difusa y visión de computadora</t>
  </si>
  <si>
    <t>Kohout’s sub-triangle product (BK subproduct)</t>
  </si>
  <si>
    <t>Matriz de covarianza de caracteristicas. Covariance matrix of features</t>
  </si>
  <si>
    <t>Object clasification, object analysis.</t>
  </si>
  <si>
    <t>Uso de lógica y Visión de computadora para reconocimiento de acciones humnas</t>
  </si>
  <si>
    <t>Inferencia a partir de una muestra parcial de acciones</t>
  </si>
  <si>
    <t>4-Early detection of human actions-Hybrid Approach-(Vats,2016)</t>
  </si>
  <si>
    <t>Early detection of human actions-A hybrid approach</t>
  </si>
  <si>
    <t>Early detection of human actions is essential in a wide spectrum of applications ranging from video surveillance to health-care. While human action recognition has been extensively studied, little attention is paid to the problem of detecting ongoing human action early, i.e. detecting an action as soon as it begins, but before it finishes. This study aims at training a detector to be capable of recognizing a human action when only partial action sample is seen. To do so, a hybrid technique is proposed in this work which combines the benefits of computer vision as well as fuzzy set theory based on the fuzzy Bandler and Kohout's sub-triangle product (BK subproduct). The novelty lies in the construction of a frame-by-frame membership function for each kind of possible movement. Detection is triggered when a pre-defined threshold is reached in a suitable way. Experimental results on a publicly available dataset demonstrate the benefits and effectiveness of the proposed method. (C) 2015 Elsevier B.V. All rights reserved.</t>
  </si>
  <si>
    <t>Vats, Ekta; Chan, Chee Seng</t>
  </si>
  <si>
    <t>Seguridad</t>
  </si>
  <si>
    <t>Detección de Comportamientos Sospechosos</t>
  </si>
  <si>
    <t>Revisión de métodos de reconocimiento</t>
  </si>
  <si>
    <t>5-Suspicious human activity recognition-Survey-(Tripathi,2018)</t>
  </si>
  <si>
    <t>Suspicious human activity recognition: a review</t>
  </si>
  <si>
    <t>Suspicious human activity recognition from surveillance video is an active research area of image processing and computer vision. Through the visual surveillance, human activities can be monitored in sensitive and public areas such as bus stations, railway stations, airports, banks, shopping malls, school and colleges, parking lots, roads, etc. to prevent terrorism, theft, accidents and illegal parking, vandalism, fighting, chain snatching, crime and other suspicious activities. It is very difficult to watch public places continuously, therefore an intelligent video surveillance is required that can monitor the human activities in real-time and categorize them as usual and unusual activities; and can generate an alert. Recent decade witnessed a good number of publications in the field of visual surveillance to recognize the abnormal activities. Furthermore, a few surveys can be seen in the literature for the different abnormal activities recognition; but none of them have addressed different abnormal activities in a review. In this paper, we present the state-of-the-art which demonstrates the overall progress of suspicious activity recognition from the surveillance videos in the last decade. We include a brief introduction of the suspicious human activity recognition with its issues and challenges. This paper consists of six abnormal activities such as abandoned object detection, theft detection, fall detection, accidents and illegal parking detection on road, violence activity detection, and fire detection. In general, we have discussed all the steps those have been followed to recognize the human activity from the surveillance videos in the literature; such as foreground object extraction, object detection based on tracking or non-tracking methods, feature extraction, classification; activity analysis and recognition. The objective of this paper is to provide the literature review of six different suspicious activity recognition systems with its general framework to the researchers of this field.</t>
  </si>
  <si>
    <t>Tripathi, Rajesh Kumar; Jalal, Anand Singh; Agrawal, Subhash Chand</t>
  </si>
  <si>
    <t>Método Probabilístico</t>
  </si>
  <si>
    <t>Gaussian Mixture Model</t>
  </si>
  <si>
    <t>Background Substraction</t>
  </si>
  <si>
    <t xml:space="preserve">Foreground object detection, </t>
  </si>
  <si>
    <t>Probabilístico</t>
  </si>
  <si>
    <t>Método probabiistico para la extracción de fonde y detección de cambios en fotogramas</t>
  </si>
  <si>
    <t>Fundamientación matemática y comparación con otros métodos</t>
  </si>
  <si>
    <t>6-background subtraction methods-(Goyal, 2018)</t>
  </si>
  <si>
    <t>Review of background subtraction methods using Gaussian mixture model for video surveillance systems</t>
  </si>
  <si>
    <t>Foreground detection or moving object detection is a fundamental and critical task in video surveillance systems. Background subtraction using Gaussian Mixture Model (GMM) is a widely used approach for foreground detection. Many improvements have been proposed over the original GMM developed by Stauffer and Grimson (IEEE Computer Society conference on computer vision and pattern recognition, vol 2, Los Alamitos, pp 246-252, 1999. doi:10.1109/CVPR.1999.784637) to accommodate various challenges experienced in video surveillance systems. This paper presents a review of various background subtraction algorithms based on GMM and compares them on the basis of quantitative evaluation metrics. Their performance analysis is also presented to determine the most appropriate background subtraction algorithm for the specific application or scenario of video surveillance systems.</t>
  </si>
  <si>
    <t>Goyal, Kalpana; Singhai, Jyoti</t>
  </si>
  <si>
    <t>Machine Learning - Clasificación</t>
  </si>
  <si>
    <t>SVM, Derivative Kadir-Brady</t>
  </si>
  <si>
    <t>Derivative Kadir-Brady</t>
  </si>
  <si>
    <t>Feature Extraction</t>
  </si>
  <si>
    <t xml:space="preserve">Object Detection, </t>
  </si>
  <si>
    <t>Sistema de reconocimiento de objetos basado en puntos de interés</t>
  </si>
  <si>
    <t>Expone un constraste de mejora frente a los CNN en el etiquetado. Tasa de error reducida frente a otros métodos</t>
  </si>
  <si>
    <t>7-object detection and recognition system-(Bhuvaneswari, 2018)</t>
  </si>
  <si>
    <t>Novel object detection and recognition system based on points of interest selection and SVM classification</t>
  </si>
  <si>
    <t>Due to the progression in computer vision technology, object recognition systems have gained considerable research interest. Though there are numerous object recognition systems in the literature, there is always a constant demand for better object recognition systems. Taking this as a challenge, this work proposes a novel object recognition system based on points of interest and feature extraction. Initially, the points of interest of the image are selected by means of Derivative Kadir-Brady (DKB) detector and the neighbourhood pixels of a particular window size are selected for further processing. The gabor and curvelet features are extracted from the area of interest, followed by the Support Vector Machine (SVM) classification. The performance of the proposed object recognition system is evaluated against three analogous techniques in terms of accuracy, precision, recall and F-measure. On experimental analysis, it is proven that the proposed approach outperforms the existing approaches and the performance of the proposed work is satisfactory. (C) 2018 Elsevier B.V. All rights reserved.</t>
  </si>
  <si>
    <t>Bhuvaneswari, R.; Subban, Ravi</t>
  </si>
  <si>
    <t>Banco de imágenes</t>
  </si>
  <si>
    <t>Compendio de nombres de bases de datos de imágenes de video de actividad  humana para su reconocimiento</t>
  </si>
  <si>
    <t>Descripción detallada de cada uno de los fines de las bases de datos.</t>
  </si>
  <si>
    <t>11-A survey of video datasets for human action and activity recognition-DataSet-(Chaquet. Et al,2013)</t>
  </si>
  <si>
    <t>Vision-based human action and activity recognition has an increasing importance among the computer vision community with applications to visual surveillance, video retrieval and human-computer interaction. In recent years, more and more datasets dedicated to human action and activity recognition have been created. The use of these datasets allows us to compare different recognition systems with the same input data. The survey introduced in this paper tries to cover the lack of a complete description of the most important public datasets for video-based human activity and action recognition and to guide researchers in the election of the most suitable dataset for benchmarking their algorithms. (c) 2013 Elsevier Inc. All rights reserved.</t>
  </si>
  <si>
    <t>Chaquet, Jose M.; Carmona, Enrique J.; Fernandez-Caballero, Antonio</t>
  </si>
  <si>
    <t>Geometric Reasoning for human silhouettes</t>
  </si>
  <si>
    <t>Segmentation, Background Segmentation, Refinement segmentation</t>
  </si>
  <si>
    <t>Captura de Imágenes, camaras convencionales</t>
  </si>
  <si>
    <t xml:space="preserve">Método de refinamiento de siluetas </t>
  </si>
  <si>
    <t>Se trabaja con cámaras instaladas capturando personas y eventos en tiempo real</t>
  </si>
  <si>
    <t>Sólo aborda cámaras tipo ojo de pescado</t>
  </si>
  <si>
    <t>12-human silhouette segmentation-(Delibasis, 2014)</t>
  </si>
  <si>
    <t>Refinement of human silhouette segmentation in omni-directional indoor videos</t>
  </si>
  <si>
    <t>In this paper, we present a methodology for refining the segmentation of human silhouettes in indoor videos acquired by fisheye cameras. This methodology is based on a fisheye camera model that employs a spherical optical element and central projection. The parameters of the camera model are determined only once (during calibration), using the correspondence of a number of user-defined landmarks, both in real world coordinates and on a captured video frame. Subsequently, each pixel of the video frame is inversely mapped to the direction of view in the real world and the relevant data are stored in look-up tables for fast utilization in real-time video processing. The proposed fisheye camera model enables the inference of possible real world positions and conditionally the height and width of a segmented cluster of pixels in the video frame. In this work we utilize the proposed calibrated camera model to achieve a simple geometric reasoning that corrects gaps and mistakes of the human figure segmentation, detects segmented human silhouettes inside and outside the room and rejects segmentation that corresponds to non-human activity. Unique labels are assigned to each refined silhouette, according to their estimated real world position and appearance and the trajectory of each silhouette in real world coordinates is estimated. Experimental results are presented for a number of video sequences, in which the number of false positive pixels (regarding human silhouette segmentation) is substantially reduced as a result of the application of the proposed geometry-based segmentation refinement. (C) 2014 Elsevier Inc. All rights reserved.</t>
  </si>
  <si>
    <t>Delibasis, K. K.; Plagianakos, V. P.; Maglogiannis, I.</t>
  </si>
  <si>
    <t>14-2D-3D-based on-board pedestrian detection system-(Geronimo, 2010)</t>
  </si>
  <si>
    <t>2D-3D-based on-board pedestrian detection system</t>
  </si>
  <si>
    <t>During the next decade, on-board pedestrian detection systems will play a key role in the challenge of increasing traffic safety. The main target of these systems, to detect pedestrians in urban scenarios, implies overcoming difficulties like processing outdoor scenes from a mobile platform and searching for aspect-changing objects in cluttered environments. This makes such systems combine techniques in the state-of-the-art Computer Vision. In this paper we present a three module system based on both 2D and 3D cues. The first module uses 3D information to estimate the road plane parameters and thus select a coherent set of regions of interest (ROIs) to be further analyzed. The second module uses Real AdaBoost and a combined set of Haar wavelets and edge orientation histograms to classify the incoming ROIs as pedestrian or non-pedestrian. The final module loops again with the 3D cue in order to verify the classified ROIs and with the 2D in order to refine the final results. According to the results, the integration of the proposed techniques gives rise to a promising system. (c) 2010 Elsevier Inc. All rights reserved.</t>
  </si>
  <si>
    <t>Geronimo, David; Sappa, Angel D.; Ponsa, Daniel; Lopez, Antonio M.</t>
  </si>
  <si>
    <t>16-Composed complex-cue histograms: An investigation of the information content in receptive field based image descriptors for object recognition-(Linde, 2012)</t>
  </si>
  <si>
    <t>Composed complex-cue histograms: An investigation of the information content in receptive field based image descriptors for object recognition</t>
  </si>
  <si>
    <t>Recent work has shown that effective methods for recognizing objects and spatio-temporal events can be constructed based on histograms of receptive field like image operations.This paper presents the results of an extensive study of the performance of different types of receptive field like image descriptors for histogram-based object recognition, based on different combinations of image cues in terms of Gaussian derivatives or differential invariants applied to either intensity information, color-opponent channels or both. A rich set of composed complex-cue image descriptors is introduced and evaluated with respect to the problems of (i) recognizing previously seen object instances from previously unseen views, and (ii) classifying previously unseen objects into visual categories.It is shown that there exist novel histogram descriptors with significantly better recognition performance compared to previously used histogram features within the same class. Specifically, the experiments show that it is possible to obtain more discriminative features by combining lower-dimensional scale-space features into composed complex-cue histograms. Furthermore, different types of image descriptors have different relative advantages with respect to the problems of object instance recognition vs. object category classification. These conclusions are obtained from extensive evaluations on two mutually independent data sets.For the task of recognizing specific object instances, combined histograms of spatial and spatio-chromatic derivatives are highly discriminative, and several image descriptors in terms rotationally invariant (intensity and spatio-chromatic) differential invariants up to order two lead to very high recognition rates. For category classification, primary information is contained in both first-and second-order derivatives, where second-order partial derivatives constitute the most discriminative cue.Dimensionality reduction by principal component analysis and variance normalization prior to training and recognition can in many cases lead to a significant increase in recognition or classification performance. Surprisingly high recognition rates can even be obtained with binary histograms that reveal the polarity of local scale-space features, and which can be expected to be particularly robust to illumination variations.An overall conclusion from this study is that compared to previously used lower-dimensional histograms, the use of composed complex-cue histograms of higher dimensionality reveals the co-variation of multiple cues and enables much better recognition performance, both with regard to the problems of recognizing previously seen objects from novel views and for classifying previously unseen objects into visual categories. (C) 2011 Elsevier Inc. All rights reserved.</t>
  </si>
  <si>
    <t>Linde, Oskar; Lindeberg, Tony</t>
  </si>
  <si>
    <t>K-SVD, OMP, SVM</t>
  </si>
  <si>
    <t>HOG, HOG3D, HOF</t>
  </si>
  <si>
    <t>KTH, UCF, UCF50, HMA</t>
  </si>
  <si>
    <t>Matlab, C++</t>
  </si>
  <si>
    <t>20-Action recognition using global spatio-temporal-Features-(Somasundaram,2014)</t>
  </si>
  <si>
    <t>Action recognition using global spatio-temporal features derived from sparse representations</t>
  </si>
  <si>
    <t>Recognizing actions is one of the important challenges in computer vision with respect to video data, with applications to surveillance, diagnostics of mental disorders, and video retrieval. Compared to other data modalities such as documents and images, processing video data demands orders of magnitude higher computational and storage resources. One way to alleviate this difficulty is to focus the computations to informative (salient) regions of the video. In this paper, we propose a novel global spatio-temporal self-similarity measure to score saliency using the ideas of dictionary learning and sparse coding. In contrast to existing methods that use local spatio-temporal feature detectors along with descriptors (such as HOG, HOG3D, and HOF), dictionary learning helps consider the saliency in a global setting (on the entire video) in a computationally efficient way. We consider only a small percentage of the most salient (least self-similar) regions found using our algorithm, over which spatio-temporal descriptors such as HOG and region covariance descriptors are computed. The ensemble of such block descriptors in a bag-of-features framework provides a holistic description of the motion sequence which can be used in a classification setting. Experiments on several benchmark datasets in video based action classification demonstrate that our approach performs competitively to the state of the art. (C) 2014 Elsevier Inc. All rights reserved.</t>
  </si>
  <si>
    <t>Somasundaram, Guruprasad; Cherian, Anoop; Morellas, Vassilios; Papanikolopoulos, Nikolaos</t>
  </si>
  <si>
    <t>Gaussian mixture model,</t>
  </si>
  <si>
    <t>Object detection</t>
  </si>
  <si>
    <t>Hopkins dataset for stattic camera comparison</t>
  </si>
  <si>
    <t>C++, Matlab</t>
  </si>
  <si>
    <t>Detección de objetos mediante Substracción del fondo</t>
  </si>
  <si>
    <t>Para cámaras en movimiento, que es una aproximaxión poco abordada</t>
  </si>
  <si>
    <t>Resultados limitado a las bases de datos. No se enuncian resultados en tiempo real</t>
  </si>
  <si>
    <t>26-Background subtraction for the moving camera-(Zamalieva, 2014)</t>
  </si>
  <si>
    <t>Background subtraction for the moving camera: A geometric approach</t>
  </si>
  <si>
    <t>Background subtraction is a commonly used technique in computer vision for detecting objects. While there is an extensive literature regarding background subtraction, most of the existing methods assume that the camera is stationary. This assumption limits their applicability to moving camera scenarios. In this paper, we approach the background subtraction problem from a geometric perspective to overcome this limitation. In particular, we introduce a 2.5D background model that describes the scene in terms of both its appearance and geometry. Unlike previous methods, the proposed algorithm does not rely on certain camera motions or assumptions about the scene geometry. The scene is represented as a stack of parallel hypothetical planes each of which is associated with a homography transform. A pixel that belongs to a background scene consistently maps between the consecutive frames based on its transformation with respect to the "hypothetical plane" it lies on. This observation disambiguates moving objects from the background. Experiments show that the proposed method, when compared to the recent literature, can successfully detect moving objects in complex scenes and with significant camera motion. (C) 2014 Elsevier Inc. All rights reserved.</t>
  </si>
  <si>
    <t>Zamalieva, Daniya; Yilmaz, Alper</t>
  </si>
  <si>
    <t>27-Gender and gaze gesture recognition for human-computer interaction-(Zhang. et al, 2016)</t>
  </si>
  <si>
    <t>Gender and gaze gesture recognition for human-computer interaction</t>
  </si>
  <si>
    <t>The identification of visual cues in facial images has been widely explored in the broad area of computer vision. However theoretical analyses are often not transformed into widespread assistive Human Computer Interaction (HCI) systems, due to factors such as inconsistent robustness, low efficiency, large computational expense or strong dependence on complex hardware. We present a novel gender recognition algorithm, a modular eye centre localisation approach and a gaze gesture recognition method, aiming to escalate the intelligence, adaptability and interactivity of HCI systems by combining demographic data (gender) and behavioural data (gaze) to enable development of a range of real-world assistive-technology applications.The gender recognition algorithm utilises Fisher Vectors as facial features which are encoded from low-level local features in facial images. We experimented with four types of low-level features: greyscale values, Local Binary Patterns (LBP), LBP histograms and Scale Invariant Feature Transform (SIFT). The corresponding Fisher Vectors were classified using a linear Support Vector Machine. The algorithm has been tested on the FERET database, the LFW database and the FRGCv2 database, yielding 97.7%, 92.5% and 96.7% accuracy respectively.The eye centre localisation algorithm has a modular approach, following a coarse-to-fine, global-to regional scheme and utilising isophote and gradient features. A Selective Oriented Gradient filter has been specifically designed to detect and remove strong gradients from eyebrows, eye corners and self shadows (which sabotage most eye centre localisation methods). The trajectories of the eye centres are then defined as gaze gestures for active HCI. The eye centre localisation algorithm has been compared with 10 other state-of-the-art algorithms with similar functionality and has outperformed them in terms of accuracy while maintaining excellent real-time performance.The above methods have been employed for development of a data recovery system that can be employed for implementation of advanced assistive technology tools. The high accuracy, reliability and real-time performance achieved for attention monitoring, gaze gesture control and recovery of demographic data, can enable the advanced human-robot interaction that is needed for developing systems that can provide assistance with everyday actions, thereby improving the quality of life for the elderly and/or disabled. (C) 2016 Elsevier Inc. All rights reserved.</t>
  </si>
  <si>
    <t>Zhang, Wenhao; Smith, Melvyn L.; Smith, Lyndon N.; Farooq, Abdul</t>
  </si>
  <si>
    <t>31-State of the art of smart homes-(De Silva. Et al, 2012)</t>
  </si>
  <si>
    <t>State of the art of smart homes</t>
  </si>
  <si>
    <t>In this paper we present a review of the state of the art of smart homes. We will first look at the research work related to smart homes from various view points; first in the view point of specific techniques such as smart homes that utilize computer vision based techniques, smart homes that utilize audio-based techniques and then smart homes that utilize multimodal techniques. Then we look at it from the view point of specific applications of smart homes such as eldercare and childcare applications, energy efficiency applications and finally in the research directions of multimedia retrieval for ubiquitous environments. We will summarize the smart homes based research into these two categories. In the survey we found out that some well-known smart home applications like video based security applications has seen the maturity in terms of new research directions while some topics like smart homes for energy efficiency and video summarization are gaining momentum. (C) 2012 Elsevier Ltd. All rights reserved.</t>
  </si>
  <si>
    <t>De Silva, Liyanage C.; Morikawa, Chamin; Petra, Iskandar M.</t>
  </si>
  <si>
    <t>GrabCut</t>
  </si>
  <si>
    <t>Blurring</t>
  </si>
  <si>
    <t>Filtering,</t>
  </si>
  <si>
    <t>Cdnet</t>
  </si>
  <si>
    <t>CCV, OpenCV</t>
  </si>
  <si>
    <t xml:space="preserve">Propuesta de proceso para proteger la priivacidad de las personas </t>
  </si>
  <si>
    <t>34-Protecting the privacy of humans in video-Ethics-(Brkic. Et al,2017)</t>
  </si>
  <si>
    <t>Protecting the privacy of humans in video sequences using a computer vision-based de-identification pipeline</t>
  </si>
  <si>
    <t>We propose a computer vision-based de-identification pipeline that enables automated protection of privacy of humans in video sequences through obfuscating their appearance, while preserving the naturalness and utility of the de-identified data. Our pipeline specifically addresses de-identifying soft and non-biometric features, such as clothing, hair, skin color etc., which often remain recognizable when simpler techniques such as blurring are applied. Assuming a surveillance scenario, we combine background subtraction based on Gaussian mixtures with an improved version of the GrabCut algorithm to find and segment pedestrians. De-identification is performed by altering the appearance of the segmented pedestrians through the neural art algorithm that uses the responses of a deep neural network to render the pedestrian images in a different style. Experimental evaluation is performed both by automated classification and through a user study. Results suggest that the proposed pipeline successfully de-identifies a range of hard and soft biometric and non-biometric identifiers, including face, clothing and hair. (C) 2017 Elsevier Ltd. All rights reserved.</t>
  </si>
  <si>
    <t>Brkic, Karla; Hrkac, Tomislav; Kalafatic, Zoran</t>
  </si>
  <si>
    <t>Árboles de decisión</t>
  </si>
  <si>
    <t>LMDI (propuesto)</t>
  </si>
  <si>
    <t>HOG, HOF</t>
  </si>
  <si>
    <t xml:space="preserve">Bases de datos: UT-interaction, J-HMDB, UCF101 </t>
  </si>
  <si>
    <t>Automática por Actividad Inusual</t>
  </si>
  <si>
    <t>Se expone un algoritmo para detectar puntos de interés en imágenes. Dichos puntos de interés se enfocan en la interacción entre personas como saludarse, señalarse o incluso agredirse.</t>
  </si>
  <si>
    <t xml:space="preserve">Algoritmos descritos y bases de datos para su reproducción. </t>
  </si>
  <si>
    <t>Aunque hay resultados prometedores el algoritmo aún debe madurarse en su implementación, las bases o la infraestructura que la soporta</t>
  </si>
  <si>
    <t>37-On an algorithm for human action recognition-(Sahoo, 2019)</t>
  </si>
  <si>
    <t>On an algorithm for human action recognition</t>
  </si>
  <si>
    <t>Human action recognition which needs video processing in real time, requires large memory size and execution time. This work proposes a local maxima of difference image (LMDI) based interest point detection technique, random projection tree with overlapping split and modified voting score for human action recognition. In LMDI based interest point detection method, difference images are obtained using consecutive frame differencing technique and next, 3D peak detection is applied on the bunch of calculated difference images. Histogram of oriented gradients and histogram of optical flow as local features are extracted by defining a block of size 16 x 16 around each of the interest point. These local features are then indexed by random projection trees. Overlapping split is used during tree structuring to reduce failure probability. Hough voting technique is applied on testing video to compute highest similarity matching score with individual training classes. In addition to Hough voting score, the number of matched interest points of a single query video with each training class, is considered for recognition. The proposed method is evaluated on segmented UT-interaction dataset, J-HMDB dataset and UCF101 dataset. The experimental results indicate that the proposed technique provides better performance compared to earlier reported techniques. (C) 2018 Elsevier Ltd. All rights reserved.</t>
  </si>
  <si>
    <t>Sahoo, Suraj Prakash; Ari, Samit</t>
  </si>
  <si>
    <t>42-Learning Discriminative Key Poses for Action Recognition-(Liu. et al,2013)</t>
  </si>
  <si>
    <t>Learning Discriminative Key Poses for Action Recognition</t>
  </si>
  <si>
    <t>In this paper, we present a new approach for human action recognition based on key-pose selection and representation. Poses in video frames are described by the proposed extensive pyramidal features (EPFs), which include the Gabor, Gaussian, and wavelet pyramids. These features are able to encode the orientation, intensity, and contour information and therefore provide an informative representation of human poses. Due to the fact that not all poses in a sequence are discriminative and representative, we further utilize the AdaBoost algorithm to learn a subset of discriminative poses. Given the boosted poses for each video sequence, a new classifier named weighted local naive Bayes nearest neighbor is proposed for the final action classification, which is demonstrated to be more accurate and robust than other classifiers, e.g., support vector machine (SVM) and naive Bayes nearest neighbor. The proposed method is systematically evaluated on the KTH data set, the Weizmann data set, the multiview IXMAS data set, and the challenging HMDB51 data set. Experimental results manifest that our method outperforms the state-of-the-art techniques in terms of recognition rate.</t>
  </si>
  <si>
    <t>Liu, Li; Shao, Ling; Zhen, Xiantong; Li, Xuelong</t>
  </si>
  <si>
    <t>SIFT</t>
  </si>
  <si>
    <t>Feature Extraction, Activity Classification</t>
  </si>
  <si>
    <t>Vigilance en campos amplios, emparejamiento de redes herogeneas de cámaras</t>
  </si>
  <si>
    <t>Cámaras análogas</t>
  </si>
  <si>
    <t>Aplicación de sistema distribuido de cámaras para zonas amplias</t>
  </si>
  <si>
    <t>47-Distributed Camera Networks-ImageCapture-(Ermis,2010)</t>
  </si>
  <si>
    <t>Activity Based Matching in Distributed Camera Networks</t>
  </si>
  <si>
    <t>In this paper, we consider the problem of finding correspondences between distributed cameras that have partially overlapping field of views. When multiple cameras with adaptable orientations and zooms are deployed, as in many wide area surveillance applications, identifying correspondence between different activities becomes a fundamental issue. We propose a correspondence method based upon activity features that, unlike photometric features, have certain geometry independence properties. The proposed method is robust to pose, illumination and geometric effects, unsupervised (does not require any calibration objects). In addition, these features are amenable to low communication bandwidth and distributed network applications. We present quantitative and qualitative results with synthetic and real life examples, and compare the proposed method with scale invariant feature transform (SIFT) based method. We show that our method significantly outperforms the SIFT method when cameras have significantly different orientations. We then describe extensions of our method in a number of directions including topology reconstruction, camera calibration, and distributed anomaly detection.</t>
  </si>
  <si>
    <t>Ermis, Erhan Baki; Clarot, Pierre; Jodoin, Pierre-Marc; Saligrama, Venkatesh</t>
  </si>
  <si>
    <t>83-Fully convolutional networks for action recognition-(Yu ,2017)</t>
  </si>
  <si>
    <t>Fully convolutional networks for action recognition</t>
  </si>
  <si>
    <t>Human action recognition is an important and challenging topic in computer vision. Recently, convolutional neural networks (CNNs) have established impressive results for many image recognition tasks. The CNNs usually contain million parameters which prone to overfit when training on small datasets. Therefore, the CNNs do not produce superior performance over traditional methods for action recognition. In this study, the authors design a novel two-stream fully convolutional networks architecture for action recognition which can significantly reduce parameters while keeping performance. To utilise the advantage of spatial-temporal features, a linear weighted fusion method is used to fuse two-stream networks' feature maps and a video pooling method is adopted to construct the video-level features. At the meantime, the authors also demonstrate that the improved dense trajectories has significant impact for action recognition. The authors' method can achieve the state-of-the-art performance on two challenging datasets UCF101 (93.0%) and HMDB51 (70.2%).</t>
  </si>
  <si>
    <t>Yu, Sheng; Cheng, Yun; Xie, Li; Li, Shao-Zi</t>
  </si>
  <si>
    <t>BSF</t>
  </si>
  <si>
    <t>Image understanding and analysis)</t>
  </si>
  <si>
    <t>USCD datasets: Ped1,Ped2</t>
  </si>
  <si>
    <t>86-Anomaly detection and localisation in the crowd scenes using a BSF Model-(Ji. et al, 2018)</t>
  </si>
  <si>
    <t>Anomaly detection and localisation in the crowd scenes using a block-based social force model</t>
  </si>
  <si>
    <t>A novel approach to detect and localise anomalous events in crowed scenes by processing surveillance videos is introduced in this study. Unusual events are those that significantly differ from current dominated behaviours. The proposed approach both detects pixel-level and block-level anomalies. In pixel level, Gaussian mixture models are used to detect abnormalities. Block-level detection segments the crowd into blocks according to pedestrian detection, and then anomalies are spotted and localised with a social force model. Experimental results using the USCD datasets Ped1 and Ped2 show that the proposed method performs favourably against state-of-the-art methods.</t>
  </si>
  <si>
    <t>Ji, Qing-Ge; Chi, Rui; Lu, Zhe-Ming</t>
  </si>
  <si>
    <t>Almacenamiento de imágenes</t>
  </si>
  <si>
    <t>98-Automatic detection of salient objects and spatial relations in videos for a video database system-(Sevilmis. et al, 2008)</t>
  </si>
  <si>
    <t>Automatic detection of salient objects and spatial relations in videos for a video database system</t>
  </si>
  <si>
    <t>Multimedia databases have gained popularity due to rapidly growing quantities of multimedia data and the need to perform efficient indexing, retrieval and analysis of this data. One downside of multimedia databases is the necessity to process the data for feature extraction and labeling prior to storage and querying. Huge amount of data makes it impossible to complete this task manually. We propose a toot for the automatic detection and tracking of salient objects, and derivation of spatio-temporal relations between them in video. Our system aims to reduce the work for manual selection and labeling of objects significantly by detecting and tracking the salient objects, and hence, requiring to enter the label for each object only once within each shot instead of specifying the labels for each object in every frame they appear. This is also required as a first step in a fully-automatic video database management system in which the labeling should also be done automatically. The proposed framework covers a scalable architecture for video processing and stages of shot boundary detection, salient object detection and tracking, and knowledge-base construction for effective spatio-temporal object querying. (c) 2008 Elsevier B.V. All rights reserved.</t>
  </si>
  <si>
    <t>Sevilmis, Tarkan; Bastan, Muhammet; Gudukbay, Ugur; Ulusoy, Oezguer</t>
  </si>
  <si>
    <t>127-Features-Based Moving Objects Tracking for Smart Video Surveillances: A Review-(Asia. et al, 2018)</t>
  </si>
  <si>
    <t>Features-Based Moving Objects Tracking for Smart Video Surveillances: A Review</t>
  </si>
  <si>
    <t>Video surveillance is one of the most active research topics in the computer vision due to the increasing need for security. Although surveillance systems are getting cheaper, the cost of having human operators to monitor the video feed can be very expensive and inefficient. To overcome this problem, the automated visual surveillance system can be used to detect any suspicious activities that require immediate action. The framework of a video surveillance system encompasses a large scope in machine vision, they are background modelling, object detection, moving objects classification, tracking, motion analysis, and require fusion of information from the camera networks. This paper reviews recent techniques used by researchers for detection of moving object detection and tracking in order to solve many surveillance problems. The features and algorithms used for modelling the object appearance and tracking multiple objects in outdoor and indoor environment are also reviewed in this paper. This paper summarizes the recent works done by previous researchers in moving objects tracking for single camera view and multiple cameras views. Nevertheless, despite of the recent progress in surveillance technologies, there still are challenges that need to be solved before the system can come out with a reliable automated video surveillance.</t>
  </si>
  <si>
    <t>Aziz, Nor Nadirah Abdul; Mustafah, Yasir Mohd; Azman, Amelia Wong; Shafie, Amir Akramin; Yusoff, Muhammad Izad; Zainuddin, Nor Afiqah; Rashidan, Mohammad Ariff</t>
  </si>
  <si>
    <t>Noise Reduction</t>
  </si>
  <si>
    <t>Embebida</t>
  </si>
  <si>
    <t>141-Embedded architecture for noise-adaptive video object detection using parameter-compressed background modeling-(Ratnayake, 2017)</t>
  </si>
  <si>
    <t>Embedded architecture for noise-adaptive video object detection using parameter-compressed background modeling</t>
  </si>
  <si>
    <t>Video processing algorithms are computationally intensive and place stringent requirements on performance and efficiency of memory bandwidth and capacity. As such, efficient hardware accelerations are inevitable for fast video processing systems. In this paper, we propose resource- and power-optimized FPGA-based configurable architecture for video object detection by integrating noise estimation, Mixture-of-Gaussian background modeling, motion detection, and thresholding. Due to large amount of background modeling parameters, we propose a novel Gaussian parameter compression technique suitable for resource- and power-constraint embedded video systems. The proposed architecture is simulated, synthesized and verified for its functionality, accuracy and performance on a Virtex-5 FPGA-based embedded platform by directly interfacing to a digital video input. Intentional exploitation of heterogeneous resources in FPGAs, and advanced design techniques such as heavy pipelining and data parallelism yield real-time processing of HD-1080p video streams at 30 frames per second. Objective and subjective evaluations to existing hardware-based methods show that the proposed architecture obtains orders of magnitude performance improvements, while utilizing minimal hardware resources. This work is an early attempt to devise a complete video surveillance system onto a stand-alone resource-constraint FPGA-based smart camera.</t>
  </si>
  <si>
    <t>Ratnayake, Kumara; Amer, Aishy</t>
  </si>
  <si>
    <t>143-Fog computing enabled cost-effective distributed summarization of
surveillance videos for smart cities-(Nasir, 2018)</t>
  </si>
  <si>
    <t>Fog computing enabled cost-effective distributed summarization of
surveillance videos for smart cities</t>
  </si>
  <si>
    <t>Fog computing is emerging an attractive paradigm for both academics and industry alike. Fog computing
holds potential for new breeds of services and user experience. However, Fog computing is still nascent
and requires strong groundwork to adopt as practically feasible, cost-effective, efficient and easily deployable
alternate to currently ubiquitous cloud. Fog computing promises to introduce cloud-like services
on local network while reducing the cost. In this paper, we present a novel resource efficient framework
for distributed video summarization over a multi-region fog computing paradigm. The nodes of the Fog
network is based on resource constrained device Raspberry Pi. Surveillance videos are distributed on
different nodes and a summary is generated over the Fog network, which is periodically pushed to the
cloud to reduce bandwidth consumption. Different realistic workload in the form of a surveillance videos
are used to evaluate the proposed system. Experimental results suggest that even by using an extremely
limited resource, single board computer, the proposed framework has very little overhead with good
scalability over off-the-shelf costly cloud solutions, validating its effectiveness for IoT-assisted smart
cities.</t>
  </si>
  <si>
    <t>Mansoor Nasir, Khan Muhammad, Jaime Lloret, Arun Kumar Sangaiah,
Muhammad Sajjad,∗</t>
  </si>
  <si>
    <t>Journal of Parallel and Distributed Computing</t>
  </si>
  <si>
    <t>144-The evolution of video surveillance-Overview(Haering. Et al, 2008)</t>
  </si>
  <si>
    <t>The evolution of video surveillance: an overview</t>
  </si>
  <si>
    <t>Over the past 10 years, computer vision research has matured significantly. Although some of the core problems, such as object recognition and shape estimation are far from solved, many applications have made considerable progress. Video Surveillance is a thriving example of such an application. On the one hand, worldwide the number of cameras is expected to continue to grow exponentially and security budgets for governments, corporations and the private sector are increasing accordingly. On the other hand, technological advances in target detection, tracking, classification, and behavior analysis improve accuracy and reliability. Simple video surveillance systems that connect cameras via wireless video servers to Home PCs offer simple motion detection capabilities and are on sale at hardware and consumer electronics stores for under $300. The impact of these advances in video surveillance is pervasive. Progress is reported in technical and security publications, abilities are hyped and exaggerated by industry and media, benefits are glamorized and dangers dramatized in movies and politics. This exposure, in turn, enables the expansion of the vocabulary of video surveillance systems paving the way for more general automated video analysis.</t>
  </si>
  <si>
    <t>Haering, Niels; Venetianer, Peter L.; Lipton, Alan</t>
  </si>
  <si>
    <t>entrenamiento autonomo</t>
  </si>
  <si>
    <t>171-Adaptive computer vision: Online learning for object recognition-(Bekel, 2004)</t>
  </si>
  <si>
    <t>Adaptive computer vision: Online learning for object recognition</t>
  </si>
  <si>
    <t>The "life" of most neural vision systems splits into a one-time training phase and an application phase during which knowledge is no longer acquired. This is both technically inflexible and cognitively unsatisfying. Here we propose an appearance based vision system for object recognition which can be adapted online, both to acquire visual knowledge about new objects and to correct erroneous classification. The system works in an office scenario, acquisition of object knowledge is triggered by hand gestures. The neural classifier offers two ways of training: Firstly, the new samples can be added immediately to the classifier to obtain a running system at once, though at the cost of reduced classification performance. Secondly, a parallel processing branch adapts the classification system thoroughly to the enlarged image domain and loads the new classifier to the running system when ready.</t>
  </si>
  <si>
    <t>Bekel, H; Bax, I; Heidemann, G; Ritter, H</t>
  </si>
  <si>
    <t>S</t>
  </si>
  <si>
    <t>195-Multi-camera video surveillance-Survey-(Xiaogang, 2013)</t>
  </si>
  <si>
    <t>Intelligent multi-camera video surveillance: A review</t>
  </si>
  <si>
    <t>Intelligent multi-camera video surveillance is a multidisciplinary field related to computer vision, pattern recognition, signal processing, communication, embedded computing and image sensors. This paper reviews the recent development of relevant technologies from the perspectives of computer vision and pattern recognition. The covered topics include multi-camera calibration, computing the topology of camera networks, multi-camera tracking, object re-identification, multi-camera activity analysis and cooperative video surveillance both with active and static cameras. Detailed descriptions of their technical challenges and comparison of different solutions are provided. It emphasizes the connection and integration of different modules in various environments and application scenarios. According to the most recent works, some problems can be jointly solved in order to improve the efficiency and accuracy. With the fast development of surveillance systems, the scales and complexities of camera networks are increasing and the monitored environments are becoming more and more complicated and crowded. This paper discusses how to face these emerging challenges. (C) 2012 Elsevier B.V. All rights reserved.</t>
  </si>
  <si>
    <t>Wang, Xiaogang</t>
  </si>
  <si>
    <t>Legales y de privacidad</t>
  </si>
  <si>
    <t>Revisión sobre implicaciones de los sistemas inteligentes de vigilancia</t>
  </si>
  <si>
    <t>199-Sorting out smart surveillance-Ethics-(Wright. et al,2010)</t>
  </si>
  <si>
    <t>Sorting out smart surveillance</t>
  </si>
  <si>
    <t>Surveillance is becoming ubiquitous in our society. We can also see the emergence of “smart” surveillance technologies and the assemblages (or combinations) of such technologies, supposedly to combat crime and terrorism, but in fact used for a variety of purposes, many of which are intrusive upon the privacy of law-abiding citizens. Following the dark days of 9/11, security and surveillance became paramount. More recently, in Europe, there has been a policy commitment to restore privacy to centre stage. This paper examines the legal tools available to ensure that privacy and personal data protection are respected in attempts to ensure the security of our society, and finds that improvements are needed in our legal and regulatory framework if privacy is indeed to be respected by law enforcement authorities and intelligence agencies. It then goes on to argue that privacy impact assessments should be used to sort out the necessity and proportionality of security and surveillance programmes and policies vis-à-vis privacy.</t>
  </si>
  <si>
    <t>David Wright and Michael Friedewald and Serge Gutwirth and Marc Langheinrich and Emilio Mordini and Rocco Bellanova and Paul De Hert and Kush Wadhwa and Didier Bigo</t>
  </si>
  <si>
    <t>Computer Law &amp; Security Review</t>
  </si>
  <si>
    <t>Basica, Activa, Distribuida</t>
  </si>
  <si>
    <t>200-Smart Surveillance Applications, Technologies and Implications-(Hampapur. et al,2003)</t>
  </si>
  <si>
    <t>Smart Surveillance: Applications, Technologies and Implications</t>
  </si>
  <si>
    <t>Smart surveillance, is the use of automatic video analysis technologies in video surveillance applications. This paper attempts to answer a number of questions about smart surveillance: What are the applications of smart surveillance? What are the system architectures for smart surveillance? What are the key technologies? What are the some of the key technical challenges? and What are the implications of smart surveillance, both to security and privacy?.</t>
  </si>
  <si>
    <t>A. Hampapur ; L. Brown ; J. Connell ; S. Pankanti ; A. Senior ; Y. Tian</t>
  </si>
  <si>
    <t>204-Extracting human attributes using a convolutional neural network-(Perlin, 2015)</t>
  </si>
  <si>
    <t>Extracting human attributes using a convolutional neural network approach</t>
  </si>
  <si>
    <t>Extracting high level information from digital images and videos is a hard problem frequently faced by the computer vision and machine learning communities. Modern surveillance systems can monitor people, cars or objects by using computer vision methods. The objective of this work is to propose a method for identifying soft biometrics, in the form of clothing and gender, from images containing people, as a previous step for further identifying people themselves. We propose a solution to this classification problem using a Convolutional Neural Network, working as an all-in-one feature extractor and classifier. This method allows the development of a high-level end-to-end clothing/gender classifier. Experiments were done comparing the CNN with hand-designed classifiers. Also, two different operating modes of CNN are proposed and coin pared each other. The results obtained were very promising, showing that is possible to extract soft-biometrics attributes using an end-to-end CNN classifier. The proposed method achieved a good generalization capability, classifying the three different attributes with good accuracy. This suggests the possibility to search images using soft biometrics as search terms. (C) 2015 Elsevier B.V. All rights reserved.</t>
  </si>
  <si>
    <t>Perlin, Hugo Alberto; Lopes, Heitor Silverio</t>
  </si>
  <si>
    <t>222-A self-organizing approach to background subtraction for visual surveillance applications-(Maddalena, 2008)</t>
  </si>
  <si>
    <t>A self-organizing approach to background subtraction for visual surveillance applications</t>
  </si>
  <si>
    <t>Detection of moving objects in video streams is the first relevant step of information extraction in many computer vision applications. Aside from the intrinsic usefulness of being able to segment video streams into moving and background components, detecting moving objects provides a focus of attention for recognition, classification, and activity analysis, making these later steps more efficient. We propose an approach based on self organization through artificial neural networks, widely applied in human image processing systems and more generally in cognitive science. The proposed approach can handle scenes containing moving backgrounds, gradual illumination variations and camouflage, has no bootstrapping limitations, can include into the background model shadows cast by moving objects, and achieves robust detection for different types of videos taken with stationary cameras. We compare our method with other modeling techniques and report experimental results, both in terms of detection accuracy and in terms of processing speed, for color video sequences that represent typical situations critical for video surveillance systems.</t>
  </si>
  <si>
    <t>Maddalena, Lucia; Petrosino, Alfredo</t>
  </si>
  <si>
    <t xml:space="preserve">Extraction from MHI and MFH </t>
  </si>
  <si>
    <t>Cámaras convencionales</t>
  </si>
  <si>
    <t>Basica?</t>
  </si>
  <si>
    <t>223-An adaptive focus-of-attention model-(Davis, 2007)</t>
  </si>
  <si>
    <t>An adaptive focus-of-attention model for video surveillance and monitoring</t>
  </si>
  <si>
    <t>In current video surveillance systems, commercial pan/tilt/zoom (PTZ) cameras typically provide naive (or no) automatic scanning functionality to move a camera across its complete viewable field. However, the lack of scene-specific information inherently handicaps these scanning algorithms. We address this issue by automatically building an adaptive, focus-of-attention, scene-specific model using standard PTZ camera hardware. The adaptive model is constructed by first detecting local human activity (i.e., any translating object with a specific temporal signature) at discrete locations across a PTZ camera's entire viewable field. The temporal signature of translating objects is extracted using motion history images (MHIs) and an original, efficient algorithm based on an iterative candidacy-classification-reduction process to separate the target motion from noise. The target motion at each location is then quantified and employed in the construction of a global activity map for the camera. We additionally present four new camera scanning algorithms which exploit this activity map to maximize a PTZ camera's opportunity of observing human activity within the camera's overall field of view. We expect that these efficient and effective algorithms are implementable within current commercial camera systems.</t>
  </si>
  <si>
    <t>Davis, James W.; Morison, Alexander M.; Woods, David D.</t>
  </si>
  <si>
    <t>Modelamiento espacial</t>
  </si>
  <si>
    <t>224-Spatial models for wide-area visual surveillance-(Howarth, 2005)</t>
  </si>
  <si>
    <t>Spatial models for wide-area visual surveillance: Computational approaches and spatial building-blocks</t>
  </si>
  <si>
    <t>Spatial models play a key role when interpreting a dynamic and uncertain world for a wide-area surveillance application. This paper presents two different views to illustrate the range of spatial models. First, we take a top-down look, where we survey various work relevant to the development of spatial models and how they have been used in AI applications. Then we take a more bottom-up look, starting with a promising spatial primitive to identify a useful foundation that can support visual surveillance applications.</t>
  </si>
  <si>
    <t>Howarth, RJ</t>
  </si>
  <si>
    <t>ML</t>
  </si>
  <si>
    <t xml:space="preserve">KNN, SVM, BAYES </t>
  </si>
  <si>
    <t>Movement Patterns</t>
  </si>
  <si>
    <t>225-Recognition of human actions using motion history information-(Babu, 2004)</t>
  </si>
  <si>
    <t>Recognition of human actions using motion history information extracted from the compressed video</t>
  </si>
  <si>
    <t>Human motion analysis is a recent topic of interest among the computer vision and video processing community. Research in this area is motivated by its wide range of applications such as surveillance and monitoring systems. In this paper we describe a system for recognition of various human actions from compressed video based on motion history information. We introduce the notion of quantifying the motion involved, through what we call Motion Flow History (MFH). The encoded motion information readily available in the compressed MPEG stream is used to construct the coarse Motion History Image (MHI) and the corresponding MFH. The features extracted from the static MHI and MFH compactly characterize the spatio-temporal and motion vector information of the action. Since the features are extracted from the partially decoded sparse motion data, the computational load is minimized to a great extent. The extracted features are used to train the KNN, Neural network, SVM and the Bayes classifiers for recognizing a set of seven human actions. The performance of each feature set with respect to various classifiers are analyzed. (C) 2003 Elsevier B.V. All rights reserved.</t>
  </si>
  <si>
    <t>Babu, RV; Ramakrishnan, KR</t>
  </si>
  <si>
    <t>Híbrido SMA, ML, Método Probabilístico</t>
  </si>
  <si>
    <t>Hidden Markov Model,
Expectation maximization</t>
  </si>
  <si>
    <t>Geometric and Chromatic Extraction</t>
  </si>
  <si>
    <t>Scene Modeling</t>
  </si>
  <si>
    <t>DIRC, PETS</t>
  </si>
  <si>
    <t>Distribuida</t>
  </si>
  <si>
    <t>226-Distributed intelligence for multi-camera-(Remagnino, 2004)</t>
  </si>
  <si>
    <t>Distributed intelligence for multi-camera visual surveillance</t>
  </si>
  <si>
    <t>Latest advances in hardware technology and state of the art of computer vision and artificial intelligence research can be employed to develop autonomous and distributed monitoring systems. The paper proposes a multi-agent architecture for the understanding of scene dynamics merging the information streamed by multiple cameras. A typical application would be the monitoring of a secure site, or any visual surveillance application deploying a network of cameras. Modular software (the agents) within such architecture controls the different components of the system and incrementally builds a model of the scene by merging the information gathered over extended periods of time. The role of distributed artificial intelligence composed of separate and autonomous modules is justified by the need for scalable designs capable of co-operating to infer an optimal interpretation of the scene. Decentralizing intelligence means creating more robust and reliable sources of interpretation, but also allows easy maintenance and updating of the system. Results are presented to support the choice of a distributed architecture, and to prove that scene interpretation can be incrementally and efficiently built by modular software. (C) 2003 Pattern Recognition Society. Published by Elsevier Ltd. All rights reserved.</t>
  </si>
  <si>
    <t>Remagnino, P; Shihab, AI; Jones, GA</t>
  </si>
  <si>
    <t>Head-and-shoulder detection in varying pose</t>
  </si>
  <si>
    <t>Head-and-shoulder detection has been an important research topic in the fields of image processing and computer vision. In this paper, a head-and-shoulder detection algorithm based on wavelet decomposition technique and support vector machine (SVM) is proposed. Wavelet decomposition is used to extract features from real images, and linear SVM and non-linear SVM are trained for detection. Non-head-and-shoulder images can be removed by the linear SVM firstly, and then non-linear SVM detects head-and-shoulder images in detail. Varying head-and-shoulder pose can be detected from frontal and side views, especially from rear view. The experiment results prove that the method proposed is effective and fast to some extent.</t>
  </si>
  <si>
    <t>Sun, Y; Wang, Y; He, YH; Hua, Y</t>
  </si>
  <si>
    <t>Performance Metrics</t>
  </si>
  <si>
    <t>Métricas para medición de sistemas de visión de computadora.</t>
  </si>
  <si>
    <t>Métricas definidas para reconocimiento facial y rastreo</t>
  </si>
  <si>
    <t>No expone otras métricas</t>
  </si>
  <si>
    <t>Performance evaluation of object detection and tracking in video</t>
  </si>
  <si>
    <t>The need for empirical evaluation metrics and algorithms is well acknowledged in the field of computer vision. The process leads to precise insights to understanding current technological capabilities and also helps in measuring progress. Hence designing good and meaningful performance measures is very critical.In this paper, we propose two comprehensive measures, one each for detection and tracking, for video domains where an object bounding approach to ground truthing can be followed. Thorough analysis explaining the behavior of the measures for different types of detection and tracking errors are discussed. Face detection and tracking is chosen as a prototype task where such an evaluation is relevant. Results on real data comparing existing algorithms are presented and the measures are shown to be effective in capturing the accuracy of the detection/tracking systems.</t>
  </si>
  <si>
    <t>Manohar, V; Soundararajan, P; Raju, H; Goldgof, D; Kasturi, R; Garofolo, J</t>
  </si>
  <si>
    <t>Speeded-Up Robust Features (SURF)</t>
  </si>
  <si>
    <t>This article presents a novel scale- and rotation-invariant detector and descriptor, coined SURF (Speeded-Up Robust Features). SURF approximates or even outperforms previously proposed schemes with respect to repeatability, distinctiveness, and robustness, yet can be computed and compared much faster.This is achieved by relying on integral images for image convolutions; by building on the strengths of the leading existing detectors and descriptors (specifically, using a Hessian matrix-based measure for the detector, and a distribution-based descriptor); and by simplifying these methods to the essential. This leads to a combination of novel detection, description, and matching steps.The paper encompasses a detailed description of the detector and descriptor and then explores the effects of the most important parameters. We conclude the article with SURF's application to two challenging, yet converse goals: camera calibration as a special case of image registration, and object recognition. Our experiments underline SURF's usefulness in a broad range of topics in computer vision. (C) 2007 Elsevier Inc. All rights reserved.</t>
  </si>
  <si>
    <t>Bay, Herbert; Ess, Andreas; Tuytelaars, Tinne; Van Gool, Luc</t>
  </si>
  <si>
    <t>An interactive tool for manual, semi-automatic and automatic video annotation</t>
  </si>
  <si>
    <t>The annotation of image and video data of large datasets is a fundamental task in multimedia information retrieval and computer vision applications. The aim of annotation tools is to relieve the user from the burden of the manual annotation as much as possible. To achieve this ideal goal, many different functionalities are required in order to make the annotations process as automatic as possible. Motivated by the limitations of existing tools, we have developed the iVAT: an interactive Video Annotation Tool. It supports manual, semi-automatic and automatic annotations through the interaction of the user with various detection algorithms. To the best of our knowledge, it is the first tool that integrates several computer vision algorithms working in an interactive and incremental learning framework. This makes the tool flexible and suitable to be used in different application domains. A quantitative and qualitative evaluation of the proposed tool on a challenging case study domain is presented and discussed. Results demonstrate that the use of the semi-automatic, as well as the automatic, modality drastically reduces the human effort while preserving the quality of the annotations. (C) 2014 Elsevier Inc. All rights reserved.</t>
  </si>
  <si>
    <t>Bianco, Simone; Ciocca, Gianluigi; Napoletano, Paolo; Schettini, Raimondo</t>
  </si>
  <si>
    <t>Context based object categorization: A critical survey</t>
  </si>
  <si>
    <t>The goal of object categorization is to locate and identify instances of an object category within an image. Recognizing an object in an image is difficult when images include occlusion, poor quality, noise or background clutter, and this task becomes even more challenging when many objects are present in the same scene. Several models for object categorization use appearance and context information from objects to improve recognition accuracy. Appearance information, based on visual cues, can successfully identify object classes up to a certain extent. Context information, based on the interaction among objects in the scene or global scene statistics, can help successfully disambiguate appearance inputs in recognition tasks. In this work we address the problem of incorporating different types of contextual information for robust object categorization in computer vision. We review different ways of using contextual information in the field of object categorization, considering the most common levels of extraction of context and the different levels of contextual interactions. We also examine common machine learning models that integrate context information into object recognition frameworks and discuss scalability, optimizations and possible future approaches. (C) 2010 Elsevier Inc. All rights reserved.</t>
  </si>
  <si>
    <t>Galleguillos, Carolina; Belongie, Serge</t>
  </si>
  <si>
    <t>Recognizing planned, multiperson action</t>
  </si>
  <si>
    <t>Multiperson action recognition requires models of structured interaction between people and objects in the world. This paper demonstrates how highly structured, multiperson action can be recognized from noisy perceptual data using visually grounded goal-based primitives and low-order temporal relationships that are integrated in a probabilistic framework.The representation, which is motivated by work in model-based object recognition and probabilistic plan recognition, makes four principal assumptions: (I)the goals of individual agents are natural atomic representational units for specifying the temporal relationships between agents engaged in group activities, (2) a high-level description of temporal structure of the action using a small set of low-order temporal and logical constraints is adequate for representing the relationships between the agent goals for highly structured, multiagent action recognition, (3) Bayesian networks provide a suitable mechanism for integrating multiple sources of uncertain visual perceptual feature evidence, and (4) an automatically generated Bayesian network can be used to combine uncertain temporal information and compute the likelihood that a set of object trajectory data is a particular multiagent action.The recognition method is tested using a database of American football play descriptions and manually acquired but noisy player trajectories. The strengths and limitations of the system are discussed and compared with other multiagent recognition algorithms. (C) 2001 Academic Press.</t>
  </si>
  <si>
    <t>Intille, SS; Bobick, AF</t>
  </si>
  <si>
    <t>A survey of advances in vision-based human motion capture and analysis</t>
  </si>
  <si>
    <t>This survey reviews advances in human motion capture and analysis from 2000 to 2006, following a previous survey of papers up to 2000 [T.B. Moeslund, E. Granum, A survey of computer vision-based human motion capture, Computer Vision and Image Understanding, 8 1(3) (2001) 231-268.]. Human motion capture continues to be an increasingly active research area in computer vision with over 350 publications over this period. A number of significant research advances are identified together with novel methodologies for automatic initialization, tracking, pose estimation, and movement recognition. Recent research has addressed reliable tracking and pose estimation in natural scenes. Progress has also been made towards automatic understanding of human actions and behavior. This survey reviews recent trends in video-based human capture and analysis, as well as discussing open problems for future research to achieve automatic visual analysis of human movement. (c) 2006 Elsevier Inc. All rights reserved.</t>
  </si>
  <si>
    <t>Moeslund, Thomas B.; Hilton, Adrian; Kruger, Volker</t>
  </si>
  <si>
    <t>Cluster-based adaptive SVM: A latent subdomains discovery method for domain adaptation problems</t>
  </si>
  <si>
    <t>Machine learning algorithms often suffer from good generalization in testing domains especially when the training (source) and test (target) domains do not have similar distributions. To address this problem, several domain adaptation techniques have been proposed to improve the performance of the learning algorithms when they face accuracy degradation caused by the domain shift problem. In this paper, we focus on the non-homogeneous distributed target domains and propose a new latent subdomain discovery model to divide the target domain into subdomains while adapting them. It is expected that applying adaptation on subdomains increase the rate of detection in comparing with the situation that the target domain is seen as one single domain. The proposed division method considers each subdomain as a cluster which has the definite ratio of positive to negative samples, linear discriminability and conditional distribution similarity to the source domain. This method divides the target domain into subdomains while adapting the trained target classifier for each subdomain using Adapt-SVM adaptation method. It also has a simple solution for selecting the appropriate number of subdomains. We call our proposed method Cluster-based Adaptive SVM or CA-SVM in short. We test CA-SVM on two different computer vision problems, pedestrian detection and image classification. The experimental results show the advantage in accuracy rate for our approach in comparison to several baselines. (C) 2017 Elsevier Inc. All rights reserved.</t>
  </si>
  <si>
    <t>Mozafari, Azadeh Sadat; Jamzad, Mansour</t>
  </si>
  <si>
    <t>A framework for visual-context-aware object detection in still images</t>
  </si>
  <si>
    <t>Visual context provides cues about an object's presence, position and size within the observed scene, which should be used to increase the performance of object detection techniques. However, in computer vision, object detectors typically ignore this information. We therefore present a framework for visual-context-aware object detection. Methods for extracting visual contextual information from still images are proposed, which are then used to calculate a prior for object detection. The concept is based on a sparse coding of contextual features, which are based on geometry and texture. In addition, bottom-up saliency and object co-occurrences are exploited, to define auxiliary visual context. To integrate the individual contextual cues with a local appearance-based object detector, a fully probabilistic framework is established. In contrast to other methods, our integration is based on modeling the underlying conditional probabilities between the different cues, which is done via kernel density estimation. This integration is a crucial part of the framework which is demonstrated within the detailed evaluation. Our method is evaluated using a novel demanding image data set and compared to a state-of-the-art method for context-aware object detection. An in-depth analysis is given discussing the contributions of the individual contextual cues and the limitations of visual context for object detection. (C) 2010 Elsevier Inc. All rights reserved.</t>
  </si>
  <si>
    <t>Perko, Roland; Leonardis, Ales</t>
  </si>
  <si>
    <t>Guía de buenas prácticas para visión por computadora</t>
  </si>
  <si>
    <t>Muestra una referencia  de buenas prácticas para el diseño de sistemas de visión por computadora</t>
  </si>
  <si>
    <t>Prácticas publicadas en 2007, puede que con los recientes avances algunas de las prácticas puedan variar</t>
  </si>
  <si>
    <t>Performance characterization in computer vision: A guide to best practices</t>
  </si>
  <si>
    <t>It is frequently remarked that designers of computer vision algorithms and systems cannot reliably predict how algorithms will respond to new problems. A variety of reasons have been given for this situation and a variety of remedies prescribed in literature. Most of these involve, in some way, paying greater attention to the domain of the problem and to performing detailed empirical analysis. The goal of this paper is to review what we see as current best practices in these areas and also suggest refinements that may benefit the field of computer vision. A distinction is made between the historical emphasis on algorithmic novelty and the increasing importance of validation on particular data sets and problems. (c) 2007 Elsevier Inc. All rights reserved.</t>
  </si>
  <si>
    <t>Thacker, Neil A.; Clark, Adrian F.; Barron, John L.; Beveridge, J. Ross; Courtney, Patrick; Crum, William R.; Ramesh, Visvanathan; Clark, Christine</t>
  </si>
  <si>
    <t>Grafos</t>
  </si>
  <si>
    <t>Markov Random Fields, Min-sum Belief Propagation in Factor Tree</t>
  </si>
  <si>
    <t>image understanding</t>
  </si>
  <si>
    <t>Revisión del método de campos aleatorios de Markov en el entendimiento de imágenes.</t>
  </si>
  <si>
    <t>Markov Random Field modeling, inference &amp; learning in computer vision
&amp; image understanding: A survey</t>
  </si>
  <si>
    <t>In this paper, we present a comprehensive survey of Markov Random Fields (MRFs) in computer vision and image understanding, with respect to the modeling, the inference and the learning. While MRFs were introduced into the computer vision field about two decades ago, they started to become a ubiquitous tool for solving visual perception problems around the turn of the millennium following the emergence of efficient inference methods. During the past decade, a variety of MRF models as well as inference and learning methods have been developed for addressing numerous low, mid and high-level vision problems. While most of the literature concerns pairwise MRFs, in recent years we have also witnessed significant progress in higher-order MRFs, which substantially enhances the expressiveness of graph-based models and expands the domain of solvable problems. This survey provides a compact and informative summary of the major literature in this research topic. (c) 2013 Elsevier Inc. All rights reserved.</t>
  </si>
  <si>
    <t>Wang, Chaohui; Komodakis, Nikos; Paragios, Nikos</t>
  </si>
  <si>
    <t>Visual learning and recognition of sequential data manifolds with applications to human movement analysis</t>
  </si>
  <si>
    <t>Human motion analysis is increasingly attracting much attention from computer vision researchers. This paper aims to address the task of human gait and activity analysis from image sequences by learning and recognition of sequential data under a general integrated framework. Human movements generally exhibit intrinsically nonlinear spatiotemporal characteristics in the high-dimensional ambient space. An attractive framework, which we explore here, is to: (1) Extract simple and reliable features from image sequences. (2) Find a low-dimensional feature representation embedded in high-dimensional image data. (3) Then characterize/classify the motions in this low-dimensional feature space. We examine two simple alternatives for step 1: silhouette and a distance transformed silhouette; and three quite different methods for step 3: Gaussian mixture models (GMM) based classification, a matching-based approach with the mean Hausdorff distance, and continuous hidden Markov models (HMM) based modelling and recognition. The core is step 2 where we choose to use LPP (locality preserving projections), an optimal linear approximation to a nonlinear spectral embedding technique (i.e., Laplacian eigenmap). In essence our aim is to see whether this core, together with simple approaches to steps I and 3, can solve problems across several types of human gait and activity. To see how well the proposed framework performs, we carry out extensive experiments in three related domains: human activity recognition, abnormal gait analysis, and gait-based human identification. The experimental results show that the proposed framework performs well across all three areas. (c) 2007 Elsevier Inc. All rights reserved.</t>
  </si>
  <si>
    <t>Wang, Liang; Suter, David</t>
  </si>
  <si>
    <t>Evaluation of video activity localizations integrating quality and quantity measurements</t>
  </si>
  <si>
    <t>Evaluating the performance of computer vision algorithms is classically done by reporting classification error or accuracy, if the problem at hand is the classification of an object in an image, the recognition of an activity in a video or the categorization and labeling of the image or video. If in addition the detection of an item in an image or a video, and/or its localization are required, frequently used metrics are Recall and Precision, as well as ROC curves. These metrics give quantitative performance values which are easy to understand and to interpret even by non-experts. However, an inherent problem is the dependency of quantitative performance measures on the quality constraints that we need impose on the detection algorithm. In particular, an important quality parameter of these measures is the spatial or spatio-temporal overlap between a ground-truth item and a detected item, and this needs to be taken into account when interpreting the results.We propose a new performance metric addressing and unifying the qualitative and quantitative aspects of the performance measures. The performance of a detection and recognition algorithm is illustrated intuitively by performance graphs which present quantitative performance values, like Recall, Precision and F-Score, depending on quality constraints of the detection. In order to compare the performance of different computer vision algorithms, a representative single performance measure is computed from the graphs, by integrating out all quality parameters. The evaluation method can be applied to different types of activity detection and recognition algorithms. The performance metric has been tested on several activity recognition algorithms participating in the ICPR 2012 HARL competition. (C) 2014 Elsevier Inc. All rights reserved.</t>
  </si>
  <si>
    <t>Wolf, Christian; Lombardi, Eric; Mille, Julien; Celiktutan, Oya; Jiu, Mingyuan; Dogan, Emre; Eren, Gonen; Baccouche, Moez; Dellandrea, Emmanuel; Bichot, Charles-Edmond; Garcia, Christophe; Sankur, Bulent</t>
  </si>
  <si>
    <t>A survey on face detection in the wild: Past, present and future</t>
  </si>
  <si>
    <t>Face detection is one of the most studied topics in computer vision literature, not only because of the challenging nature of face as an object, but also due to the countless applications that require the application of face detection as a first step. During the past 15 years, tremendous progress has been made due to the availability of data in unconstrained capture conditions (so-called 'in-the-wild') through the Internet, the effort made by the community to develop publicly available benchmarks, as well as the progress in the development of robust computer vision algorithms. In this paper, we survey the recent advances in real-world face detection techniques, beginning with the seminal Viola-Jones face detector methodology. These techniques are roughly categorized into two general schemes: rigid templates, learned mainly via boosting based methods or by the application of deep neural networks, and deformable models that describe the face by its parts. Representative methods will be described in detail, along with a few additional successful methods that we briefly go through at the end. Finally, we survey the main databases used for the evaluation of face detection algorithms and recent benchmarking efforts, and discuss the future of face detection. (C) 2015 Elsevier Inc. All rights reserved.</t>
  </si>
  <si>
    <t>Zafeiriou, Stefanos; Zhang, Cha; Zhang, Zhengyou</t>
  </si>
  <si>
    <t>Tag-Saliency: Combining bottom-up and top-down information for saliency detection</t>
  </si>
  <si>
    <t>In the real world, people often have a habit tending to pay more attention to some things usually noteworthy, while ignore others. This phenomenon is associated with the top-down attention. Modeling this kind of attention has recently raised many interests in computer vision due to a wide range of practical applications. Majority of the existing models are based on eye-tracking or object detection. However, these methods may not apply to practical situations, because the eye movement data cannot be always recorded or there may be inscrutable objects to be handled in large-scale data sets. This paper proposes a Tag-Saliency model based on hierarchical image over-segmentation and auto-tagging, which can efficiently extract semantic information from large scale visual media data. Experimental results on a very challenging data set show that, the proposed Tag-Saliency model has the ability to locate the truly salient regions in a greater probability than other competitors. (C) 2013 Elsevier Inc. All rights reserved.</t>
  </si>
  <si>
    <t>Zhu, Guokang; Wang, Qi; Yuan, Yuan</t>
  </si>
  <si>
    <t>A survey of video datasets for human action and activity recognition</t>
  </si>
  <si>
    <t>Driver's drowsiness detection using an enhanced image processing technique inspired by the human visual system</t>
  </si>
  <si>
    <t>Unfit drivers are the cause of tens of thousands of incidents on the roads which lead to injuries and deaths. Therefore, it is very important to take preventive measures against such incidents. One of the unfit driving conditions is driving while being drowsy. Using image processing techniques, drowsiness of the driver could be detected and hence such incidents could be prevented. In this work, inspired by how images are processed by the human visual system, an enhancement for driver's drowsiness detection is suggested. Furthermore, to improve the robustness of the drowsiness detection system, the mechanism for using energy levels in frames is changed. Lastly, a better decision making process is proposed. To measure the merit of the system, it is applied to a set of drivers' data. Test results show that using the proposed system, success rate of the drowsiness detection system is 90%.</t>
  </si>
  <si>
    <t>Kholerdi, Hedyeh A.; TaheriNejad, Nima; Ghaderi, Reza; Baleghi, Yaser</t>
  </si>
  <si>
    <t>Automated Design of Image Operators that Detect Interest Points</t>
  </si>
  <si>
    <t>This work describes how evolutionary computation can be used to synthesize low-level image operators that detect interesting points on digital images. Interest point detection is an essential part of many modern computer vision systems that solve tasks such as object recognition, stereo correspondence, and image indexing, to name but a few. The design of the specialized operators is posed as an optimization/search problem that is solved with genetic programming (GP), a strategy still mostly unexplored by the computer vision community. The proposed approach automatically synthesizes operators that are competitive with state-of-the-art designs, taking into account an operator's geometric stability and the global separability of detected points during fitness evaluation. The GP search space is defined using simple primitive operations that are commonly found in point detectors proposed by the vision community. The experiments described in this paper extend previous results (Trujillo and Olague, 2006a,b) by presenting 15 new operators that were synthesized through the GP-based search. Some of the synthesized operators can be regarded as improved manmade designs because they employ well-known image processing techniques and achieve highly competitive performance. On the other hand, since the GP search also generates what can be considered as unconventional operators for point detection, these results provide a new perspective to feature extraction research.</t>
  </si>
  <si>
    <t>Trujillo, Leonardo; Olague, Gustavo</t>
  </si>
  <si>
    <t>33-Abnormal behavior recognition for intelligent video surveillance systems A review(Mabrouk. et al, 2018)</t>
  </si>
  <si>
    <t>Abnormal behavior recognition for intelligent video surveillance systems: A review</t>
  </si>
  <si>
    <t>With the increasing number of surveillance cameras in both indoor and outdoor locations, there is a grown demand for an intelligent system that detects abnormal events. Although human action recognition is a highly reached topic in computer vision, abnormal behavior detection is lately attracting more research attention. Indeed, several systems are proposed in order to ensure human safety. In this paper, we are interested in the study of the two main steps composing a video surveillance system which are the behavior representation and the behavior modeling. Techniques related to feature extraction and description for behavior representation are reviewed. Classification methods and frameworks for behavior modeling are also provided. Moreover, available datasets and metrics for performance evaluation are presented. Finally, examples of existing video surveillance systems used in real world are described. (C) 2017 Elsevier Ltd. All rights reserved.</t>
  </si>
  <si>
    <t>Ben Mabrouk, Amira; Zagrouba, Ezzeddine</t>
  </si>
  <si>
    <t>Pedestrian detection for intelligent transportation systems combining AdaBoost algorithm and support vector machine</t>
  </si>
  <si>
    <t>Pedestrians are the vulnerable participants in transportation system when crashes happen. It is important to detect pedestrian efficiently and accurately in many computer vision applications, such as intelligent transportation systems (ITSs) and safety driving assistant systems (SDASs). This paper proposes a two-stage pedestrian detection method based on machine vision. In the first stage, AdaBoost algorithm and cascading method are adopted to segment pedestrian candidates from image. To confirm whether each candidate is pedestrian or not, a second stage is needed to eliminate some false positives. In this stage, a pedestrian recognizing classifier is trained with support vector machine (SVM). The input features used for SVM training are extracted from both the sample gray images and edge images. Finally, the performance of the proposed pedestrian detection method is tested with real-world data. Results show that the performance is better than conventional single-stage classifier, such as AdaBoost based or SVM based classifier. (C) 2011 Elsevier Ltd. All rights reserved.</t>
  </si>
  <si>
    <t>Guo, Lie; Ge, Ping-Shu; Zhang, Ming-Heng; Li, Lin-Hui; Zhao, Yi-Bing</t>
  </si>
  <si>
    <t>A survey on using domain and contextual knowledge for human activity recognition in video streams</t>
  </si>
  <si>
    <t>Human activity recognition has gained an increasing relevance in computer vision and it can be tackled with either non-hierarchical or hierarchical approaches. The former, also known as single-layered approaches, are those that represent and recognize human activities directly from the extracted descriptors, building a model that distinguishes among the activities contained in the training data. The latter represent and recognize human activities in terms of subevents, which are usually recognized my means of single-layered approaches. Alongside of non-hierarchical and hierarchical approaches, we observe that methods incorporating a priori knowledge and context information on the activity are getting growing interest within the community. In this work we refer to this emerging trend in computer vision as knowledge-based human activity recognition with the objective to cover the lack of a summary of these methodologies. More specifically, we survey methods and techniques used in the literature to represent and integrate knowledge and reasoning into the recognition process. We categorize them as statistical approaches, syntactic approaches and description-based approaches. In addition, we further discuss public and private datasets used in this field to promote their use and to enable the interest readers in finding useful resources. This review ends proposing main future research directions in this field. (C) 2016 Elsevier Ltd. All rights reserved.</t>
  </si>
  <si>
    <t>Onofri, Leonardo; Soda, Paolo; Pechenizkiy, Mykola; Iannello, Giulio</t>
  </si>
  <si>
    <t>Human action recognition based on skeleton splitting</t>
  </si>
  <si>
    <t>Human action recognition, defined as the understanding of the human basic actions from video streams, has a long history in the area of computer vision and pattern recognition because it can be used for various applications. We propose a novel human action recognition methodology by extracting the human skeletal features and separating them into several human body parts such as face, torso, and limbs to efficiently visualize and analyze the motion of human body parts.Our proposed human action recognition system consists of two steps: (i) automatic skeletal feature extraction and splitting by measuring the similarity between neighbor pixels in the space of diffusion tensor fields, arid (ii) human action recognition by using multiple kernel based Support Vector Machine. Experimental results on a set of test database show that our proposed method is very efficient and effective to recognize the actions using few parameters. (C) 2013 Elsevier Ltd. All rights reserved.</t>
  </si>
  <si>
    <t>Yoon, Sang Min; Kuijper, Arjan</t>
  </si>
  <si>
    <t>Supervised Committee of Convolutional Neural Networks in Automated Facial Expression Analysis</t>
  </si>
  <si>
    <t>Automated emotion recognition from facial images is an unsolved problem in computer vision. Although recent methods achieve close to human accuracy in controlled scenarios, the recognition of emotions in the wild remains a challenging problem. Recent advances in Deep learning have supposed a significant breakthrough in many computer vision tasks, including facial expression analysis. Particularly, the use of Deep Convolutional Neural Networks has attained the best results in the recent public challenges. The current state-of-the-art algorithms suggest that the use of ensembles of CNNs can outperform individual CNN classifiers. Two key considerations influence these results: (i) The design of CNNs involves the adjustment of parameters that allow diversity and complementarity in the partial classification results, and (ii) the final classification rule that assembles the result of the committee. In this paper we propose to improve the assembling of the committee by introducing supervised learning on the ensemble computation. We train a CNN on the posterior-class probabilities resulting from the individual members allowing to capture non-linear dependencies among committee members, and to learn this combination from data. The validation shows an accuracy 5 percent higher with respect to previous state-of-the art results based on averaging classifiers, and 4 percent to the majority voting rule.</t>
  </si>
  <si>
    <t>Pons, Gerard; Masip, David</t>
  </si>
  <si>
    <t>Unfalsified Visual Servoing for Simultaneous Object Recognition and Pose Tracking</t>
  </si>
  <si>
    <t>In a complex environment, simultaneous object recognition and tracking has been one of the challenging topics in computer vision and robotics. Current approaches are usually fragile due to spurious feature matching and local convergence for pose determination. Once a failure happens, these approaches lack a mechanism to recover automatically. In this paper, data-driven unfalsified control is proposed for solving this problem in visual servoing. It recognizes a target through matching image features with a 3-D model and then tracks them through dynamic visual servoing. The features can be falsified or unfalsified by a supervisory mechanism according to their tracking performance. Supervisory visual servoing is repeated until a consensus between the model and the selected features is reached, so that model recognition and object tracking are accomplished. Experiments show the effectiveness and robustness of the proposed algorithm to deal with matching and tracking failures caused by various disturbances, such as fast motion, occlusions, and illumination variation.</t>
  </si>
  <si>
    <t>Jiang, Ping; Cheng, Yongqiang; Wang, Xiaonian; Feng, Zuren</t>
  </si>
  <si>
    <t>Benchmarking a Multimodal and Multiview and Interactive Dataset for Human Action Recognition</t>
  </si>
  <si>
    <t>Human action recognition is an active research area in both computer vision and machine learning communities. In the past decades, the machine learning problem has evolved from conventional single-view learning problem, to cross-view learning, cross-domain learning and multitask learning, where a large number of algorithms have been proposed in the literature. Despite having large number of action recognition datasets, most of them are designed for a subset of the four learning problems, where the comparisons between algorithms can further limited by variances within datasets, experimental configurations, and other factors. To the best of our knowledge, there exists no dataset that allows concurrent analysis on the four learning problems. In this paper, we introduce a novel multimodal and multiview and interactive ((MI)-I-2) dataset, which is designed for the evaluation of human action recognition methods under all four scenarios. This dataset consists of 1760 action samples from 22 action categories, including nine person-person interactive actions and 13 person-object interactive actions. We systematically benchmark state-of-the-art approaches on (MI)-I-2 dataset on all four learning problems. Overall, we evaluated 13 approaches with nine popular feature and descriptor combinations. Our comprehensive analysis demonstrates that (MI)-I-2 dataset is challenging due to significant intraclass and view variations, and multiple similar action categories, as well as provides solid foundation for the evaluation of existing state-of-the-art algorithms.</t>
  </si>
  <si>
    <t>Liu, An-An; Xu, Ning; Nie, Wei-Zhi; Su, Yu-Ting; Wong, Yongkang; Kankanhalli, Mohan</t>
  </si>
  <si>
    <t>Distributed Object Detection With Linear SVMs</t>
  </si>
  <si>
    <t>In vision and learning, low computational complexity and high generalization are two important goals for video object detection. Low computational complexity here means not only fast speed but also less energy consumption. The sliding window object detection method with linear support vector machines (SVMs) is a general object detection framework. The computational cost is herein mainly paid in complex feature extraction and innerproduct-based classification. This paper first develops a distributed object detection framework (DOD) by making the best use of spatial-temporal correlation, where the process of feature extraction and classification is distributed in the current frame and several previous frames. In each framework, only subfeature vectors are extracted and the response of partial linear classifier (i.e., subdecision value) is computed. To reduce the dimension of traditional block-based histograms of oriented gradients (BHOG) feature vector, this paper proposes a cell-based HOG (CHOG) algorithm, where the features in one cell are not shared with overlapping blocks. Using CHOG as feature descriptor, we develop CHOG-DOD as an instance of DOD framework. Experimental results on detection of hand, face, and pedestrian in video show the superiority of the proposed method.</t>
  </si>
  <si>
    <t>Pang, Yanwei; Zhang, Kun; Yuan, Yuan; Wang, Kongqiao</t>
  </si>
  <si>
    <t>Semi-Supervised Image-to-Video Adaptation for Video Action Recognition</t>
  </si>
  <si>
    <t>Human action recognition has been well explored in applications of computer vision. Many successful action recognition methods have shown that action knowledge can be effectively learned from motion videos or still images. For the same action, the appropriate action knowledge learned from different types of media, e.g., videos or images, may be related. However, less effort has been made to improve the performance of action recognition in videos by adapting the action knowledge conveyed from images to videos. Most of the existing video action recognition methods suffer from the problem of lacking sufficient labeled training videos. In such cases, over-fitting would be a potential problem and the performance of action recognition is restrained. In this paper, we propose an adaptation method to enhance action recognition in videos by adapting knowledge from images. The adapted knowledge is utilized to learn the correlated action semantics by exploring the common components of both labeled videos and images. Meanwhile, we extend the adaptation method to a semi-supervised framework which can leverage both labeled and unlabeled videos. Thus, the over-fitting can be alleviated and the performance of action recognition is improved. Experiments on public benchmark datasets and realworld datasets show that our method outperforms several other state-of-the-art action recognition methods.</t>
  </si>
  <si>
    <t>Zhang, Jianguang; Han, Yahong; Tang, Jinhui; Hu, Qinghua; Jiang, Jianmin</t>
  </si>
  <si>
    <t>Salient Object Detection: A Benchmark</t>
  </si>
  <si>
    <t>We extensively compare, qualitatively and quantitatively, 41 state-of-the-art models (29 salient object detection, 10 fixation prediction, 1 objectness, and 1 baseline) over seven challenging data sets for the purpose of benchmarking salient object detection and segmentation methods. From the results obtained so far, our evaluation shows a consistent rapid progress over the last few years in terms of both accuracy and running time. The top contenders in this benchmark significantly outperform the models identified as the best in the previous benchmark conducted three years ago. We find that the models designed specifically for salient object detection generally work better than models in closely related areas, which in turn provides a precise definition and suggests an appropriate treatment of this problem that distinguishes it from other problems. In particular, we analyze the influences of center bias and scene complexity in model performance, which, along with the hard cases for the state-of-the-art models, provide useful hints toward constructing more challenging large-scale data sets and better saliency models. Finally, we propose probable solutions for tackling several open problems, such as evaluation scores and data set bias, which also suggest future research directions in the rapidly growing field of salient object detection.</t>
  </si>
  <si>
    <t>Borji, Ali; Cheng, Ming-Ming; Jiang, Huaizu; Li, Jia</t>
  </si>
  <si>
    <t>Neutral Face Classification Using Personalized Appearance Models for Fast and Robust Emotion Detection</t>
  </si>
  <si>
    <t>Facial expression recognition is one of the open problems in computer vision. Robust neutral face recognition in real time is a major challenge for various supervised learning-based facial expression recognition methods. This is due to the fact that supervised methods cannot accommodate all appearance variability across the faces with respect to race, pose, lighting, facial biases, and so on, in the limited amount of training data. Moreover, processing each and every frame to classify emotions is not required, as user stays neutral for majority of the time in usual applications like video chat or photo album/web browsing. Detecting neutral state at an early stage, thereby bypassing those frames from emotion classification would save the computational power. In this paper, we propose a light-weight neutral versus emotion classification engine, which acts as a pre-processer to the traditional supervised emotion classification approaches. It dynamically learns neutral appearance at key emotion (KE) points using a statistical texture model, constructed by a set of reference neutral frames for each user. The proposed method is made robust to various types of user head motions by accounting for affine distortions based on a statistical texture model. Robustness to dynamic shift of KE points is achieved by evaluating the similarities on a subset of neighborhood patches around each KE point using the prior information regarding the directionality of specific facial action units acting on the respective KE point. The proposed method, as a result, improves emotion recognition (ER) accuracy and simultaneously reduces computational complexity of the ER system, as validated on multiple databases.</t>
  </si>
  <si>
    <t>Chiranjeevi, Pojala; Gopalakrishnan, Viswanath; Moogi, Pratibha</t>
  </si>
  <si>
    <t>Recognizing Actions Through Action-Specific Person Detection</t>
  </si>
  <si>
    <t>Action recognition in still images is a challenging problem in computer vision. To facilitate comparative evaluation independently of person detection, the standard evaluation protocol for action recognition uses an oracle person detector to obtain perfect bounding box information at both training and test time. The assumption is that, in practice, a general person detector will provide candidate bounding boxes for action recognition. In this paper, we argue that this paradigm is suboptimal and that action class labels should already be considered during the detection stage. Motivated by the observation that body pose is strongly conditioned on action class, we show that: 1) the existing state-of-the-art generic person detectors are not adequate for proposing candidate bounding boxes for action classification; 2) due to limited training examples, the direct training of action-specific person detectors is also inadequate; and 3) using only a small number of labeled action examples, the transfer learning is able to adapt an existing detector to propose higher quality bounding boxes for subsequent action classification. To the best of our knowledge, we are the first to investigate transfer learning for the task of action-specific person detection in still images. We perform extensive experiments on two benchmark data sets: 1) Stanford-40 and 2) PASCAL VOC 2012. For the action detection task (i.e., both person localization and classification of the action performed), our approach outperforms methods based on general person detection by 5.7% mean average precision (MAP) on Stanford-40 and 2.1% MAP on PASCAL VOC 2012. Our approach also significantly outperforms the state of the art with a MAP of 45.4% on Stanford-40 and 31.4% on PASCAL VOC 2012. We also evaluate our action detection approach for the task of action classification (i.e., recognizing actions without localizing them). For this task, our approach, without using any ground-truth person localization at test time, outperforms on both data sets state-of-the-art methods, which do use person locations.</t>
  </si>
  <si>
    <t>Khan, Fahad Shahbaz; Xu, Jiaolong; van de Weijer, Joost; Bagdanov, Andrew D.; Anwer, Rao Muhammad; Lopez, Antonio M.</t>
  </si>
  <si>
    <t>Action-Attending Graphic Neural Network</t>
  </si>
  <si>
    <t>The motion analysis of human skeletons is crucial for human action recognition, which is one of the most active topics in computer vision. In this paper, we propose a fully end-to-end action-attending graphic neural network (A(2)GNN) for skeleton-based action recognition, in which each irregular skeleton is structured as an undirected attribute graph. To extract high-level semantic representation from skeletons, we perform the local spectral graph filtering on the constructed attribute graphs like the standard image convolution operation. Considering not all joints are informative for action analysis, we design an actionattending layer to detect those salient action units by adaptively weighting skeletal joints. Herein, the filtering responses are parameterized into a weighting function irrelevant to the order of input nodes. To further encode continuous motion variations, the deep features learnt from skeletal graphs are gathered along consecutive temporal slices and then fed into a recurrent gated network. Finally, the spectral graph filtering, action-attending, and recurrent temporal encoding are integrated together to jointly train for the sake of robust action recognition as well as the intelligibility of human actions. To evaluate our A(2)GNN, we conduct extensive experiments on four benchmark skeletonbased action datasets, including the large-scale challenging NTU RGB+D dataset. The experimental results demonstrate that our network achieves the state-of-the-art performances.</t>
  </si>
  <si>
    <t>Li, Chaolong; Cui, Zhen; Zheng, Wenming; Xu, Chunyan; Ji, Rongrong; Yang, Jian</t>
  </si>
  <si>
    <t>Equivariant holomorphic filters for contour denoising and rapid object detection</t>
  </si>
  <si>
    <t>It is well known that linear filters are not powerful enough for many low-level image processing tasks. However, it is also very difficult to design robust nonlinear filters that respond exclusively to features of interest and that are, at the same time, equivariant with respect to translation and rotation. This paper proposes a new class of rotation-equivariant nonlinear filters that is based on the principle of group integration. These filters become efficiently computable by an iterative scheme based on repeated differentiation of products and summations of intermediate results. The relations of the proposed approach to Volterra filters and steerable filters are shown. In the context of detection problems, the filter may be interpreted as some kind of generalized Hough transform. The experiments show that the new filter can be used for enhancing noisy contours and rapid object detection in microscopical images. In the detection context, our experiments show that the proposed filter is definitely superior to alternative approches, when high localization accuracy is required.</t>
  </si>
  <si>
    <t>Reisert, Marco; Burkhardt, Hans</t>
  </si>
  <si>
    <t>Latent Hierarchical Model of Temporal Structure for Complex Activity Classification</t>
  </si>
  <si>
    <t>Modeling the temporal structure of sub-activities is an important yet challenging problem in complex activity classification. This paper proposes a latent hierarchical model (LHM) to describe the decomposition of complex activity into sub-activities in a hierarchical way. The LHM has a tree-structure, where each node corresponds to a video segment (sub-activity) at certain temporal scale. The starting and ending time points of each sub-activity are represented by two latent variables, which are automatically determined during the inference process. We formulate the training problem of the LHM in a latent kernelized SVM framework and develop an efficient cascade inference method to speed up classification. The advantages of our methods come from: 1) LHM models the complex activity with a deep structure, which is decomposed into sub-activities in a coarse-to-fine manner and 2) the starting and ending time points of each segment are adaptively determined to deal with the temporal displacement and duration variation of sub-activity. We conduct experiments on three datasets: 1) the KTH; 2) the Hollywood2; and 3) the Olympic Sports. The experimental results show the effectiveness of the LHM in complex activity classification. With dense features, our LHM achieves the state-of-the-art performance on the Hollywood2 dataset and the Olympic Sports dataset.</t>
  </si>
  <si>
    <t>Wang, Limin; Qiao, Yu; Tang, Xiaoou</t>
  </si>
  <si>
    <t>A Boosted Multi-Task Model for Pedestrian Detection With Occlusion Handling</t>
  </si>
  <si>
    <t>Pedestrian detection is a challenging problem in computer vision, and has achieved impressive progress in recent years. However, the current state-of-the-art methods suffer from significant performance decline with increasing occlusion level of pedestrians. A common approach for occlusion handling is to train a set of occlusion-specific detectors and merge their results directly, but these detectors are trained independently and the relationship among them is ignored. In this paper, we consider pedestrian detection in different occlusion levels as different but related problems, and propose a boosted multi-task model to jointly consider their relatedness and differences. The proposed model adopts multi-task learning algorithm to map pedestrians in different occlusion levels to a common space, where all models corresponding to different occlusion levels are constrained to share a common set of features, and a boosted detector is then constructed to distinguish pedestrians from background. The proposed approach is evaluated on three challenging pedestrian detection data sets, including Caltech, TUD-Brussels, and INRIA, and achieves superior performances against state of the art in the literature on different occlusion-specific test sets.</t>
  </si>
  <si>
    <t>Zhu, Chao; Peng, Yuxin</t>
  </si>
  <si>
    <t>Fight Recognition in Video Using Hough Forests and 2D Convolutional Neural Network</t>
  </si>
  <si>
    <t>While action recognition has become an important line of research in computer vision, the recognition of particular events, such as aggressive behaviors, or fights, has been relatively less studied. These tasks may be extremely useful in several video surveillance scenarios, such as psychiatric wards, prisons, or even in personal camera smartphones. Their potential usability has led to a surge of interest in developing fight or violence detectors. One of the key aspects in this case is efficiency, that is, these methods should be computationally fast. "Handcrafted" spatiotemporal features that account for both motion and appearance information can achieve high accuracy rates, albeit the computational cast of extracting some of those features is still prohibitive for practical applications. The deep learning paradigm has been recently applied for the first time to this task too, in the form of a 3D convolutional neural network that processes the whole video sequence as input. However, results in human perception of other's actions suggest that, in this specific task, motion features are crucial. This means that using the whole video as input may add both redundancy and noise in the learning process. In this paper, we propose a hybrid "handcrafted/learned" feature framework which provides better accuracy than the previous feature learning method, with similar computational efficiency. The proposed method is compared to three related benchmark data sets. The method outperforms the different state-of-the-art methods in two of the three considered benchmark data sets.</t>
  </si>
  <si>
    <t>Serrano, Ismael I.; Deniz, Oscar; Espinosa-Aranda, Jose Luis; Bueno, Gloria</t>
  </si>
  <si>
    <t>Learning a No-Reference Quality Assessment Model of Enhanced Images With Big Data</t>
  </si>
  <si>
    <t>In this paper, we investigate into the problem of image quality assessment (IQA) and enhancement via machine learning. This issue has long attracted a wide range of attention in computational intelligence and image processing communities, since, for many practical applications, e.g., object detection and recognition, raw images are usually needed to be appropriately enhanced to raise the visual quality (e.g., visibility and contrast). In fact, proper enhancement can noticeably improve the quality of input images, even better than originally captured images, which are generally thought to be of the best quality. In this paper, we present two most important contributions. The first contribution is to develop a new no-reference (NR) IQA model. Given an image, our quality measure first extracts 17 features through analysis of contrast, sharpness, brightness and more, and then yields a measure of visual quality using a regression module, which is learned with big-data training samples that are much bigger than the size of relevant image data sets. The results of experiments on nine data sets validate the superiority and efficiency of our blind metric compared with typical state-of-the-art full-reference, reduced-reference and NA IQA methods. The second contribution is that a robust image enhancement framework is established based on quality optimization. For an input image, by the guidance of the proposed NR-IQA measure, we conduct histogram modification to successively rectify image brightness and contrast to a proper level. Thorough tests demonstrate that our framework can well enhance natural images, low-contrast images, low-light images, and dehazed images. The source code will be released at https://sites.google.com/site/guke198701/publications.</t>
  </si>
  <si>
    <t>Gu, Ke; Tao, Dacheng; Qiao, Jun-Fei; Lin, Weisi</t>
  </si>
  <si>
    <t>PADS: A Probabilistic Activity Detection Framework for Video Data</t>
  </si>
  <si>
    <t>There is now a growing need to identify various kinds of activities that occur in videos. In this paper, we first present a logical language called Probabilistic Activity Description Language (PADL) in which users can specify activities of interest. We then develop a probabilistic framework which assigns to any subvideo of a given video sequence a probability that the subvideo contains the given activity, and we finally develop two fast algorithms to detect activities within this framework. OffPad finds all minimal segments of a video that contain a given activity with a probability exceeding a given threshold. In contrast, the OnPad algorithm examines a video during playout (rather than afterwards as OffPad does) and computes the probability that a given activity is occurring (even if the activity is only partially complete). Our prototype Probabilistic Activity Detection System (PADS) implements the framework and the two algorithms, building on top of existing image processing algorithms. We have conducted detailed experiments and compared our approach to four different approaches presented in the literature. We show that-for complex activity definitions-our approach outperforms all the other approaches.</t>
  </si>
  <si>
    <t>Albanese, Massimiliano; Chellappa, Rama; Cuntoor, Naresh; Moscato, Vincenzo; Picariello, Antonio; Subrahmanian, V. S.; Udrea, Octavian</t>
  </si>
  <si>
    <t>Pedestrian Detection: An Evaluation of the State of the Art</t>
  </si>
  <si>
    <t>Pedestrian detection is a key problem in computer vision, with several applications that have the potential to positively impact quality of life. In recent years, the number of approaches to detecting pedestrians in monocular images has grown steadily. However, multiple data sets and widely varying evaluation protocols are used, making direct comparisons difficult. To address these shortcomings, we perform an extensive evaluation of the state of the art in a unified framework. We make three primary contributions: 1) We put together a large, well-annotated, and realistic monocular pedestrian detection data set and study the statistics of the size, position, and occlusion patterns of pedestrians in urban scenes, 2) we propose a refined per-frame evaluation methodology that allows us to carry out probing and informative comparisons, including measuring performance in relation to scale and occlusion, and 3) we evaluate the performance of sixteen pretrained state-of-the-art detectors across six data sets. Our study allows us to assess the state of the art and provides a framework for gauging future efforts. Our experiments show that despite significant progress, performance still has much room for improvement. In particular, detection is disappointing at low resolutions and for partially occluded pedestrians.</t>
  </si>
  <si>
    <t>Dollar, Piotr; Wojek, Christian; Schiele, Bernt; Perona, Pietro</t>
  </si>
  <si>
    <t>Dynamic Programming and Graph Algorithms in Computer Vision</t>
  </si>
  <si>
    <t>Optimization is a powerful paradigm for expressing and solving problems in a wide range of areas, and has been successfully applied to many vision problems. Discrete optimization techniques are especially interesting since, by carefully exploiting problem structure, they often provide nontrivial guarantees concerning solution quality. In this paper, we review dynamic programming and graph algorithms, and discuss representative examples of how these discrete optimization techniques have been applied to some classical vision problems. We focus on the low-level vision problem of stereo, the mid-level problem of interactive object segmentation, and the high-level problem of model-based recognition.</t>
  </si>
  <si>
    <t>Felzenszwalb, Pedro F.; Zabih, Ramin</t>
  </si>
  <si>
    <t>Hough Forests for Object Detection, Tracking, and Action Recognition</t>
  </si>
  <si>
    <t>The paper introduces Hough forests, which are random forests adapted to perform a generalized Hough transform in an efficient way. Compared to previous Hough-based systems such as implicit shape models, Hough forests improve the performance of the generalized Hough transform for object detection on a categorical level. At the same time, their flexibility permits extensions of the Hough transform to new domains such as object tracking and action recognition. Hough forests can be regarded as task-adapted codebooks of local appearance that allow fast supervised training and fast matching at test time. They achieve high detection accuracy since the entries of such codebooks are optimized to cast Hough votes with small variance and since their efficiency permits dense sampling of local image patches or video cuboids during detection. The efficacy of Hough forests for a set of computer vision tasks is validated through experiments on a large set of publicly available benchmark data sets and comparisons with the state-of-the-art.</t>
  </si>
  <si>
    <t>Gall, Juergen; Yao, Angela; Razavi, Nima; Van Gool, Luc; Lempitsky, Victor</t>
  </si>
  <si>
    <t>What Makes for Effective Detection Proposals?</t>
  </si>
  <si>
    <t>Current top performing object detectors employ detection proposals to guide the search for objects, thereby avoiding exhaustive sliding window search across images. Despite the popularity and widespread use of detection proposals, it is unclear which trade-offs are made when using them during object detection. We provide an in-depth analysis of twelve proposal methods along with four baselines regarding proposal repeatability, ground truth annotation recall on PASCAL, ImageNet, and MS COCO, and their impact on DPM, R-CNN, and Fast R-CNN detection performance. Our analysis shows that for object detection improving proposal localisation accuracy is as important as improving recall. We introduce a novel metric, the average recall (AR), which rewards both high recall and good localisation and correlates surprisingly well with detection performance. Our findings show common strengths and weaknesses of existing methods, and provide insights and metrics for selecting and tuning proposal methods.</t>
  </si>
  <si>
    <t>Hosang, Jan; Benenson, Rodrigo; Dollar, Piotr; Schiele, Bernt</t>
  </si>
  <si>
    <t>Analysing Domain Shift Factors between Videos and Images for Object Detection</t>
  </si>
  <si>
    <t>Object detection is one of the most important challenges in computer vision. Object detectors are usually trained on bounding-boxes from still images. Recently, video has been used as an alternative source of data. Yet, for a given test domain (image or video), the performance of the detector depends on the domain it was trained on. In this paper, we examine the reasons behind this performance gap. We define and evaluate different domain shift factors: spatial location accuracy, appearance diversity, image quality and aspect distribution. We examine the impact of these factors by comparing performance before and after factoring them out. The results show that all four factors affect the performance of the detectors and their combined effect explains nearly the whole performance gap.</t>
  </si>
  <si>
    <t>Kalogeiton, Vicky; Ferrari, Vittorio; Schmid, Cordelia</t>
  </si>
  <si>
    <t>Framework for Performance Evaluation of Face, Text, and Vehicle Detection and Tracking in Video: Data, Metrics, and Protocol</t>
  </si>
  <si>
    <t>Common benchmark data sets, standardized performance metrics, and baseline algorithms have demonstrated considerable impact on research and development in a variety of application domains. These resources provide both consumers and developers of technology with a common framework to objectively compare the performance of different algorithms and algorithmic improvements. In this paper, we present such a framework for evaluating object detection and tracking in video: specifically for face, text, and vehicle objects. This framework includes the source video data, ground-truth annotations (along with guidelines for annotation), performance metrics, evaluation protocols, and tools including scoring software and baseline algorithms. For each detection and tracking task and supported domain, we developed a 50-clip training set and a 50-clip test set. Each data clip is approximately 2.5 minutes long and has been completely spatially/temporally annotated at the I-frame level. Each task/domain, therefore, has an associated annotated corpus of approximately 450,000 frames. The scope of such annotation is unprecedented and was designed to begin to support the necessary quantities of data for robust machine learning approaches, as well as a statistically significant comparison of the performance of algorithms. The goal of this work was to systematically address the challenges of object detection and tracking through a common evaluation framework that permits a meaningful objective comparison of techniques, provides the research community with sufficient data for the exploration of automatic modeling techniques, encourages the incorporation of objective evaluation into the development process, and contributes useful lasting resources of a scale and magnitude that will prove to be extremely useful to the computer vision research community for years to come.</t>
  </si>
  <si>
    <t>Kasturi, Rangachar; Goldgof, Dmitry; Soundararajan, Padmanabhan; Manohar, Vasant; Garofolo, John; Bowers, Rachel; Boonstra, Matthew; Korzhova, Valentina; Zhang, Jing</t>
  </si>
  <si>
    <t>Generalized Boundaries from Multiple Image Interpretations</t>
  </si>
  <si>
    <t>Boundary detection is a fundamental computer vision problem that is essential for a variety of tasks, such as contour and region segmentation, symmetry detection and object recognition and categorization. We propose a generalized formulation for boundary detection, with closed-form solution, applicable to the localization of different types of boundaries, such as object edges in natural images and occlusion boundaries from video. Our generalized boundary detection method (Gb) simultaneously combines low-level and mid-level image representations in a single eigenvalue problem and solves for the optimal continuous boundary orientation and strength. The closed-form solution to boundary detection enables our algorithm to achieve state-of-the-art results at a significantly lower computational cost than current methods. We also propose two complementary novel components that can seamlessly be combined with Gb: first, we introduce a soft-segmentation procedure that provides region input layers to our boundary detection algorithm for a significant improvement in accuracy, at negligible computational cost; second, we present an efficient method for contour grouping and reasoning, which when applied as a final post-processing stage, further increases the boundary detection performance.</t>
  </si>
  <si>
    <t>Leordeanu, Marius; Sukthankar, Rahul; Sminchisescu, Cristian</t>
  </si>
  <si>
    <t>Tree-Structured CRF Models for Interactive Image Labeling</t>
  </si>
  <si>
    <t>We propose structured prediction models for image labeling that explicitly take into account dependencies among image labels. In our tree-structured models, image labels are nodes, and edges encode dependency relations. To allow for more complex dependencies, we combine labels in a single node and use mixtures of trees. Our models are more expressive than independent predictors, and lead to more accurate label predictions. The gain becomes more significant in an interactive scenario where a user provides the value of some of the image labels at test time. Such an interactive scenario offers an interesting tradeoff between label accuracy and manual labeling effort. The structured models are used to decide which labels should be set by the user, and transfer the user input to more accurate predictions on other image labels. We also apply our models to attribute-based image classification, where attribute predictions of a test image are mapped to class probabilities by means of a given attribute-class mapping. Experimental results on three publicly available benchmark datasets show that in all scenarios our structured models lead to more accurate predictions, and leverage user input much more effectively than state-of-the-art independent models.</t>
  </si>
  <si>
    <t>Mensink, Thomas; Verbeek, Jakob; Csurka, Gabriela</t>
  </si>
  <si>
    <t>Harvesting Image Databases from the Web</t>
  </si>
  <si>
    <t>The objective of this work is to automatically generate a large number of images for a specified object class. A multimodal approach employing both text, metadata, and visual features is used to gather many high-quality images from the Web. Candidate images are obtained by a text-based Web search querying on the object identifier (e.g., the word penguin). The Webpages and the images they contain are downloaded. The task is then to remove irrelevant images and rerank the remainder. First, the images are reranked based on the text surrounding the image and metadata features. A number of methods are compared for this reranking. Second, the top-ranked images are used as (noisy) training data and an SVM visual classifier is learned to improve the ranking further. We investigate the sensitivity of the cross-validation procedure to this noisy training data. The principal novelty of the overall method is in combining text/metadata and visual features in order to achieve a completely automatic ranking of the images. Examples are given for a selection of animals, vehicles, and other classes, totaling 18 classes. The results are assessed by precision/recall curves on ground-truth annotated data and by comparison to previous approaches, including those of Berg and Forsyth [5] and Fergus et al. [12].</t>
  </si>
  <si>
    <t>Schroff, Florian; Criminisi, Antonio; Zisserman, Andrew</t>
  </si>
  <si>
    <t>Robust object recognition with cortex-like mechanisms</t>
  </si>
  <si>
    <t>We introduce a new general framework for the recognition of complex visual scenes, which is motivated by biology: We describe a hierarchical system that closely follows the organization of visual cortex and builds an increasingly complex and invariant feature representation by alternating between a template matching and a maximum pooling operation. We demonstrate the strength of the approach on a range of recognition tasks: From invariant single object recognition in clutter to multiclass categorization problems and complex scene understanding tasks that rely on the recognition of both shape-based as well as texture-based objects. Given the biological constraints that the system had to satisfy, the approach performs surprisingly well: It has the capability of learning from only a few training examples and competes with state-of-the-art systems. We also discuss the existence of a universal, redundant dictionary of features that could handle the recognition of most object categories. In addition to its relevance for computer vision, the success of this approach suggests a plausibility proof for a class of feedforward models of object recognition in cortex.</t>
  </si>
  <si>
    <t>Serre, Thomas; Wolf, Lior; Bileschi, Stanley; Riesenhuber, Maximilian; Poggio, Tomaso</t>
  </si>
  <si>
    <t>Hidden Part Models for Human Action Recognition: Probabilistic versus Max Margin</t>
  </si>
  <si>
    <t>We present a discriminative part-based approach for human action recognition from video sequences using motion features. Our model is based on the recently proposed hidden conditional random field (HCRF) for object recognition. Similarly to HCRF for object recognition, we model a human action by a flexible constellation of parts conditioned on image observations. Differently from object recognition, our model combines both large-scale global features and local patch features to distinguish various actions. Our experimental results show that our model is comparable to other state-of-the-art approaches in action recognition. In particular, our experimental results demonstrate that combining large-scale global features and local patch features performs significantly better than directly applying HCRF on local patches alone. We also propose an alternative for learning the parameters of an HCRF model in a max-margin framework. We call this method the max-margin hidden conditional random field (MMHCRF). We demonstrate that MMHCRF outperforms HCRF in human action recognition. In addition, MMHCRF can handle a much broader range of complex hidden structures arising in various problems in computer vision.</t>
  </si>
  <si>
    <t>Wang, Yang; Mori, Greg</t>
  </si>
  <si>
    <t>Monocular Visual Scene Understanding: Understanding Multi-Object Traffic Scenes</t>
  </si>
  <si>
    <t>Following recent advances in detection, context modeling, and tracking, scene understanding has been the focus of renewed interest in computer vision research. This paper presents a novel probabilistic 3D scene model that integrates state-of-the-art multiclass object detection, object tracking and scene labeling together with geometric 3D reasoning. Our model is able to represent complex object interactions such as inter-object occlusion, physical exclusion between objects, and geometric context. Inference in this model allows us to jointly recover the 3D scene context and perform 3D multi-object tracking from a mobile observer, for objects of multiple categories, using only monocular video as input. Contrary to many other approaches, our system performs explicit occlusion reasoning and is therefore capable of tracking objects that are partially occluded for extended periods of time, or objects that have never been observed to their full extent. In addition, we show that a joint scene tracklet model for the evidence collected over multiple frames substantially improves performance. The approach is evaluated for different types of challenging onboard sequences. We first show a substantial improvement to the state of the art in 3D multipeople tracking. Moreover, a similar performance gain is achieved for multiclass 3D tracking of cars and trucks on a challenging dataset.</t>
  </si>
  <si>
    <t>Wojek, Christian; Walk, Stefan; Roth, Stefan; Schindler, Konrad; Schiele, Bernt</t>
  </si>
  <si>
    <t>Effective Unconstrained Face Recognition by Combining Multiple Descriptors and Learned Background Statistics</t>
  </si>
  <si>
    <t>Computer vision systems have demonstrated considerable improvement in recognizing and verifying faces in digital images. Still, recognizing faces appearing in unconstrained, natural conditions remains a challenging task. In this paper, we present a face-image, pair-matching approach primarily developed and tested on the "Labeled Faces in the Wild" (LFW) benchmark that reflects the challenges of face recognition from unconstrained images. The approach we propose makes the following contributions. 1) We present a family of novel face-image descriptors designed to capture statistics of local patch similarities. 2) We demonstrate how unlabeled background samples may be used to better evaluate image similarities. To this end, we describe a number of novel, effective similarity measures. 3) We show how labeled background samples, when available, may further improve classification performance, by employing a unique pair-matching pipeline. We present state-of-the-art results on the LFW pair-matching benchmarks. In addition, we show our system to be well suited for multilabel face classification (recognition) problem, on both the LFW images and on images from the laboratory controlled multi-PIE database.</t>
  </si>
  <si>
    <t>Wolf, Lior; Hassner, Tal; Taigman, Yaniv</t>
  </si>
  <si>
    <t>Recognizing Human-Object Interactions in Still Images by Modeling the Mutual Context of Objects and Human Poses</t>
  </si>
  <si>
    <t>Detecting objects in cluttered scenes and estimating articulated human body parts from 2D images are two challenging problems in computer vision. The difficulty is particularly pronounced in activities involving human-object interactions (e.g., playing tennis), where the relevant objects tend to be small or only partially visible and the human body parts are often self-occluded. We observe, however, that objects and human poses can serve as mutual context to each other-recognizing one facilitates the recognition of the other. In this paper, we propose a mutual context model to jointly model objects and human poses in human-object interaction activities. In our approach, object detection provides a strong prior for better human pose estimation, while human pose estimation improves the accuracy of detecting the objects that interact with the human. On a six-class sports data set and a 24-class people interacting with musical instruments data set, we show that our mutual context model outperforms state of the art in detecting very difficult objects and estimating human poses, as well as classifying human-object interaction activities.</t>
  </si>
  <si>
    <t>Yao, Bangpeng; Fei-Fei, Li</t>
  </si>
  <si>
    <t>Accelerating Very Deep Convolutional Networks for Classification and Detection</t>
  </si>
  <si>
    <t>This paper aims to accelerate the test-time computation of convolutional neural networks (CNNs), especially very deep CNNs[1] that have substantially impacted the computer vision community. Unlike previous methods that are designed for approximating linear filters or linear responses, our method takes the nonlinear units into account. We develop an effective solution to the resulting nonlinear optimization problem without the need of stochastic gradient descent (SGD). More importantly, while previous methods mainly focus on optimizing one or two layers, our nonlinear method enables an asymmetric reconstruction that reduces the rapidly accumulated error when multiple (e.g., &gt;= 10) layers are approximated. For the widely used very deep VGG-16 model[1], our method achieves a whole-model speedup of 4x with merely a 0.3 percent increase of top-5 error in ImageNet classification. Our 4x accelerated VGG-16 model also shows a graceful accuracy degradation for object detection when plugged into the Fast R-CNN detector[2].</t>
  </si>
  <si>
    <t>Zhang, Xiangyu; Zou, Jianhua; He, Kaiming; Sun, Jian</t>
  </si>
  <si>
    <t>Moving Object Detection by Detecting Contiguous Outliers in the Low-Rank Representation</t>
  </si>
  <si>
    <t>Object detection is a fundamental step for automated video analysis in many vision applications. Object detection in a video is usually. performed by object detectors or background subtraction techniques. Often, an object detector requires Manually labeled examples to train a binary classifier, while background subtraction needs a training sequence that contains no objects to build a background model. To automate the analysis, object detection without a separate training phase becomes a critical task. People have tried to tackle this task by using motion information. But existing motion-based Methods are usually limited when coping with complex scenarios such as nonrigid motion and dynamic background. In this paper, we show that the above challenges can be addressed in a unified framework named, DEtecting Contiguous Outliers in the LOw-rank Representation (DECOLOR). This formulation integrates object detection and background learning into a single process of optimization, which can be solved by an alternating algorithm efficiently. We explain the relations between DECOLOR and other sparsity-based methods. Experiments on both simulated data and real sequences demonstrate that DECOLOR outperforms the state-of-the-art approaches and it can work effectively on a wide range of complex scenarios.</t>
  </si>
  <si>
    <t>Zhou, Xiaowei; Yang, Can; Yu, Weichuan</t>
  </si>
  <si>
    <t>Detailed 3D Representations for Object Recognition and Modeling</t>
  </si>
  <si>
    <t>Geometric 3D reasoning at the level of objects has received renewed attention recently in the context of visual scene understanding. The level of geometric detail, however, is typically limited to qualitative representations or coarse boxes. This is linked to the fact that today's object class detectors are tuned toward robust 2D matching rather than accurate 3D geometry, encouraged by bounding-box-based benchmarks such as Pascal VOC. In this paper, we revisit ideas from the early days of computer vision, namely, detailed, 3D geometric object class representations for recognition. These representations can recover geometrically far more accurate object hypotheses than just bounding boxes, including continuous estimates of object pose and 3D wireframes with relative 3D positions of object parts. In combination with robust techniques for shape description and inference, we outperform state-of-the-art results in monocular 3D pose estimation. In a series of experiments, we analyze our approach in detail and demonstrate novel applications enabled by such an object class representation, such as fine-grained categorization of cars and bicycles, according to their 3D geometry, and ultrawide baseline matching.</t>
  </si>
  <si>
    <t>Zia, M. Zeeshan; Stark, Michael; Schiele, Bernt; Schindler, Konrad</t>
  </si>
  <si>
    <t>Recognizing Emotions From an Ensemble of Features</t>
  </si>
  <si>
    <t>This paper details the authors' efforts to push the baseline of emotion recognition performance on the Geneva Multimodal Emotion Portrayals (GEMEP) Facial Expression Recognition and Analysis database. Both subject-dependent and subject-independent emotion recognition scenarios are addressed in this paper. The approach toward solving this problem involves face detection, followed by key-point identification, then feature generation, and then, finally, classification. An ensemble of features consisting of hierarchical Gaussianization, scale-invariant feature transform, and some coarse motion features have been used. In the classification stage, we used support vector machines. The classification task has been divided into person-specific and person-independent emotion recognitions using face recognition with either manual labels or automatic algorithms. We achieve 100% performance for the person-specific one, 66% performance for the person-independent one, and 80% performance for overall results, in terms of classification rate, for emotion recognition with manual identification of subjects.</t>
  </si>
  <si>
    <t>Tariq, Usman; Lin, Kai-Hsiang; Li, Zhen; Zhou, Xi; Wang, Zhaowen; Le, Vuong; Huang, Thomas S.; Lv, Xutao; Han, Tony X.</t>
  </si>
  <si>
    <t>A survey on visual surveillance of object motion and behaviors</t>
  </si>
  <si>
    <t>Visual surveillance in dynamic scenes, especially for humans and vehicles, is currently one of the most active research topics in computer vision. It has a wide spectrum of promising applications, including access control in special areas, human identification at a distance, crowd flux statistics And congestion analysis, detection of anomalous behaviors, and interactive surveillance using multiple cameras, etc. In general, the processing framework of visual surveillance in dynamic scenes includes the following stages: modeling of environments, detection of motion, classification of moving objects, tracking, understanding and description of behaviors, human identification, and fusion of data from multiple cameras. We review recent developments and general strategies of all these stages. Finally, we analyze possible research directions, e.g., occlusion handling, a combination of two-and three-dimensional tracking, a. combination of motion analysis and biometrics, anomaly detection and behavior prediction, content-based retrieval of surveillance videos, behavior understanding and natural language description, fusion of information from multiple sensors, and remote surveillance.</t>
  </si>
  <si>
    <t>Hu, WM; Tan, TN; Wang, L; Maybank, S</t>
  </si>
  <si>
    <t>Multiple human tracking in RGB-depth data: a survey</t>
  </si>
  <si>
    <t>Multiple human tracking (MHT) is a fundamental task in many computer vision applications. Appearance-based approaches, primarily formulated on RGB data, are constrained and affected by problems arising from occlusions and/or illumination variations. In recent years, the arrival of cheap RGB-depth devices has led to many new approaches to MHT, and many of these integrate colour and depth cues to improve each and every stage of the process. In this survey, the authors present the common processing pipeline of these methods and review their methodology based (a) on how they implement this pipeline and (b) on what role depth plays within each stage of it. They identify and introduce existing, publicly available, benchmark datasets and software resources that fuse colour and depth data for MHT. Finally, they present a brief comparative evaluation of the performance of those works that have applied their methods to these datasets.</t>
  </si>
  <si>
    <t>Camplani, Massimo; Paiement, Adeline; Mirmehdi, Majid; Damen, Dima; Hannuna, Sion; Burghardt, Tilo; Tao, Lili</t>
  </si>
  <si>
    <t>Saliency in images and video: a brief survey</t>
  </si>
  <si>
    <t>Salient image regions permit non-uniform allocation of computational resources. The selection of a commensurate set of salient regions is often a step taken in the initial stages of many computer vision algorithms, thereby facilitating object recognition, visual search and image matching. In this study, the authors survey the role and advancement of saliency algorithms over the past decade. The authors first offer a concise introduction to saliency. Next, the authors present a summary of saliency literature cast into their respective categories then further differentiated by their domains, computational methods, features, context and use of scale. The authors then discuss the achievements and limitations of the current state of the art. This information is augmented by an outline of the datasets and performance measures utilised as well as the computational techniques pervasive in the literature.</t>
  </si>
  <si>
    <t>Duncan, K.; Sarkar, S.</t>
  </si>
  <si>
    <t>Crowded pedestrian counting at bus stops from perspective transformations of foreground areas</t>
  </si>
  <si>
    <t>Automated bus fleet scheduling and dispatch require an accurate measurements of current passenger demand. This study presents an effective holistic approach for estimating the number of people waiting at regular open bus stops by means of image processing. This is a non-trivial problem because of several varying conditions that complicate the detection process, such as illumination, crowdedness and different people poses, to name a few. The proposed method estimates the pedestrian count using measurements of foreground areas corrected by perspective. Four approaches are evaluated to find the best mapping between the area measurements and the people count. These mappings include two parametric (standard linear regression model, linear discriminant analysis) and two non-parametric (probabilistic neural network, k-nearest neighbours) approaches. This study also evaluates the performance of the algorithm when thermal and panoramic catadioptric cameras are used instead of standard perspective colour cameras. The proposed method is shown to yield better pedestrian count estimates than those obtained using milestone detectors, and requires model fitting procedures than can be easily implemented without requiring very large datasets for proper classifier training. The approach can also be employed to count people in other public spaces, such as buildings and crosswalks.</t>
  </si>
  <si>
    <t>Garcia-Bunster, G.; Torres-Torriti, M.; Oberli, C.</t>
  </si>
  <si>
    <t>Facial video-based detection of physical fatigue for maximal muscle activity</t>
  </si>
  <si>
    <t>Physical fatigue reveals the health condition of a person at, for example, health checkup, fitness assessment, or rehabilitation training. This study presents an efficient non-contact system for detecting non-localised physical fatigue from maximal muscle activity using facial videos acquired in a realistic environment with natural lighting where subjects were allowed to voluntarily move their head, change their facial expression, and vary their pose. The proposed method utilises a facial feature point tracking method by combining a good feature to track' and a supervised descent method' to address the challenges that originate from realistic scenario&lt;?show [AQ ID=Q1]?&gt;. A face quality assessment system was also incorporated in the proposed system to reduce erroneous results by discarding low quality faces that occurred in a video sequence due to problems in realistic lighting, head motion, and pose variation. Experimental results show that the proposed system outperforms video-based existing system for physical fatigue detection.</t>
  </si>
  <si>
    <t>Haque, Mohammad A.; Irani, Ramin; Nasrollahi, Kamal; Moeslund, Thomas B.</t>
  </si>
  <si>
    <t>Survey on deep learning methods in human action recognition</t>
  </si>
  <si>
    <t>A study on one of the most important issues in a human action recognition task, i.e. how to create proper data representations with a high-level abstraction from large dimensional noisy video data, is carried out. Most of the recent successful studies in this area are mainly focused on deep learning. Deep learning methods have gained superiority to other approaches in the field of image recognition. In this survey, the authors first investigate the role of deep learning in both image and video processing and recognition. Owing to the variety and plenty of deep learning methods, the authors discuss them in a comparative form. For this purpose, the authors present an analytical framework to classify and to evaluate these methods based on some important functional measures. Furthermore, a categorisation of the state-of-the-art approaches in deep learning for human action recognition is presented. The authors summarise the significantly related works in each approach and discuss their performance.</t>
  </si>
  <si>
    <t>Koohzadi, Maryam; Charkari, Nasrollah Moghadam</t>
  </si>
  <si>
    <t>Evaluation of two-part algorithms for objects' depth estimation</t>
  </si>
  <si>
    <t>During the last decade, a wealth of research was devoted to building integrated vision systems capable of both recognising objects and providing their spatial information. Object recognition and pose estimation are among the most popular and challenging tasks in computer vision. Towards this end, in this work the authors propose a novel algorithm for objects' depth estimation. Moreover, they comparatively study two common two-part approaches, namely the scale invariant feature transform SIFT and the speeded-up robust features algorithm, in the particular application of location assignment of an object in a scene relatively to the camera, based on the proposed algorithm. Experimental results prove the authors' claim that an accurate estimation of objects' depth in a scene can be obtained by taking into account extracted features' distribution over the target's surface.</t>
  </si>
  <si>
    <t>Kouskouridas, R.; Gasteratos, A.; Badekas, E.</t>
  </si>
  <si>
    <t>Performance evaluation of local features in human classification and detection</t>
  </si>
  <si>
    <t>Detecting pedestrians accurately is the first fundamental step for many computer vision applications such as video surveillance, smart vehicles, intersection traffic analysis and so on. The authors present an experimental study on pedestrian detection using state-of-the-art local feature extraction and support vector machine (SVM) classifiers. The performance of pedestrian detection using region covariance, histogram of oriented gradients ( HOG) and local receptive fields (LRF) feature descriptors is experimentally evaluated. The experiments are performed on the DaimlerChrysler benchmarking data set, the MIT CBCL data set and 'Intitut National de Recherche en Informatique et Automatique (INRIA) data set. All can be publicly accessed. The experimental results show that region covariance features with radial basis function kernel SVM and HOG features with quadratic kernel SVM outperform the combination of LRF features with quadratic kernel SVM. Furthermore, the results reveal that both covariance and HOG features perform very well in the context of pedestrian detection.</t>
  </si>
  <si>
    <t>Paisitkriangkrai, S.; Shen, C.; Zhang, J.</t>
  </si>
  <si>
    <t>Special Issue on Unsupervised Feature Learning for Vision</t>
  </si>
  <si>
    <t>Zhang, Shengping; Zhang, Baochang; Ye, Qixiang</t>
  </si>
  <si>
    <t>Hyperspectral anomaly detection using differential image</t>
  </si>
  <si>
    <t>A hyperspectral anomaly detector, which uses the benefits of a proposed background feature extraction method and the kernel trick, is introduced in this study. The proposed method is differential image based detector (DID). The DID method uses the differential image to estimate the variations of background in the feature extraction phase. The proposed feature extraction method slows the variations of background. So, it suppresses the background signal and highlights the anomalous signal. The separation between anomalous targets and background clutter is increased in the projected feature space. Before feeding the transformed data into the Reed-Xiaoli (RX) detector, the kernel learning method is applied. The kernel technique transforms the projected data with a linear non-Gaussian model to a potentially high-dimensional feature space with the non-linear Gaussian domain. Experiments are conducted on two real hyperspectral images. The experimental results indicate that the proposed DID method outperforms RX and some state-of-the-art anomaly detection approaches.</t>
  </si>
  <si>
    <t>Imani, Maryam</t>
  </si>
  <si>
    <t>Multi-scale deep neural network for salient object detection</t>
  </si>
  <si>
    <t>Salient object detection is a fundamental problem and has been received a great deal of attention in computer vision. Recently, deep learning model became a powerful tool for image feature extraction. In this study, the authors propose a multi-scale deep neural network (MSDNN) for salient object detection. The proposed model first extracts global high-level features and context information over the whole source image with the recurrent convolutional neural network. Then several stacked deconvolutional layers are adopted to get the multi-scale feature representation and obtain a series of saliency maps. Finally, the authors investigate a fusion convolution module to build a final pixel level saliency map. The proposed model is extensively evaluated on six salient object detection benchmark datasets. Results show that the authors' deep model significantly outperforms other 12 state-of-the-art approaches.</t>
  </si>
  <si>
    <t>Xiao, Fen; Deng, Wenzheng; Peng, Liangchan; Cao, Chunhong; Hu, Kai; Gao, Xieping</t>
  </si>
  <si>
    <t>The use of attention and spatial information for rapid facial recognition in video</t>
  </si>
  <si>
    <t>Bottom-up visual attention allows primates to quickly select regions of an image that contain salient objects. In artificial systems. restricting the task of object recognition to these regions allows faster recognition and Unsupervised learning of multiple objects in cluttered scenes. A problem with this approach is that objects superficially dissimilar to the target are given the same consideration in recognition as similar objects. In video, objects recognized in previous frames at locations distant to the current fixation point are given the same consideration in recognition as objects previously recognized in locations closer to the Current target of attention. Due to the continuity of smooth motion, objects recently recognized in previous frames at locations close to the current focus of attention have a high probability of matching the current target. Here we investigate rapid pruning of the facial recognition search space using the already-computed low-level features that guide attention and spatial information derived from previous video frames. For each video frame, Itti &amp; Koch's bottom-up visual attention algorithm is used to select salient locations based on low-level features such as contrast, orientation, color, intensity, flicker and motion. This algorithm has shown to be highly effective in selecting faces as salient objects. Lowe's SIFT object recognition algorithm then extracts a signature of the attended object. for comparison with the facial database. The database search is prioritized for faces which better match the low-level features used to guide attention to the current candidate for recognition or those that were previously recognized near the current candidate's location. The SIFT signatures of the prioritized faces are then checked against the attended candidate for a match. By comparing performance of Lowe's recognition algorithm and Itti &amp; Koch's bottom-up attention model with or without search space pruning we demonstrate that Our pruning approach improves the speed of facial recognition in video footage. (c) 2005 Elsevier B.V. All rights reserved.</t>
  </si>
  <si>
    <t>Bonaiuto, J.; Itti, L.</t>
  </si>
  <si>
    <t>Negative results in computer vision: A perspective</t>
  </si>
  <si>
    <t>A negative result is when the outcome of an experiment or a model is not what is expected or when a hypothesis does not hold. Despite being often overlooked in the scientific community, negative results are results and they carry value. While this topic has been extensively discussed in other fields such as social sciences and biosciences, less attention has been paid to it in the computer vision community. The unique characteristics of computer vision, particularly its experimental aspect, call for a special treatment of this matter. In this manuscript, I will address what makes negative results important, how they should be disseminated and incentivized, and what lessons can be learned from cognitive vision research in this regard. Further, I will discuss matters such as experimental design, statistical hypothesis testing, explanatory versus predictive modeling, performance evaluation, model comparison, reproducibility of findings, the confluence of computer vision and human vision, as well as computer vision research culture. (C) 2017 Elsevier B.V. All rights reserved.</t>
  </si>
  <si>
    <t>Borji, Ali</t>
  </si>
  <si>
    <t>Minimum Bayes error features for visual recognition</t>
  </si>
  <si>
    <t>The design of optimal feature sets for visual classification problems is still one of the most challenging topics in the area of computer vision. In this work, we propose a new algorithm that computes optimal features, in the minimum Bayes error sense, for visual recognition tasks. The algorithm now proposed combines the fast convergence rate of feature selection (FS) procedures with the ability of feature extraction (FE) methods to uncover optimal features that are not part of the original basis function set. This leads to solutions that are better than those achievable by either FE or FS alone, in a small number of iterations, making the algorithm scalable in the number of classes of the recognition problem. This property is currently only available for feature extraction methods that are either sub-optimal or optimal under restrictive assumptions that do not hold for generic imagery. Experimental results show significant improvements over these methods, either through much greater robustness to local minima or by achieving significantly faster convergence. (C) 2006 Elsevier B.V. All rights reserved.</t>
  </si>
  <si>
    <t>Carneiro, Gustavo; Vasconcelos, Nuno</t>
  </si>
  <si>
    <t>Stereo vision during adverse weather - Using priors to increase robustness in real-time stereo vision</t>
  </si>
  <si>
    <t>Stereo vision can deliver a dense 3D reconstruction of the environment in real-time for driver assistance as well as autonomous driving. Semi-Global Matching (SGM) is a popular method of choice for solving this task which is already in use for production vehicles. Despite the enormous progress in the field and the high level of performance of modern stereo methods, one key challenge remains: robust stereo vision in automotive scenarios during rain, snow and darkness. Under these circumstances, current methods generate strong temporal noise, many disparity outliers and false positives on object level. These problems are addressed in this work by regularizing stereo vision via prior information. We formulate a temporal prior and a scene prior, which we apply to SGM in order to overcome the deficiencies. The temporal prior integrates knowledge from the previous disparity map to exploit the high temporal correlation, the scene prior exploits knowledge of a representative traffic scene. Using these priors, the object detection rate improves significantly on a driver assistance dataset of 3000 frames including bad weather while reducing the rate of erroneous object detections. We also outperform the ECCV Robust Vision Challenge 2012 winner, iSGM, on this dataset. In addition, results are presented for the KITTI dataset, even showing improvements under good weather conditions when exploiting the temporal prior.We also show that the temporal and scene priors are easy and efficient to implement on a hybrid CPU/reconfigurable hardware platform. The use of these priors can be extended to other application areas such as mobile robotics. (C) 2017 Elsevier B.V. All rights reserved.</t>
  </si>
  <si>
    <t>Gehrig, Stefan; Schneider, Nicolai; Stalder, Reto; Franke, Uwe</t>
  </si>
  <si>
    <t>Robust pedestrian detection and tracking in crowded scenes</t>
  </si>
  <si>
    <t>in this paper, a robust computer vision approach to detecting and tracking pedestrians in unconstrained crowded scenes is presented. Pedestrian detection is performed via a 3D clustering process within a region-growing framework. The clustering process avoids using hard thresholds by using bio-metrically inspired constraints and a number of plan-view statistics. Pedestrian tracking is achieved by formulating the track matching process as a weighted bipartite graph and using a Weighted Maximum Cardinality Matching scheme. The approach is evaluated using both indoor and outdoor sequences, captured using a variety of different camera placements and orientations, that feature significant challenges in terms of the number of pedestrians present, their interactions and scene lighting conditions. The evaluation is performed against a manually generated groundtruth for all sequences. Results point to the extremely accurate performance of the proposed approach in all cases. (C) 2008 Elsevier B.V. All rights reserved.</t>
  </si>
  <si>
    <t>Kelly, Philip; O'Connor, Noel E.; Smeaton, Alan F.</t>
  </si>
  <si>
    <t>Ontology based complex object recognition</t>
  </si>
  <si>
    <t>This paper presents a new approach for object categorization involving the following aspects of cognitive vision: learning, recognition and knowledge representation. A major element of our approach is a visual concept ontology composed of several types of concepts (spatial concepts and relations, color concepts and texture concepts). Visual concepts contained in this ontology can be seen as an intermediate layer between domain knowledge and image processing procedures. Machine learning techniques are used to solve the symbol grounding problem (i.e. linking meaningfully symbols to sensory information). This paper shows, how a new object categorization system is set up by a knowledge acquisition and learning phase and then used by an object categorization phase. (c) 2006 Elsevier B.V. All rights reserved.</t>
  </si>
  <si>
    <t>Maillot, Nicolas Eric; Thonnat, Monique</t>
  </si>
  <si>
    <t>Distances evolution analysis for online and off-line human object interaction recognition</t>
  </si>
  <si>
    <t>Human action recognition in 3D sequences is one of the most challenging and active areas of research in the computer vision domain. However designing automatic systems that are robust to significant variability due to object combinations and high complexity of human motions is more challenging in addition to the typical requirements such as rotation, translation, and scale invariance is challenging task. In this paper, we propose a spatio-temporal modeling of human-object interaction videos for online and off-line recognition. The inter-joint distances and the object are considered as low-level features for online classification. For off-line recognition, we propose rate-invariant classification of full video and early recognition. A shape analysis of trajectories of the inter-joint and object-joints distances is proposed for this end. The experiments conducted following state-of-the-art settings using MSR Daily Activity 3D Dataset and Online RGBD Action Dataset and on a new multi-view dataset for human object interaction demonstrate that the proposed approach is effective and discriminative for human object interaction classification as demonstrated here. (C) 2017 Elsevier B.V. All rights reserved.</t>
  </si>
  <si>
    <t>Meng, Meng; Drira, Hassen; Boonaert, Jacques</t>
  </si>
  <si>
    <t>The challenge of simultaneous object detection and pose estimation: A comparative study</t>
  </si>
  <si>
    <t>Detecting objects and estimating their pose remains as one of the major challenges of the computer vision research community. There exists a compromise between localizing the objects and estimating their viewpoints. The detector ideally needs to be view-invariant, while the pose estimation process should be able to generalize towards the category-level. This work is an exploration of using deep learning models for solving both problems simultaneously. For doing so, we propose three novel deep learning architectures, which are able to perform a joint detection and pose estimation, where we gradually decouple the two tasks. We also investigate whether the pose estimation problem should be solved as a classification or regression problem, being this still an open question in the computer vision community. We detail a comparative analysis of all our solutions and the methods that currently define the state of the art for this problem. We use PASCAL3D+ and ObjectNet3D datasets to present the thorough experimental evaluation and main results. With the proposed models we achieve the state-of-the-art performance in both datasets. (C) 2018 Elsevier B.V. All rights reserved.</t>
  </si>
  <si>
    <t>Onoro-Rubio, Daniel; Lopez-Sastre, Roberto J.; Redondo-Cabrera, Carolina; Gil-Jimenez, Pedro</t>
  </si>
  <si>
    <t>A review of recent range image registration methods with accuracy evaluation</t>
  </si>
  <si>
    <t>The three-dimensional reconstruction of real objects is an important topic in computer vision. Most of the acquisition systems are limited to reconstruct a partial view of the object obtaining in blind areas and occlusions, while in most applications a full reconstruction is required. Many authors have proposed techniques to fuse 3D surfaces by determining the motion between the different views. The first problem is related to obtaining a rough registration when such motion is not available. The second one is focused on obtaining a fine registration from an initial approximation. In this paper, a survey of the most common techniques is presented. Furthermore, a sample of the techniques has been programmed and experimental results are reported to determine the best method in the presence of noise and outliers, providing a useful guide for an interested reader including a Matlab toolbox available at the webpage of the authors. (c) 2006 Elsevier B.V. All rights reserved.</t>
  </si>
  <si>
    <t>Salvi, Joaquim; Matabosch, Carles; Fofi, David; Forest, Josep</t>
  </si>
  <si>
    <t>Effective and efficient human action recognition using dynamic frame skipping and trajectory rejection</t>
  </si>
  <si>
    <t>Human action recognition (HAR) is a core technology for human-computer interaction and video understanding, attracting significant research and development attention in the field of computer vision. However, in uncontrolled environments, achieving effective HAR is still challenging, due to the widely varying nature of video content. In previous research efforts, trajectory-based video representations have been widely used for HAR. Although these approaches show state-of-the-art HAR performance for various datasets, issues like a high computational complexity and the presence of redundant trajectories still need to be addressed in order to solve the problem of real-world HAR. In this paper, we propose a novel method for HAR, integrating a technique for rejecting redundant trajectories that are mainly originating from camera movement, without degrading the effectiveness of HAR. Furthermore, in order to facilitate efficient optical flow estimation prior to trajectory extraction, we integrate a technique for dynamic frame skipping. As a result, we only make use of a small subset of the frames present in a video clip for optical flow estimation. Comparative experiments with five publicly available human action datasets show that the proposed method outperforms state-of-the-art HAR approaches in terms of effectiveness, while simultaneously mitigating the computational complexity. (C) 2016 Elsevier B.V. All rights reserved.</t>
  </si>
  <si>
    <t>Seo, Jeong-Jik; Kim, Hyung-Il; De Neve, Wesley; Ro, Yong Man</t>
  </si>
  <si>
    <t>A survey of multimodal sentiment analysis</t>
  </si>
  <si>
    <t>Sentiment analysis aims to automatically uncover the underlying attitude that we hold towards an entity. The aggregation of these sentiments over a population represents opinion polling and has numerous applications. Current text-based sentiment analysis relies on the construction of dictionaries and machine learning models that learn sentiment from large text corpora. Sentiment analysis from text is currently widely used for customer satisfaction assessment and brand perception analysis, among others. With the proliferation of social media, multimodal sentiment analysis is set to bring new opportunities with the arrival of complementary data streams for improving and going beyond text-based sentiment analysis. Since sentiment can be detected through affective traces it leaves, such as facial and vocal displays, multimodal sentiment analysis offers promising avenues for analyzing facial and vocal expressions in addition to the transcript or textual content. These approaches leverage emotion recognition and context inference to determine the underlying polarity and scope of an individual's sentiment. In this survey, we define sentiment and the problem of multimodal sentiment analysis and review recent developments in multimodal sentiment analysis in different domains, including spoken reviews, images, video blogs, human machine and human human interactions. Challenges and opportunities of this emerging field are also discussed, leading to our thesis that multimodal sentiment analysis holds a significant untapped potential. (C) 2017 Elsevier B.V. All rights reserved.</t>
  </si>
  <si>
    <t>Soleymani, Mohammad; Garcia, David; Jou, Brendan; Schuller, Bjoern; Chang, Shih-Fu; Pantic, Maja</t>
  </si>
  <si>
    <t>Contour detection based on contextual influences</t>
  </si>
  <si>
    <t>A contour detection model, inspired by the behavior of the primary visual cortex, is presented. The response of a central stimulus in the receptive field is affected by the presence of surrounding stimuli - for some stimulus conditions, the response is suppressed and for other conditions the response is enhanced. The visual mechanisms of contextual influences are utilized to extract "coherent" configurations. This is mainly due to the following two reasons: (1) on the one hand, a smooth contour can yield collinear excitation, which highlights smooth contours from irregularly textured surround; (2) on the other hand, similar orientation textures receive iso-orientation surround suppression and region boundary is subjected to the less inhibition, which makes boundary more salient for perceptual pop-out. Accordingly, smooth contours progressively stand out from their surround and at the same time textures are gradually suppressed by their surround through dynamic fine-tuning of contextual information. The proposed method which distinguishes between contours and texture edges is more effective for contour-based object recognition tasks. Initial experiments show that the model can be successfully applied to contour detection. Especially, when object contours are lumped together with unwantedly cluttered surround, the advantage of our approach is more prominent. This study provides a biological scheme for contour detection in computer vision. (c) 2006 Elsevier B.V. All rights reserved.</t>
  </si>
  <si>
    <t>Tang, Qiling; Sang, Nong; Zhang, Tianxu</t>
  </si>
  <si>
    <t>Real-time object recognition on image sequences with the adaptable time delay neural network algorithm - applications for autonomous vehicles</t>
  </si>
  <si>
    <t>Within the framework of the vision-based "Intelligent Stop&amp;Go" driver assistance system for both the motorway and the inner city environment, we present a system for segmentation-free detection of overtaking vehicles and estimation of ego-position on motorways as well as a system for the recognition of pedestrians in the inner city traffic scenario. Both systems are running in real-time in the test vehicle UTA of the DaimlerChrysler computer vision lab, relying on the adaptable time delay neural network (ATDNN) algorithm. For object recognition, this neural network processes complete image sequences at a time instead of single images, as it is the case in most conventional neural algorithms. The results are promising in that using the ATDNN algorithm, we are able to perform the described recognition tasks in a large variety of real-world scenarios in a computationally highly efficient and rather robust and reliable manner. (C) 2001 Elsevier Science Ltd All rights reserved.</t>
  </si>
  <si>
    <t>Wohler, C; Anlauf, JK</t>
  </si>
  <si>
    <t>Action recognition by joint learning</t>
  </si>
  <si>
    <t>Due to the promising applications including video surveillance, video annotation, and interaction gaming, human action recognition from videos has attracted much research interest. Although various works have been proposed for human action recognition, there still exist many challenges such as illumination condition, viewpoint, camera motion and cluttered background. Extracting discriminative representation is one of the main ways to handle these challenges. In this paper, we propose a novel action recognition method that simultaneously learns middle-level representation and classifier by jointly training a multinomial logistic regression (MLR) model and a discriminative dictionary. In the proposed method, sparse code of low-level representation, conducting as latent variables of MLR, can capture the structure of low-level feature and thus is more discriminate. Meanwhile, the training of dictionary and MLR model are integrated into one objective function for considering the information of categories. By optimizing this objective function, we can learn a discriminative dictionary modulated by MLR and a MLR model driven by sparse coding. The proposed method is evaluated on YouTube action dataset and HMDB51 dataset. Experimental results demonstrate that our method is comparable with mainstream methods. (C) 2016 Elsevier B.V. All rights reserved.</t>
  </si>
  <si>
    <t>Yuan, Yuan; Qi, Lei; Lu, Xiaoqiang</t>
  </si>
  <si>
    <t>From handcrafted to learned representations for human action recognition: A survey</t>
  </si>
  <si>
    <t>Human action recognition is an important branch among the studies of both human perception and computer vision systems. Along with the development of artificial intelligence, deep learning techniques have gained remarkable reputation when dealing with image categorization tasks (e.g., object detection and classification). However, since human actions normally present in the form of sequential image frames, analyzing human action data requires significantly increased computational power than still images when deep learning techniques are employed. Such a challenge has been the bottleneck for the migration of learning based image representation techniques to action sequences, so that the old fashioned handcrafted human action representations are still widely used for human action recognition tasks. On the other hand, since handcrafted representations are usually ad-hoc and overfit to specific data, they are incapable of being generalized to deal with various realistic scenarios. Consequently, resorting to deep learning action representations for human action recognition tasks is eventually a natural option. In this work, we provide a detailed overview of recent advancements in human action representations. As the first survey that covers both handcrafted and learning-based action representations, we explicitly discuss the superiorities and limitations of exiting techniques from both kinds. The ultimate goal of this survey is to provide comprehensive analysis and comparisons between learning-based and handcrafted action representations respectively, so as to inspire action recognition researchers towards the study of both kinds of representation techniques. (C) 2016 Elsevier B.V. All rights reserved.</t>
  </si>
  <si>
    <t>Zhu, Fan; Shao, Ling; Xie, Jin; Fang, Yi</t>
  </si>
  <si>
    <t>Learning and understanding dynamic scene activity: a review</t>
  </si>
  <si>
    <t>We are entering an era of more intelligent cognitive vision systems. Such systems can analyse activity in dynamic scenes to compute conceptual descriptions from motion trajectories of moving people and the objects they interact with. Here we review progress in the development of flexible, generative models that can explain visual input as a combination of hidden variables and can adapt to new types of input. Such models are particularly appropriate for the tasks posed by cognitive vision as they incorporate learning as well as having sufficient structure to represent a general class of problems. In addition, generative models explain all aspects of the input rather than attempting to ignore irrelevant sources of variation as in exemplar-based learning. Applications of these models in visual interaction for education, smart rooms and cars, as well as surveillance systems is also briefly reviewed. (C) 2002 Elsevier Science B.V. All rights reserved.</t>
  </si>
  <si>
    <t>Buxton, H</t>
  </si>
  <si>
    <t>Redes neuronales profundas y convolucionales</t>
  </si>
  <si>
    <t>Stochastic Gradient Descent</t>
  </si>
  <si>
    <t>Discriminative classifier (Ada-
Boost).</t>
  </si>
  <si>
    <t>Bases de datos: Caltech, KAIST, INRIA, ETH, KITTI, Cityscapes, CityPersons</t>
  </si>
  <si>
    <t>Detección de peatones</t>
  </si>
  <si>
    <t>Se presenta un framework que combina un método de auto-anotación con un detector TS-RPN para lograr el aprendizaje supervisado en la detección de peatones con imágenes con 4 espectros</t>
  </si>
  <si>
    <t>Orientación para exteriores pero aún se requiere trabajo para circunstancias de lluvia, niebla, entre otros.</t>
  </si>
  <si>
    <t>Pedestrian detection with unsupervised multispectral feature learning using deep neural networks</t>
  </si>
  <si>
    <t>Multispectral pedestrian detection is an important functionality in various computer vision applications such as robot sensing, security surveillance, and autonomous driving. In this paper, our motivation is to automatically adapt a generic pedestrian detector trained in a visible source domain to a new multispectral target domain without any manual annotation efforts. For this purpose, we present an auto-annotation framework to iteratively label pedestrian instances in visible and thermal channels by leveraging the complementary information of multispectral data. A distinct target is temporally tracked through image sequences to generate more confident labels. The predicted pedestrians in two individual channels are merged through a label fusion scheme to generate multispectral pedestrian annotations. The obtained annotations are then fed to a two-stream region proposal network (TS-RPN) to learn the multispectral features on both visible and thermal images for robust pedestrian detection. Experimental results on KAIST multispectral dataset show that our proposed unsupervised approach using auto-annotated training data can achieve performance comparable to state-of-the-art deep neural networks (DNNs) based pedestrian detectors trained using manual labels.</t>
  </si>
  <si>
    <t>Cao, Yanpeng; Guan, Dayan; Huang, Weilin; Yang, Jiangxin; Cao, Yanlong; Qiao, Yu</t>
  </si>
  <si>
    <t>APPLICATION OF FLEXIBLE EDGE MATCHING ALGORITHM IN THE FIELD OF MOVING OBJECT DETECTION</t>
  </si>
  <si>
    <t>Moving object detection is an important branch and foundation of computer vision; it has extensive application prospects in many fields, such as, traffic, military application, industries and bio-medical, et al, and becomes a hot research topic in computer vision field. Because of its inherent complexity, moving object detection still faces lots of challenges. In this paper, based on the existing research achievements, the methods of moving object detection in dynamic environment are studied deeply, a knowledge-based flexible edge matching algorithm is put forward. The effectiveness of the proposed matching algorithm in moving object detection is also demonstrated. The research results here can be provided as the reference for target detection and tracking and some other applications.</t>
  </si>
  <si>
    <t>Zhao, L. X.; Su, Q.; Liu, H.; Peng, H.</t>
  </si>
  <si>
    <t>Learning Photometric Invariance for Object Detection</t>
  </si>
  <si>
    <t>Color is a powerful visual cue in many computer vision applications such as image segmentation and object recognition. However, most of the existing color models depend on the imaging conditions that negatively affect the performance of the task at hand. Often, a reflection model (e.g., Lambertian or dichromatic reflectance) is used to derive color invariant models. However, this approach may be too restricted to model real-world scenes in which different reflectance mechanisms can hold simultaneously.Therefore, in this paper, we aim to derive color invariance by learning from color models to obtain diversified color invariant ensembles. First, a photometrical orthogonal and non-redundant color model set is computed composed of both color variants and invariants. Then, the proposed method combines these color models to arrive at a diversified color ensemble yielding a proper balance between invariance (repeatability) and discriminative power (distinctiveness). To achieve this, our fusion method uses a multi-view approach to minimize the estimation error. In this way, the proposed method is robust to data uncertainty and produces properly diversified color invariant ensembles. Further, the proposed method is extended to deal with temporal data by predicting the evolution of observations over time.Experiments are conducted on three different image datasets to validate the proposed method. Both the theoretical and experimental results show that the method is robust against severe variations in imaging conditions. The method is not restricted to a certain reflection model or parameter tuning, and outperforms state-of-the-art detection techniques in the field of object, skin and road recognition. Considering sequential data, the proposed method (extended to deal with future observations) outperforms the other methods.</t>
  </si>
  <si>
    <t>Alvarez, Jose M.; Gevers, Theo; Lopez, Antonio M.</t>
  </si>
  <si>
    <t>A Study of Parts-Based Object Class Detection Using Complete Graphs</t>
  </si>
  <si>
    <t>Object detection is one of the key components in modern computer vision systems. While the detection of a specific rigid object under changing viewpoints was considered hard just a few years ago, current research strives to detect and recognize classes of non-rigid, articulated objects. Hampered by the omnipresent confusing information due to clutter and occlusion, the focus has shifted from holistic approaches for object detection to representations of individual object parts linked by structural information, along with richer contextual descriptions of object configurations. Along this line of research, we present a practicable and expandable probabilistic framework for parts-based object class representation, enabling the detection of rigid and articulated object classes in arbitrary views. We investigate learning of this representation from labelled training images and infer globally optimal solutions to the contextual MAP-detection problem, using A (*)-search with a novel lower-bound as admissible heuristic. An assessment of the inference performance of Belief-Propagation and Tree-Reweighted Belief Propagation is obtained as a by-product. The generality of our approach is demonstrated on four different datasets utilizing domain dependent information cues.</t>
  </si>
  <si>
    <t>Bergtholdt, Martin; Kappes, Joerg; Schmidt, Stefan; Schnoerr, Christoph</t>
  </si>
  <si>
    <t>Active object recognition: Looking for differences</t>
  </si>
  <si>
    <t>This paper introduces an information-based methodology for view selection that actively exploits prior knowledge about the objects to be found in a scene. The methodology is used to implement an active recognition strategy which effectively puts prior constraints from the object database into the gaze control (planning) loop. Theoretical results are presented and discussed along with promising experimental data.</t>
  </si>
  <si>
    <t>Callari, FG; Ferrie, FP</t>
  </si>
  <si>
    <t>SoftPOSIT: Simultaneous pose and correspondence determination</t>
  </si>
  <si>
    <t>The problem of pose estimation arises in many areas of computer vision, including object recognition, object tracking. site inspection and updating, and autonomous navigation when scene models are available. We present a new algorithm, called SoftPOSIT, for determining the pose of a 3D object from a single 2D image when correspondences between object points and image points are not known. The algorithm combines the iterative softassign algorithm (Gold and Rangarajan, 1996; Gold et al., 1998) for computing correspondences and the iterative POSIT algorithm (DeMenthon and Davis, 1995) for computing object pose under a full-perspective camera model. Our algorithm, unlike most previous algorithms for pose determination, does not have to hypothesize small sets of matches and then verify the remaining image points. Instead, all possible matches are treated identically throughout the search for an optimal pose. The performance of the algorithm is extensively evaluated in Monte Carlo simulations on synthetic data under a variety of levels of clutter, occlusion, and image noise. These tests show that the algorithm performs well in a variety of difficult scenarios, and empirical evidence suggests that the algorithm has an asymptotic run-time complexity that is better than previous methods by a factor of the number of image points. The algorithm is being applied to a number of practical autonomous vehicle navigation problems including the registration of 3D architectural models of a city to images, and the docking of small robots onto larger robots.</t>
  </si>
  <si>
    <t>David, P; Dementhon, D; Duraiswami, R; Samet, H</t>
  </si>
  <si>
    <t>A Regularized Framework for Feature Selection in Face Detection and Authentication</t>
  </si>
  <si>
    <t>This paper proposes a general framework for selecting features in the computer vision domain-i.e., learning descriptions from data-where the prior knowledge related to the application is confined in the early stages. The main building block is a regularization algorithm based on a penalty term enforcing sparsity. The overall strategy we propose is also effective for training sets of limited size and reaches competitive performances with respect to the state-of-the-art. To show the versatility of the proposed strategy we apply it to both face detection and authentication, implementing two modules of a monitoring system working in real time in our lab. Aside from the choices of the feature dictionary and the training data, which require prior knowledge on the problem, the proposed method is fully automatic. The very good results obtained in different applications speak for the generality and the robustness of the framework.</t>
  </si>
  <si>
    <t>Destrero, Augusto; De Mol, Christine; Odone, Francesca; Verri, Alessandro</t>
  </si>
  <si>
    <t>Shape-Based Object Localization for Descriptive Classification</t>
  </si>
  <si>
    <t>Discriminative tasks, including object categorization and detection, are central components of high-level computer vision. However, sometimes we are interested in a finer-grained characterization of the object's properties, such as its pose or articulation. In this paper we develop a probabilistic method (LOOPS) that can learn a shape and appearance model for a particular object class, and be used to consistently localize constituent elements (landmarks) of the object's outline in test images. This localization effectively projects the test image into an alternative representational space that makes it particularly easy to perform various descriptive tasks. We apply our method to a range of object classes in cluttered images and demonstrate its effectiveness in localizing objects and performing descriptive classification, descriptive ranking, and descriptive clustering.</t>
  </si>
  <si>
    <t>Heitz, Geremy; Elidan, Gal; Packer, Benjamin; Koller, Daphne</t>
  </si>
  <si>
    <t>Using biologically inspired features for face processing</t>
  </si>
  <si>
    <t>In this paper, we show that a new set of visual features, derived from a feed-forward model of the primate visual object recognition pathway proposed by Riesenhuber and Poggio (R&amp;P Model) (Nature Neurosci. 2(11):10191025, 1999) is capable of matching the performance of some of the best current representations for face identification and facial expression recognition. Previous work has shown that the Riesenhuber and Poggio Model features can achieve a high level of performance on object recognition tasks (Serre, T., et al. in IEEE Comput. Vis. Pattern Recognit. 2:994-1000, 2005). Here we modify the R&amp;P model in order to create a new set of features useful for face identification and expression recognition. Results from tests on the FERET, ORL and AR datasets show that these features are capable of matching and sometimes outperforming other top visual features such as local binary patterns (Ahonen, T., et al. in 8th European Conference on Computer Vision, pp. 469-481, 2004) and histogram of gradient features (Dalal, N., Triggs, B. in International Conference on Computer Vision &amp; Pattern Recognition, pp. 886-893, 2005). Having a model based on shared lower level features, and face and object recognition specific higher level features, is consistent with findings from electrophysiology and functional magnetic resonance imaging experiments. Thus, our model begins to address the complete recognition problem in a biologically plausible way.</t>
  </si>
  <si>
    <t>Meyers, Ethan; Wolf, Lior</t>
  </si>
  <si>
    <t>Programmable imaging: Towards a flexible camera</t>
  </si>
  <si>
    <t>In this paper, we introduce the notion of a programmable imaging system. Such an imaging system provides a human user or a vision system significant control over the radiometric and geometric characteristics of the system. This flexibility is achieved using a programmable array of micro-mirrors. The orientations of the mirrors of the array can be controlled with high precision over space and time. This enables the system to select and modulate rays from the scene's light field based on the needs of the application at hand.We have implemented a programmable imaging system that uses a digital micro-mirror device (DMD), which is used in digital light processing. Although the mirrors of this device can only be positioned in one of two states, we show that our system can be used to implement a wide variety of imaging functions, including, high dynamic range imaging, feature detection, and object recognition. We also describe how a micro-mirror array that allows full control over the orientations of its mirrors can be used to instantly change the field of view and resolution characteristics of the imaging system. We conclude with a discussion on the implications of programmable imaging for computer vision.</t>
  </si>
  <si>
    <t>Nayar, Shree K.; Branzoi, Vlad; Boult, Terry E.</t>
  </si>
  <si>
    <t>Learning Mutual Visibility Relationship for Pedestrian Detection with a Deep Model</t>
  </si>
  <si>
    <t>Detecting pedestrians in cluttered scenes is a challenging problem in computer vision. The difficulty is added when several pedestrians overlap in images and occlude each other. We observe, however, that the occlusion/visibility statuses of overlapping pedestrians provide useful mutual relationship for visibility estimation-the visibility estimation of one pedestrian facilitates the visibility estimation of another. In this paper, we propose a mutual visibility deep model that jointly estimates the visibility statuses of overlapping pedestrians. The visibility relationship among pedestrians is learned from the deep model for recognizing co-existing pedestrians. Then the evidence of co-existing pedestrians is used for improving the single pedestrian detection results. Compared with existing image-based pedestrian detection approaches, our approach has the lowest average miss rate on the Caltech-Train dataset and the ETH dataset. Experimental results show that the mutual visibility deep model effectively improves the pedestrian detection results. The mutual visibility deep model leads to 6-15 % improvements on multiple benchmark datasets.</t>
  </si>
  <si>
    <t>Ouyang, Wanli; Zeng, Xingyu; Wang, Xiaogang</t>
  </si>
  <si>
    <t>Attention Based Detection and Recognition of Hand Postures Against Complex Backgrounds</t>
  </si>
  <si>
    <t>A system for the detection, segmentation and recognition of multi-class hand postures against complex natural backgrounds is presented. Visual attention, which is the cognitive process of selectively concentrating on a region of interest in the visual field, helps human to recognize objects in cluttered natural scenes. The proposed system utilizes a Bayesian model of visual attention to generate a saliency map, and to detect and identify the hand region. Feature based visual attention is implemented using a combination of high level (shape, texture) and low level (color) image features. The shape and texture features are extracted from a skin similarity map, using a computational model of the ventral stream of visual cortex. The skin similarity map, which represents the similarity of each pixel to the human skin color in HSI color space, enhanced the edges and shapes within the skin colored regions. The color features used are the discretized chrominance components in HSI, YCbCr color spaces, and the similarity to skin map. The hand postures are classified using the shape and texture features, with a support vector machines classifier. A new 10 class complex background hand posture dataset namely NUS hand posture dataset-II is developed for testing the proposed algorithm (40 subjects, different ethnicities, various hand sizes, 2750 hand postures and 2000 background images). The algorithm is tested for hand detection and hand posture recognition using 10 fold cross-validation. The experimental results show that the algorithm has a person independent performance, and is reliable against variations in hand sizes and complex backgrounds. The algorithm provided a recognition rate of 94.36 %. A comparison of the proposed algorithm with other existing methods evidences its better performance.</t>
  </si>
  <si>
    <t>Pisharady, Pramod Kumar; Vadakkepat, Prahlad; Loh, Ai Poh</t>
  </si>
  <si>
    <t>ImageNet Large Scale Visual Recognition Challenge</t>
  </si>
  <si>
    <t>The ImageNet Large Scale Visual Recognition Challenge is a benchmark in object category classification and detection on hundreds of object categories and millions of images. The challenge has been run annually from 2010 to present, attracting participation from more than fifty institutions. This paper describes the creation of this benchmark dataset and the advances in object recognition that have been possible as a result. We discuss the challenges of collecting large-scale ground truth annotation, highlight key breakthroughs in categorical object recognition, provide a detailed analysis of the current state of the field of large-scale image classification and object detection, and compare the state-of-the-art computer vision accuracy with human accuracy. We conclude with lessons learned in the 5 years of the challenge, and propose future directions and improvements.</t>
  </si>
  <si>
    <t>Russakovsky, Olga; Deng, Jia; Su, Hao; Krause, Jonathan; Satheesh, Sanjeev; Ma, Sean; Huang, Zhiheng; Karpathy, Andrej; Khosla, Aditya; Bernstein, Michael; Berg, Alexander C.; Fei-Fei, Li</t>
  </si>
  <si>
    <t>Semantic Representation and Recognition of Continued and Recursive Human Activities</t>
  </si>
  <si>
    <t>This paper describes a methodology for automated recognition of complex human activities. The paper proposes a general framework which reliably recognizes high-level human actions and human-human interactions. Our approach is a description-based approach, which enables a user to encode the structure of a high-level human activity as a formal representation. Recognition of human activities is done by semantically matching constructed representations with actual observations. The methodology uses a context-free grammar (CFG) based representation scheme as a formal syntax for representing composite activities. Our CFG-based representation enables us to define complex human activities based on simpler activities or movements. Our system takes advantage of both statistical recognition techniques from computer vision and knowledge representation concepts from traditional artificial intelligence. In the low-level of the system, image sequences are processed to extract poses and gestures. Based on the recognition of gestures, the high-level of the system hierarchically recognizes composite actions and interactions occurring in a sequence of image frames. The concept of hallucinations and a probabilistic semantic-level recognition algorithm is introduced to cope with imperfect lower-layers. As a result, the system recognizes human activities including 'fighting' and 'assault', which are high-level activities that previous systems had difficulties. The experimental results show that our system reliably recognizes sequences of complex human activities with a high recognition rate.</t>
  </si>
  <si>
    <t>Ryoo, M. S.; Aggarwal, J. K.</t>
  </si>
  <si>
    <t>Object detection using the statistics of parts</t>
  </si>
  <si>
    <t>In this paper we describe a trainable object detector and its instantiations for detecting faces and cars at any size, location, and pose. To cope with variation in object orientation, the detector uses multiple classifiers, each spanning a different range of orientation. Each of these classifiers determines whether the object is present at a specified size within a fixed-size image window. To find the object at any location and size, these classifiers scan the image exhaustively.Each classifier is based on the statistics of localized parts. Each part is a transform from a subset of wavelet coefficients to a discrete set of values. Such parts are designed to capture various combinations of locality in space, frequency, and orientation. In building each classifier, we gathered the class-conditional statistics of these part values from representative samples of object and non-object images. We trained each classifier to minimize classification error on the training set by using Adaboost with Confidence-Weighted Predictions (Shapire and Singer, 1999). In detection, each classifier computes the part values within the image window and looks up their associated class-conditional probabilities. The classifier then makes a decision by applying a likelihood ratio test. For efficiency, the classifier evaluates this likelihood ratio in stages. At each stage, the classifier compares the partial likelihood ratio to a threshold and makes a decision about whether to cease evaluation-labeling the input as non-object-or to continue further evaluation. The detector orders these stages of evaluation from a low-resolution to a high-resolution search of the image. Our trainable object detector achieves reliable and efficient detection of human faces and passenger cars with out-of-plane rotation.</t>
  </si>
  <si>
    <t>Schneiderman, H; Kanade, T</t>
  </si>
  <si>
    <t>TextonBoost for Image Understanding: Multi-Class Object Recognition and Segmentation by Jointly Modeling Texture, Layout, and Context</t>
  </si>
  <si>
    <t>This paper details a new approach for learning a discriminative model of object classes, incorporating texture, layout, and context information efficiently. The learned model is used for automatic visual understanding and semantic segmentation of photographs. Our discriminative model exploits texture-layout filters, novel features based on textons, which jointly model patterns of texture and their spatial layout. Unary classification and feature selection is achieved using shared boosting to give an efficient classifier which can be applied to a large number of classes. Accurate image segmentation is achieved by incorporating the unary classifier in a conditional random field, which (i) captures the spatial interactions between class labels of neighboring pixels, and (ii) improves the segmentation of specific object instances. Efficient training of the model on large datasets is achieved by exploiting both random feature selection and piecewise training methods.High classification and segmentation accuracy is demonstrated on four varied databases: (i) the MSRC 21-class database containing photographs of real objects viewed under general lighting conditions, poses and viewpoints, (ii) the 7-class Corel subset and (iii) the 7-class Sowerby database used in He et al. (Proceeding of IEEE Conference on Computer Vision and Pattern Recognition, vol. 2, pp. 695-702, June 2004), and (iv) a set of video sequences of television shows. The proposed algorithm gives competitive and visually pleasing results for objects that are highly textured (grass, trees, etc.), highly structured (cars, faces, bicycles, airplanes, etc.), and even articulated (body, cow, etc.).</t>
  </si>
  <si>
    <t>Shotton, Jamie; Winn, John; Rother, Carsten; Criminisi, Antonio</t>
  </si>
  <si>
    <t>A tensor approximation approach to dimensionality reduction</t>
  </si>
  <si>
    <t>Dimensionality reduction has recently been extensively studied for computer vision applications. We present a novel multilinear algebra based approach to reduced dimensionality representation of multidimensional data, such as image ensembles, video sequences and volume data. Before reducing the dimensionality we do not convert it into a vector as is done by traditional dimensionality reduction techniques like PCA. Our approach works directly on the multidimensional form of the data (matrix in 2D and tensor in higher dimensions) to yield what we call a Datum-as-Is representation. This helps exploit spatio-temporal redundancies with less information loss than image-as-vector methods. An efficient rank-R tensor approximation algorithm is presented to approximate higher-order tensors. We show that rank-R tensor approximation using Datum-as-Is representation generalizes many existing approaches that use image-as-matrix representation, such as generalized low rank approximation of matrices (GLRAM) (Ye, Y. in Mach. Learn. 61: 167-191, 2005), rank-one decomposition of matrices (RODM) (Shashua, A., Levin, A. in CVPR'01: Proceedings of the 2001 IEEE computer society conference on computer vision and pattern recognition, p. 42, 2001) and rank-one decomposition of tensors (RODT) (Wang, H., Ahuja, N. in ICPR '04: ICPR '04: Proceedings of the 17th international conference on pattern recognition (ICPR'04), vol. 1, pp. 44-47, 2004). Our approach yields the most compact data representation among all known image-as-matrix methods. In addition, we propose another rank-R tensor approximation algorithm based on slice projection of third-order tensors, which needs fewer iterations for convergence for the important special case of 2D image ensembles, e. g., video. We evaluated the performance of our approach vs. other approaches on a number of datasets with the following two main results. First, for a fixed compression ratio, the proposed algorithm yields the best representation of image ensembles visually as well as in the least squares sense. Second, proposed representation gives the best performance for object classification.</t>
  </si>
  <si>
    <t>Wang, Hongcheng; Ahuja, Narendra</t>
  </si>
  <si>
    <t>A COST-EFFECTIVE PEOPLE-COUNTER FOR PASSING THROUGH A GATE BASED ON IMAGE PROCESSING</t>
  </si>
  <si>
    <t>Based on area estimation and color analysis, this paper proposes a cost-effective bi-directional people counter for the pedestrian flow passing through a gate or a door. Firstly, the passing people are roughly counted by the area of people image captured by a zenithal video camera. To refine the initial count, the pedestrians will be recognized by tracking their image patterns with intersection of their bounding-boxes or color vector matching. Besides, both inherent problems of image pattern overlapping and merge/split phenomenon will be also overcome. Experimental results show that 100% accuracy of bi-directional counting can be achieved if the pedestrians walk in a normal speed and the people number of an image pattern is less titan three. When compared to other reported methods of using a zenithal camera setting scheme, the proposed method can obtain higher count accuracy over 95%.</t>
  </si>
  <si>
    <t>Chen, Tsong-Yi; Chen, Thou-Ho (Chao-Ho); Wang, Da-Jinn</t>
  </si>
  <si>
    <t>Robust tensor subspace learning for anomaly detection</t>
  </si>
  <si>
    <t>Background modeling plays an important role in many applications of computer vision such as anomaly detection and visual tracking. Most existing algorithms for learning appearance model are vector-based methods without maintaining the 2D spatial structure information of objects in an image. To this end, a robust tensor subspace learning algorithm is developed for background modeling which can capture the appearance changes through adaptively updating the tensor subspace. In the tensor framework, the spatial structure information is maintained and utilized for feature extraction of objects. Then by incorporating the robust scheme, we can weight individual pixel of an image to reduce the influence of outliers on background modeling. Furthermore an incremental algorithm for the robust tensor subspace learning is proposed to adapt to the variation of appearance model. The experimental results illustrate the effectiveness of the proposed robust learning algorithm for anomaly detection.</t>
  </si>
  <si>
    <t>Li, Jie; Han, Guan; Wen, Jing; Gao, Xinbo</t>
  </si>
  <si>
    <t>FOREGROUND DETECTION IN VIDEO SEQUENCES WITH PROBABILISTIC SELF-ORGANIZING MAPS</t>
  </si>
  <si>
    <t>Background modeling and foreground detection are key parts of any computer vision system. These problems have been addressed in literature with several probabilistic approaches based on mixture models. Here we propose a new kind of probabilistic background models which is based on probabilistic self-organising maps. This way, the background pixels are modeled with more flexibility. On the other hand, a statistical correlation measure is used to test the similarity among nearby pixels, so as to enhance the detection performance by providing a feedback to the process. Several well known benchmark videos have been used to assess the relative performance of our proposal with respect to traditional neural and non neural based methods, with favourable results, both qualitatively and quantitatively. A statistical analysis of the differences among methods demonstrates that our method is significantly better than its competitors. This way, a strong alternative to classical methods is presented.</t>
  </si>
  <si>
    <t>Lopez-Rubio, Ezequiel; Marcos Luque-Baena, Rafael; Dominguez, Enrique</t>
  </si>
  <si>
    <t>GRAPH MATCHING AND LEARNING IN PATTERN RECOGNITION IN THE LAST 10 YEARS</t>
  </si>
  <si>
    <t>In this paper, we examine the main advances registered in the last ten years in Pattern Recognition methodologies based on graph matching and related techniques, analyzing more than 180 papers; the aim is to provide a systematic framework presenting the recent history and the current developments. This is made by introducing a categorization of graph-based techniques and reporting, for each class, the main contributions and the most outstanding research results.</t>
  </si>
  <si>
    <t>Foggia, Pasquale; Percannella, Gennaro; Vento, Mario</t>
  </si>
  <si>
    <t>Early and Late Level Fusion of Deep Convolutional Neural Networks for Visual Concept Recognition</t>
  </si>
  <si>
    <t>Visual concept recognition is an active research field in the last decade. Related to this attention, deep learning architectures are showing great promise in various computer vision domains including image classification, object detection, event detection and action recognition in videos. In this study, we investigate various aspects of convolutional neural networks for visual concept recognition. We analyze recent studies and different network architectures both in terms of running time and accuracy. In our proposed visual concept recognition system, we first discuss various important properties of popular convolutional network architecture under consideration. Then we describe our method for feature extraction at different levels of abstraction. We present extensive empirical information along with best practices for big data practitioners. Using these best practices we propose efficient fusion mechanisms both for single and multiple network models. We present state-of-the-art results on benchmark datasets while keeping computational costs at low level. Our results show that these state-of-the-art results can be reached without using extensive data augmentation techniques.</t>
  </si>
  <si>
    <t>Ergun, Hilal; Akyuz, Yusuf Caglar; Sert, Mustafa; Liu, Jianquan</t>
  </si>
  <si>
    <t>A FIRST STAGE COMPARATIVE SURVEY ON HUMAN ACTIVITY RECOGNITION METHODOLOGIES</t>
  </si>
  <si>
    <t>The development of vision-based human activity recognition and analysis systems has been a matter of great interest to both the research community and practitioners during the last 20 years. Traditional methods that require a human operator watching raw video streams are nowadays deemed as at least ineffective and expensive. New, smart solutions in automatic surveillance and monitoring have emerged, propelled by significant technological advances in the fields of image processing, artificial intelligence, electronics and optics, embedded computing and networking, molding the future of several applications that can benefit from them, like security and healthcare. The main motivation behind it is to exploit the highly informative visual data captured by cameras and perform high-level inference in an automatic, ubiquitous and unobtrusive manner, so as to aid human operators, or even replace them. This survey attempts to comprehensively review the current research and development on vision-based human activity recognition. Synopses from various methodologies are presented in an effort to garner the advantages and shortcomings of the most recent state-of-the-art technologies. Also a first-level self-evaluation of methodologies is also proposed, which incorporates a set of significant features that best describe the most important aspects of each methodology in terms of operation, performance and others and weighted by their importance. The purpose of this study is to serve as a reference for further research and evaluation to raise thoughts and discussions for future improvements of each methodology towards maturity and usefulness.</t>
  </si>
  <si>
    <t>Tsitsoulis, Athanasios; Bourbakis, Nikolaos</t>
  </si>
  <si>
    <t>Online Object Tracking via Novel Adaptive Multicue Based Particle Filter Framework for Video Surveillance</t>
  </si>
  <si>
    <t>Multicue based object tracking frameworks have been extensively explored due to their numerous applications in the field of computer vision. However, the online adaptive fusion of multicue under scale and illumination variations, partial or full occlusion, background clutters and object deformation remains an open challenge problem. In order to address this, we propose an online visual tracking algorithm using adaptive integration of multicue in a particle filter framework. The particle level fusion process is modelled as Shafer's model with a power set defined over two focal elements. Partial conflicting masses and conjunctive consensus among three cues are estimated for each evaluated particle. Partial conflicts among cues are redistributed using Dezert-Smarandache Theory (DSmT) based proportional conflict redistribution rules (PCR-6). Additionally, context sensitive transductive cues reliabilities are used for discounting the particle likelihoods for quick adaptation of tracker. In the proposed model, automatic boosting of good particles and suppression of low performing particles not only improves resampling process but also enhances tracker accuracy. Experimental validation over benchmarked video sequences reveals that the proposed multicue tracking framework outperforms state-of-the-art trackers under various dynamic environmental challenges.</t>
  </si>
  <si>
    <t>Walia, Gurjit Singh; Kapoor, Rajiv</t>
  </si>
  <si>
    <t>Object count/area graphs for the evaluation of object detection and segmentation algorithms</t>
  </si>
  <si>
    <t>Evaluation of object detection algorithms is a non-trivial task: a detection result is usually evaluated by comparing the bounding box of the detected object with the bounding box of the ground truth object. The commonly used precision and recall measures are computed from the overlap area of these two rectangles. However, these measures have several drawbacks: they don't give intuitive information about the proportion of the correctly detected objects and the number of false alarms, and (hey cannot be accumulated across multiple images without creating ambiguity in their interpretation. Furthermore, quantitative and qualitative evaluation is often mixed resulting in ambiguous measures.In this paper we propose a new approach which tackles these problems. The performance of a detection algorithm is illustrated intuitively by performance graphs which present object level precision and recall depending on constraints on detection quality. In order to compare different detection algorithms, a representative single performance value is computed from the graphs. The influence of the test database on the detection performance is illustrated by performance/generality graphs. The evaluation method can be applied to different types of object detection algorithms. It has been tested on different text detection algorithms, among which are the participants of the ICDAR 2003 text detection competition.</t>
  </si>
  <si>
    <t>Wolf, Christian; Jolion, Jean-Michel</t>
  </si>
  <si>
    <t>A Survey of Video-Based Crowd Anomaly Detection in Dense Scenes</t>
  </si>
  <si>
    <t>Population growth has made the probability of incidents at large-scale crowd events higher than ever. In the past decades, automated crowd scene analysis done by computer vision has attracted attention. However, severe occlusions and complex crowd behaviors make such analysis a challenge. As a key aspect of crowd scene analysis, a number of works dealing with dense crowd anomaly detection based on computer vision have been presented. This work is a survey of computer vision techniques for analyzing dense crowd scenes. It covers two aspects: crowd density estimation and abnormal event detection. Some problems and perspectives are discussed at the end.</t>
  </si>
  <si>
    <t>Ma, Junjie; Dai, Yaping; Hirota, Kaoru</t>
  </si>
  <si>
    <t>Robust real-time pedestrian detection in surveillance videos</t>
  </si>
  <si>
    <t>Detecting different categories of objects in an image and video content is one of the fundamental tasks in computer vision research. Pedestrian detection is a hot research topic, with several applications including robotics, surveillance and automotive safety. We address the problem of detecting pedestrians in surveillance videos. In this paper, we present a new feature extraction method based on Multi-scale Center-symmetric Local Binary Pattern operator. All the modules (foreground segmentation, feature pyramid, training, occlusion handling) of our proposed method are introduced with its details about design and implementation. Experiments on CAVIAR and other sequences show that the presented system can detect pedestrians in real-time effectively and accurately in surveillance videos.</t>
  </si>
  <si>
    <t>Varga, Domonkos; Sziranyi, Tamas</t>
  </si>
  <si>
    <t>Computer vision for ambient intelligence</t>
  </si>
  <si>
    <t>A natural way of conceptualizing ambient intelligence is by picturing an active environment with access to perceptual input, not via eyes and ears, but by their technological counterparts. Computer vision is an essential part of building context-aware environments that adapt and anticipate their human users by understanding their behavior. This thematic issue explores state-of-the-art computer vision approaches for ambient intelligence applications.</t>
  </si>
  <si>
    <t>Salah, Albert Ali; Gevers, Theo; Sebe, Nicu; Vinciarelli, Alessandro</t>
  </si>
  <si>
    <t>Video based indoor exploration with autonomous and mobile robots</t>
  </si>
  <si>
    <t>Techniques are proposed to support the video based development of systems for indoor exploration with mobile robots. The technique of redundant programming is often used to improve the reliability of operating systems, but the use of this technique is not common for CV (computer vision) applications. Also a new technique to create CAD (computer aided design) models from image data is described. These techniques were used for the development of an RV (robot vision) program. The observed recognition power exceeds the abilities of sophisticated but conventional programs clearly. This is documented with sample images, which show a table that has been taken from different distances. The quality of the images is very bad due to the fact that a camera was taken which has a very low resolution. Additionally the detection of the table was hampered, because the illumination in the images varied considerably. Sometimes the table was placed very near by a window with strong exposure to sunlight. Over-exposure of the table complicated the reconstruction because of this problem. Sometimes other objects irritated the detection. The program handled all these difficulties impressionably although it used no calibration techniques. No other robot-vision program is documented in the literature that gained the reported recognition rate.</t>
  </si>
  <si>
    <t>Florczyk, S</t>
  </si>
  <si>
    <t>Real-Time Warning System for Driver Drowsiness Detection Using Visual Information</t>
  </si>
  <si>
    <t>Traffic accidents due to human errors cause many deaths and injuries around the world. To help in reducing this fatality, in this research, a new module for Advanced Driver Assistance System (ADAS) for automatic driver drowsiness detection based on visual information and Artificial Intelligence is presented. The aim of this system is to locate, to track and to analyze the face and the eyes to compute a drowsiness index, working under varying light conditions and in real time. Examples of different images of drivers taken in a real vehicle are shown to validate the algorithm.</t>
  </si>
  <si>
    <t>Javier Flores, Marco; Maria Armingol, Jose; de la Escalera, Arturo</t>
  </si>
  <si>
    <t>The Bispectrum as a Source of Phase-Sensitive Invariants for Fourier Descriptors: A Group-Theoretic Approach</t>
  </si>
  <si>
    <t>This paper develops the theory behind the bispectrum, a concept that is well established in statistical signal processing but not, until recently, extended to computer vision as a source of frequency-domain invariants. Recent papers on using the bispectrum in vision show good results when the bispectrum is applied to spherical harmonic models of three-dimensional (3-D) shapes, in particular by improving discrimination over previously-proposed magnitude invariants, and also by allowing detection of neutral pose in human activity detection. The bispectrum has also been formulated for vector spherical harmonics, which have been used in medical imaging for 3-D anatomical modeling. In a paper published in this journal, Smach et al. use duality theory to establish the completeness of second-order invariants which, as shown here, are the same as the bispectrum. This paper unifies earlier works of various researchers by deriving the bispectrum formula for all compact groups. It also provides a constructive algorithm for recovering functions from their bispectral values on SO(3). The main theoretical result shows that the bispectrum serves as a complete source of invariants for homogeneous spaces of compact groups, including such important domains as the sphere S (2).</t>
  </si>
  <si>
    <t>Kakarala, Ramakrishna</t>
  </si>
  <si>
    <t>Task complexity analysis and QoS management for mapping dynamic video-processing tasks on a multi-core platform</t>
  </si>
  <si>
    <t>This paper addresses efficient mapping and reconfiguration of advanced video applications onto a general purpose multi-core platform. By accurately modeling the resource usage for an application, allocation of processing resources on the platform can be based on the actually needed resources instead of a worst-case approach, thereby improving Quality-of-Service (QoS). Here, we exploit a new and strongly upcoming class of dynamic video applications based on image and content analysis for resource management and control. Such applications are characterized by irregular computing behavior and memory usage. It is shown that with linear models and statistical techniques based on the Markov modeling, a rather good accuracy (94-97%) for predicting the resource usage can be obtained. This prediction accuracy is so good that it allows resource prediction at runtime, thereby leading to an actively controlled system management.</t>
  </si>
  <si>
    <t>Albers, A. H. R.; de With, P. H. N.</t>
  </si>
  <si>
    <t>A new method of moving object detection using adaptive filter</t>
  </si>
  <si>
    <t>In many real-world video analysis systems , the available resources are constrained, which limits the image resolution. However, the low computational complexity and fast response for low-resolution images still make them attractive for computer vision applications. This work presents a new model that uses a least-mean-square scheme to train the mask operation for low-resolution images. This efficient and real-time method, which uses an adaptive least-mean-square scheme (ALMSS), uses the training mask to detect moving objects on resource-limited systems. The detection of moving objects is a basic and important task in video surveillance systems, which affects the results of any post-processing, such as object classification, object identification and the description of object behaviors. However, the detection of moving objects in a real environment is a difficult task because of noise issues, such as fake motion or noise. The ALMSS method effectively reduces computational cost for both fake motion environment. The experiments using real scenes indicate that the proposed ALMSS method is effective in the real-time detection of moving objects. This method can be implemented in hardware for high-resolution applications, such as full-HD images. A prototype VLSI circuit is designed and simulated using a TSMC 0.18 mu m 1P6M process.</t>
  </si>
  <si>
    <t>Hsia, Chih-Hsien; Wu, Tsung-Cheng; Chiang, Jen-Shiun</t>
  </si>
  <si>
    <t>Real-time human action recognition on an embedded, reconfigurable video processing architecture</t>
  </si>
  <si>
    <t>In recent years, automatic human action recognition has been widely researched within the computer vision and image processing communities. Here we propose a real-time, embedded vision solution for human action recognition, implemented on an FPGA-based ubiquitous device. There are three main contributions in this paper. Firstly, we have developed a fast human action recognition system with simple motion features and a linear support vector machine classifier. The method has been tested on a large, public human action dataset and achieved competitive performance for the temporal template class of approaches, which include "Motion History Image" based techniques. Secondly, we have developed a reconfigurable, FPGA based video processing architecture. One advantage of this architecture is that the system processing performance can be reconfigured for a particular application, with the addition of new or replicated processing cores. Finally, we have successfully implemented a human action recognition system on this reconfigurable architecture. With a small number of human actions (hand gestures), this stand-alone system is operating reliably at 12 frames/s, with an 80% average recognition rate using limited training data. This type of system has applications in security systems, man-machine communications and intelligent environments.</t>
  </si>
  <si>
    <t>Meng, Hongying; Freeman, Michael; Pears, Nick; Bailey, Chris</t>
  </si>
  <si>
    <t>Real-time 3D semi-local surface patch extraction using GPGPU</t>
  </si>
  <si>
    <t>Feature vectors can be anything from simple surface normals to more complex feature descriptors. Feature extraction is important to solve various computer vision problems: e.g. registration, object recognition and scene understanding. Most of these techniques cannot be computed online due to their complexity and the context where they are applied. Therefore, computing these features in real-time for many points in the scene is impossible. In this work, a hardware-based implementation of 3D feature extraction and 3D object recognition is proposed to accelerate these methods and therefore the entire pipeline of RGBD based computer vision systems where such features are typically used. The use of a GPU as a general purpose processor can achieve considerable speed-ups compared with a CPU implementation. In this work, advantageous results are obtained using the GPU to accelerate the computation of a 3D descriptor based on the calculation of 3D semi-local surface patches of partial views. This allows descriptor computation at several points of a scene in real-time. Benefits of the accelerated descriptor have been demonstrated in object recognition tasks. Source code will be made publicly available as contribution to the Open Source Point Cloud Library.</t>
  </si>
  <si>
    <t>Orts-Escolano, Sergio; Morell, Vicente; Garcia-Rodriguez, Jose; Cazorla, Miguel; Fisher, Robert B.</t>
  </si>
  <si>
    <t>Parallel implementation of background subtraction algorithms for real-time video processing on a supercomputer platform</t>
  </si>
  <si>
    <t>Results of evaluation of the background subtraction algorithms implemented on a supercomputer platform in a parallel manner are presented in the article. The aim of the work is to chose an algorithm, a number of threads and a task scheduling method, that together provide satisfactory accuracy and efficiency of a real-time processing of high-resolution camera images, maintaining the cost of resources usage at a reasonable level. Two selected algorithms: the Gaussian mixture models and the Codebook, are presented and their computational complexity is discussed. Various approaches to the parallel implementation, including assigning the image pixels to threads, the task scheduling methods and the thread management systems, are presented. The experiments were performed on a supercomputer cluster, using a single machine with 12 physical cores. The accuracy and performance of the implemented algorithms were evaluated for varying image resolutions and numbers of concurrent processing threads. On a basis of the evaluation results, an optimal configuration for the parallel implementation of the system for real-time video content analysis on a supercomputer platform was proposed.</t>
  </si>
  <si>
    <t>Szwoch, Grzegorz; Ellwart, Damian; Czyzewski, Andrzej</t>
  </si>
  <si>
    <t>Detecting violent and abnormal crowd activity using temporal analysis of grey level co-occurrence matrix (GLCM)-based texture measures</t>
  </si>
  <si>
    <t>The severity of sustained injury resulting from assault-related violence can be minimised by reducing detection time. However, it has been shown that human operators perform poorly at detecting events found in video footage when presented with simultaneous feeds. We utilise computer vision techniques to develop an automated method of abnormal crowd detection that can aid a human operator in the detection of violent behaviour. We observed that behaviour in city centre environments often occurs in crowded areas, resulting in individual actions being occluded by other crowd members. We propose a real-time descriptor that models crowd dynamics by encoding changes in crowd texture using temporal summaries of grey level co-occurrence matrix features. We introduce a measure of inter-frame uniformity and demonstrate that the appearance of violent behaviour changes in a less uniform manner when compared to other types of crowd behaviour. Our proposed method is computationally cheap and offers real-time description. Evaluating our method using a privately held CCTV dataset and the publicly available Violent Flows, UCF Web Abnormality and UMN Abnormal Crowd datasets, we report a receiver operating characteristic score of 0.9782, 0.9403, 0.8218 and 0.9956, respectively.</t>
  </si>
  <si>
    <t>Lloyd, Kaelon; Rosin, Paul L.; Marshall, David; Moore, Simon C.</t>
  </si>
  <si>
    <t>Detecting behavioral zones in local and global camera views</t>
  </si>
  <si>
    <t>We present a complete end-to-end framework to detect and exploit entry and exit regions in video using behavioral models of object trajectories. Using easily collected "weak" tracking data (short and frequently broken tracks) as input, we construct a set of entity tracks to provide more reliable entry and exit observations. These observations are then clustered to produce a set of potential entry and exit regions within the scene, and a behavior-based reliability metric is used to score each region and select the final zones. We also present an extension of our fixed-view approach to detect entry and exit regions within the entire viewspace of a pan-tilt-zoom camera. We additionally provide methods employing the regions to learn scene occlusions and causal relationships from entry-exit pairs along with exploitation algorithms (e.g., anomaly detection). Qualitative and quantitative experiments are presented using multiple outdoor surveillance cameras and demonstrate the reliability and usefulness of our approach.</t>
  </si>
  <si>
    <t>Nedrich, Matthew; Davis, James W.</t>
  </si>
  <si>
    <t>Efficient pose estimation using view-based object representations</t>
  </si>
  <si>
    <t>We present an efficient method for estimating the pose of a three-dimensional object. Its implementation is embedded in a computer vision system which is motivated by and based on cognitive principles concerning the visual perception of three-dimensional objects. Viewpoint-invariant object recognition has been subject to controversial discussions for a long time. An important point of discussion is the nature of internal object representations. Behavioral studies with primates, which are summarized in this article, support the model of view-based object representations. We designed our computer vision system according to these findings and demonstrate that very precise estimations of the poses of real-world objects are possible even if only a small number of sample views of an object is available. The system can be used for a variety of applications.</t>
  </si>
  <si>
    <t>Peters, G</t>
  </si>
  <si>
    <t>Understanding human behavior from motion imagery</t>
  </si>
  <si>
    <t>Computer vision is gradually making the transition from image understanding to video understanding. This is due to the enormous success in analyzing sequences of images that has been achieved in recent years. The main shift in the paradigm has been from recognition followed by reconstruction (shape from X) to motion-based recognition. Since most videos are about people, this work has focused on the analysis of human motion. In this paper, I present my perspective on understanding human behavior.Automatically understanding human behavior from motion imagery involves extraction of relevant visual information from a video sequence, representation of that information in a suitable form, and interpretation of visual information for the purpose of recognition and learning about human behavior.Significant progress has been made in human tracking over the last few years. As compared with tracking, not much progress has been made in understanding human behavior, and the issue of representation has largely been ignored. I present my opinion on possible reasons and hurdles for slower progress in understanding human behavior, briefly present our work in tracking, representation, and recognition, and comment on the next steps in all three areas.</t>
  </si>
  <si>
    <t>Shah, M</t>
  </si>
  <si>
    <t>How close are we to solving the problem of automated visual surveillance? A review of real-world surveillance, scientific progress and evaluative mechanisms</t>
  </si>
  <si>
    <t>The problem of automated visual surveillance has spawned a lively research area, with 2005 seeing three conferences or workshops and special issues of two major journals devoted to the topic. These alone are responsible for somewhere in the region of 240 papers and posters on automated visual surveillance before we begin to count those presented in more general fora. Many of these systems and algorithms perform one small sub-part of the surveillance task, such as motion detection. But even with low level image processing tasks it is often difficult to compare systems on the basis of published results alone. This review paper aims to answer the difficult question "How close are we to developing surveillance related systems which are really useful?" The first section of this paper considers the question of surveillance in the real world: installations, systems and practises. The main body of the paper then considers existing computer vision techniques with an emphasis on higher level processes such as behaviour modelling and event detection. We conclude with a review of the evaluative mechanisms that have grown from within the computer vision community in an attempt to provide some form of robust evaluation and cross-system comparability.</t>
  </si>
  <si>
    <t>Dee, Hannah M.; Velastin, Sergio A.</t>
  </si>
  <si>
    <t>Invariant descriptions and associative processing applied to object recognition under occlusions</t>
  </si>
  <si>
    <t>Object recognition under occlusions is an important problem in computer vision, not yet completely solved. In this note we describe a simple but effective technique for the recognition objects under occlusions. The proposal uses the most distinctive parts of the objects for their further detection. During training, the proposal, first detects the distinctive parts of each object. For each of these parts an invariant description in terms of invariants features is next computed. With these invariant descriptions a specially designed set of associative memories (AMs) is trained. During object detection, the proposal, first looks for the important parts of the objects by means of the already trained AM. The proposal is tested with a bank of images of real objects and compared with other similar reported techniques.</t>
  </si>
  <si>
    <t>Vazquez, RA; Sossa, H; Barron, R</t>
  </si>
  <si>
    <t>Invariant Object Recognition and Pose Estimation with Slow Feature Analysis</t>
  </si>
  <si>
    <t>Primates are very good at recognizing objects independent of viewing angle or retinal position, and they outperform existing computer vision systems by far. But invariant object recognition is only one prerequisite for successful interaction with the environment. An animal also needs to assess an object's position and relative rotational angle. We propose here a model that is able to extract object identity, position, and rotation angles. We demonstrate the model behavior on complex three-dimensional objects under translation and rotation in depth on a homogeneous background. A similar model has previously been shown to extract hippocampal spatial codes from quasi-natural videos. The framework for mathematical analysis of this earlier application carries over to the scenario of invariant object recognition. Thus, the simulation results can be explained analytically even for the complex high-dimensional data we employed.</t>
  </si>
  <si>
    <t>Franzius, Mathias; Wilbert, Niko; Wiskott, Laurenz</t>
  </si>
  <si>
    <t>A Regularized Correntropy Framework for Robust Pattern Recognition</t>
  </si>
  <si>
    <t>This letter proposes a new multiple linear regression model using regularized correntropy for robust pattern recognition. First, we motivate the use of correntropy to improve the robustness of the classical mean square error (MSE) criterion that is sensitive to outliers. Then an l(1) regularization scheme is imposed on the correntropy to learn robust and sparse representations. Based on the half-quadratic optimization technique, we propose a novel algorithm to solve the nonlinear optimization problem. Second, we develop a new correntropy-based classifier based on the learned regularization scheme for robust object recognition. Extensive experiments over several applications confirm that the correntropy-based l1 regularization can improve recognition accuracy and receiver operator characteristic curves under noise corruption and occlusion.</t>
  </si>
  <si>
    <t>He, Ran; Zheng, Wei-Shi; Hu, Bao-Gang; Kong, Xiang-Wei</t>
  </si>
  <si>
    <t>Embedded real-time speed limit sign recognition using image processing and machine learning techniques</t>
  </si>
  <si>
    <t>The number of traffic accidents in Brazil has reached alarming levels and is currently one of the leading causes of death in the country. With the number of vehicles on the roads increasing rapidly, these problems will tend to worsen. Consequently, huge investments in resources to increase road safety will be required. The vertical R-19 system for optical character recognition of regulatory traffic signs (maximum speed limits) according to Brazilian Standards developed in this work uses a camera positioned at the front of the vehicle, facing forward. This is so that images of traffic signs can be captured, enabling the use of image processing and analysis techniques for sign detection. This paper proposes the detection and recognition of speed limit signs based on a cascade of boosted classifiers working with haar-like features. The recognition of the sign detected is achieved based on the optimum-path forest classifier (OPF), support vector machines (SVM), multilayer perceptron, k-nearest neighbor (kNN), extreme learning machine, least mean squares, and least squares machine learning techniques. The SVM, OPF and kNN classifiers had average accuracies higher than 99.5 %; the OPF classifier with a linear kernel took an average time of 87 mu s to recognize a sign, while kNN took 11,721 ls and SVM 12,595 ls. This sign detection approach found and recognized successfully 11,320 road signs from a set of 12,520 images, leading to an overall accuracy of 90.41 %. Analyzing the system globally recognition accuracy was 89.19 %, as 11,167 road signs from a database with 12,520 signs were correctly recognized. The processing speed of the embedded system varied between 20 and 30 frames per second. Therefore, based on these results, the proposed system can be considered a promising tool with high commercial potential.</t>
  </si>
  <si>
    <t>Gomes, Samuel L.; Reboucas, Elizangela de S.; Neto, Edson Cavalcanti; Papa, Joao P.; de Albuquerque, Victor H. C.; Reboucas Filho, Pedro P.; Tavares, Joao Manuel R. S.</t>
  </si>
  <si>
    <t>Moving object recognition using multi-view three-dimensional convolutional neural networks</t>
  </si>
  <si>
    <t>Moving object recognition (MOR) is an important but challenging problem in the field of computer vision. The aim of MOR is to recognize moving objects in a given video dataset. Convolutional neural networks (CNNs) have been extensively used for image recognition and video analysis problems. Recently, a 3D-CNN, which contains 3D convolution layers, was proposed to address MOR problems by successfully extracting spatiotemporal features. In this paper, a multi-view (MV) 3D-CNN is proposed for MOR. This model combines 3D-CNNs with a well-known MV learning technique. Because multi-view learning techniques have the ability to obtain more view-related features from videos captured by different cameras, the proposed model can extract more representative features. Moreover, the model contains a special view-pooling layer that can fuse the feature information from previous layers. The proposed MV3D-CNN is applied to both real-world moving vehicle recognition and sign language recognition tasks. The experimental results show that the proposed model possesses good performance.</t>
  </si>
  <si>
    <t>He, Tao; Mao, Hua; Yi, Zhang</t>
  </si>
  <si>
    <t>Pedestrian detection based on the privileged information</t>
  </si>
  <si>
    <t>The pedestrian detection is always a challenging issue in the computer vision. Unlike the object recognition problem, the detection's speed is a critical factor. In order to accelerate detection speed while maintaining competitive accuracy, in this paper we introduce a new model: twin support vector machine based on privileged information (called TSVMPI, in this paper) (Qi et al. in Neurocomputing 129:146-152, 2014) to detect pedestrian. TSVMPI uses two nonparallel hyperplane classifiers to decide the label of an unknown sample and is superior to the standard SVM, especially in the linear kernel case, resulting in a significant advantage to deal with the special task. All experimental results demonstrate our strategy's effectiveness and show that the privileged information indeed offers a significant improvement for the pedestrian detection.</t>
  </si>
  <si>
    <t>Meng, Fan; Qi, Zhiquan; Tian, Yingjie; Niu, Lingfeng</t>
  </si>
  <si>
    <t>A swarm-based system for object recognition</t>
  </si>
  <si>
    <t>Swarm intelligence is an emerging field with wide-reaching application opportunities in problems of optimization, analysis and machine learning. While swarm systems have proved very effective when applied to a variety of problems, swarm-based methods for computer vision have received little attention. This paper proposes a swarm system capable of extracting and exploiting the geometric properties of objects in images for fast and accurate recognition. In this approach, computational agents move over an image and affix themselves to relevant features, such as edges and corners. The resulting feature profile is then processed by a classification subsystem to categorize the object. The system has been tested with images containing several simple geometric shapes at a variety of noise levels, and evaluated based upon the accuracy of the system's predictions. The swarm system is able to accurately classify shapes even with high image noise levels, proving this approach to object recognition to be robust and reliable.</t>
  </si>
  <si>
    <t>Mirzayans, T; Parimi, N; Pilarski, P; Backhouse, C; Wyard-Scott, L; Musilek, P</t>
  </si>
  <si>
    <t>Learning to recognize objects on the fly: A neurally based dynamic field approach</t>
  </si>
  <si>
    <t>Autonomous robots interacting with human users need to build and continuously update scene representations. This entails the problem of rapidly learning to recognize new objects under user guidance. Based on analogies with human visual working memory, we propose a dynamical field architecture, in which localized peaks of activation represent objects over a small number of simple feature dimensions. Learning consists of laying down memory traces of such peaks. We implement the dynamical field model on a service robot and demonstrate how it learns 30 objects from a very small number of views (about 5 per object are sufficient). We also illustrate how properties of feature binding emerge from this framework. (C) 2008 Elsevier Ltd. All rights reserved.</t>
  </si>
  <si>
    <t>Faubel, Christian; Schoener, Gregor</t>
  </si>
  <si>
    <t>Computer vision and deep learning techniques for pedestrian detection and tracking: A survey</t>
  </si>
  <si>
    <t>Pedestrian detection and tracking have become an important field in the computer vision research area. This growing interest, started in the last decades, might be explained by the multitude of potential applications that could use the results of this research field, e.g. robotics, entertainment, surveillance, care for the elderly and disabled, and content-based indexing. In this survey paper, vision-based pedestrian detection systems are analysed based on their field of application, acquisition technology, computer vision techniques and classification strategies. Three main application fields have been individuated and discussed: video surveillance, human-machine interaction and analysis. Due to the large variety of acquisition technologies, this paper discusses both the differences between 2D and 3D vision systems, and indoor and outdoor systems. The authors reserved a dedicated section for the analysis of the Deep Learning methodologies, including the Convolutional Neural Networks in pedestrian detection and tracking, considering their recent exploding adoption for such a land systems. Finally, focusing on the classification point of view, different Machine Learning techniques have been analysed, basing the discussion on the classification performances on different benchmark datasets. The reported results highlight the importance of testing pedestrian detection systems on different datasets to evaluate the robustness of the computed groups of features used as input to classifiers.</t>
  </si>
  <si>
    <t>Brunetti, Antonio; Buongiorno, Domenico; Trotta, Gianpaolo Francesco; Bevilacqua, Vitoantonio</t>
  </si>
  <si>
    <t>Deep learning for visual understanding: A review</t>
  </si>
  <si>
    <t>Deep learning algorithms are a subset of the machine learning algorithms, which aim at discovering multiple levels of distributed representations. Recently, numerous deep learning algorithms have been proposed to solve traditional artificial intelligence problems. This work aims to review the state-of-the-art in deep learning algorithms in computer vision by highlighting the contributions and challenges from over 210 recent research papers. It first gives an overview of various deep learning approaches and their recent developments, and then briefly describes their applications in diverse vision tasks, such as image classification, object detection, image retrieval, semantic segmentation and human pose estimation. Finally, the paper summarizes the future trends and challenges in designing and training deep neural networks. (C) 2015 Elsevier B.V. All rights reserved.</t>
  </si>
  <si>
    <t>Guo, Yanming; Liu, Yu; Oerlemans, Ard; Lao, Songyang; Wu, Song; Lew, Michael S.</t>
  </si>
  <si>
    <t>Moving object recognition by a shape-based neural fuzzy network</t>
  </si>
  <si>
    <t>Moving object recognition by a shape-based neural fuzzy network is proposed in this paper. The moving objects considered in this paper include pedestrians, vehicles, motorcycle, and dogs. Given the shape of the moving object, its contour is calculated by contour following. The distance between the contour center and each contour point is calculated and smoothed. Parts of the feature vector are obtained from discrete Fourier transform coefficients of the smoothed distances. The length-to-width ratio of the object's shape, which is derived from vertical and horizontal projection of the shape of the object, is also used as a feature. Based on the feature vector, the self-constructing neural fuzzy inference network (SONFIN) is used for recognition. To verify the performance of the proposed approach, two experiments were performed. In the first experiment, the shape of an object was extracted manually. In the second experiment, the shape of an object was extracted automatically from a series of image processes, including gray-based and edge-based image subtractions and morphological operations. The experiments show that the proposed approach can recognize moving objects with high accuracy. SONFIN performance is also shown to be better than back-propagation neural network and radial basis function network performance. (c) 2007 Elsevier B.V. All rights reserved.</t>
  </si>
  <si>
    <t>Juang, Chia-Feng; Chen, Liang-Tso</t>
  </si>
  <si>
    <t>Crowd behavior analysis: A review where physics meets biology</t>
  </si>
  <si>
    <t>Although the traits emerged in a mass gathering are often non-deliberative, the act of mass impulse may lead to irrevocable crowd disasters. The two-fold increase of carnage in crowd since the past two decades has spurred significant advances in the field of computer vision, towards effective and proactive crowd surveillance. Computer vision studies related to crowd are observed to resonate with the understanding of the emergent behavior in physics (complex systems) and biology (animal swarm). These studies, which are inspired by biology and physics, share surprisingly common insights, and interesting contradictions. However, this aspect of discussion has not been fully explored. Therefore, this survey provides the readers with a review of the state-of-the-art methods in crowd behavior analysis from the physics and biologically inspired perspectives. We provide insights and comprehensive discussions for a broader understanding of the underlying prospect of blending physics and biology studies in computer vision. (C) 2015 Elsevier B.V. All rights reserved.</t>
  </si>
  <si>
    <t>Kok, Ven Jyn; Lim, Mei Kuan; Chan, Chee Seng</t>
  </si>
  <si>
    <t>Localizing salient body motion in multi-person scenes using convolutional neural networks</t>
  </si>
  <si>
    <t>With modern computer vision techniques being successfully developed for a variety of tasks, extracting meaningful knowledge from complex scenes with multiple people still poses problems. Consequently, experiments with application-specific motion, such as gesture recognition scenarios, are often constrained to single person scenes in the literature. Therefore, in this paper we address the challenging task of detecting salient body motion in scenes with more than one person. We propose a neural architecture that only reacts to a specific kind of motion in the scene: A limited set of body gestures. The model is trained end-to-end, thereby avoiding hand-crafted features and the strong reliance on pre-processing as it is prevalent in similar studies. The presented model implements a saliency mechanism that reacts to body motion cues which have not been included in previous computational saliency systems. Our architecture consists of a 3D Convolutional Neural Network that receives a frame sequence as its input and localizes active gesture movement. To train our network with a large data variety, we introduce an approach to combine Kinect recordings of one person into artificial scenes with multiple people, yielding a large diversity of scene configurations in our dataset. We performed experiments using these sequences and show that the proposed model is able to localize the salient body motion of our gesture set. We found that 3D convolutions and a baseline model with 2D convolutions perform surprisingly similar on our task. Our experiments revealed the influence of gesture characteristics on how well they can be learned by our model. Given a distinct gesture set and computational restrictions, we conclude that using 2D convolutions might often perform equally well. (C) 2018 The Authors. Published by Elsevier B.V.</t>
  </si>
  <si>
    <t>Letsch, Florian; Jirak, Doreen; Wermter, Stefan</t>
  </si>
  <si>
    <t>A comprehensive review of current local features for computer vision</t>
  </si>
  <si>
    <t>Local features are widely utilized in a large number of applications, e.g., object categorization, image retrieval, robust matching, and robot localization. In this review, we focus on detectors and local descriptors. Both earlier corner detectors, e.g., Harris corner detector, and later region detectors, e.g., Harris affine region detector, are described in brief. Most kinds of descriptors are described and summarized in a comprehensive way. Five types of descriptors are included, which are filter-based descriptors, distribution-based descriptors, textons, derivative-based descriptors and others. Finally, the matching methods and different applications with respect to the local features are also mentioned. The objective of this review is to provide a brief introduction for new researchers to the local feature research field, so that they can follow an appropriate methodology according to their specific requirements. (C) 2008 Elsevier B.V. All rights reserved.</t>
  </si>
  <si>
    <t>Li, Jing; Allinson, Nigel M.</t>
  </si>
  <si>
    <t>Transform based spatio-temporal descriptors for human action recognition</t>
  </si>
  <si>
    <t>Classic transformation methods have been widely and efficiently used in image processing areas, such as image de-noising, image segmentation, feature detection, and compression. Based on their compact signal and image representation ability, we apply the transform based techniques on the video recognition area to extract discriminative information from each given video sequence, and use the transformed coefficients as descriptors for representing and recognizing human actions in video sequences. We validate our proposed methods on the KTH and the Hollywood datasets, which have been extensively studied by a lot of researchers. The proposed descriptors, especially the wavelet transform based descriptor, yield promising results on action recognition. (C) 2010 Elsevier B.V. All rights reserved.</t>
  </si>
  <si>
    <t>Shao, Ling; Gao, Ruoyun; Liu, Yan; Zhang, Hui</t>
  </si>
  <si>
    <t>Deep visual domain adaptation: A survey</t>
  </si>
  <si>
    <t>Deep domain adaptation has emerged as a new learning technique to address the lack of massive amounts of labeled data. Compared to conventional methods, which learn shared feature subspaces or reuse important source instances with shallow representations, deep domain adaptation methods leverage deep networks to learn more transferable representations by embedding domain adaptation in the pipeline of deep learning. There have been comprehensive surveys for shallow domain adaptation, but few timely reviews the emerging deep learning based methods. In this paper, we provide a comprehensive survey of deep domain adaptation methods for computer vision applications with four major contributions. First, we present a taxonomy of different deep domain adaptation scenarios according to the properties of data that define how two domains are diverged. Second, we summarize deep domain adaptation approaches into several categories based on training loss, and analyze and compare briefly the state-of-the-art methods under these categories. Third, we overview the computer vision applications that go beyond image classification, such as face recognition, semantic segmentation and object detection. Fourth, some potential deficiencies of current methods and several future directions are highlighted. (C) 2018 Elsevier B.V. All rights reserved.</t>
  </si>
  <si>
    <t>Wang, Mei; Deng, Weihong</t>
  </si>
  <si>
    <t>A new pedestrian detection method based on combined HOG and LSS features</t>
  </si>
  <si>
    <t>Pedestrian detection is a critical issue in computer vision, with several feature descriptors can be adopted. Since the ability of various kinds of feature descriptor is different in pedestrian detection and there is no basis in feature selection, we analyze the commonly used features in theory and compare them in experiments. It is desired to find a new feature with the strongest description ability from their pair-wise combinations. In experiments, INRIA database and Daimler database are adopted as the training and testing set. By theoretic analysis, we find the HOG-LSS combined feature have more comprehensive description ability. At first, Adaboost is regarded as classifier and the experimental results show that the description ability of the new combination features is improved on the basis of the single feature and HOG-LSS combined feature has the strongest description ability. For further verifying this conclusion, SVM classifier is used in the experiment. The detection performance is evaluated by miss rate, the false positives per window, and the false positives per image. The results of these indicators further prove that description ability of HOG-LSS feature is better than other combination of these features. (C) 2014 Elsevier B.V. All rights reserved.</t>
  </si>
  <si>
    <t>Yao, Shihong; Pan, Shaoming; Wang, Tao; Zheng, Chunhou; Shen, Weiming; Chong, Yanwen</t>
  </si>
  <si>
    <t>Deep learning driven blockwise moving object detection with binary scene modeling</t>
  </si>
  <si>
    <t>As an important and challenging topic in computer vision, moving object detection is typically posed as a problem of scene analysis, which usually requires both robust feature description and effective statistical modeling. In general, the conventional detection methods make use of pre-defined hand-crafted features and sophisticated background models for scene analysis. Therefore, they usually have a low generalization capability of adapting to different scenes with diverse spatio-temporal motion information. In the face of high-definition video data, sophisticated statistical modeling often suffers from an expensive computation or memory cost because of its low efficiency in evaluation and parallelization. In order to address this issue, we propose a deep learning based block-wise scene analysis method equipped with a binary spatio-temporal scene model. Based on the stacked denoising autoencoder, the deep learning module of the proposed method aims to learn an effective deep image representation encoding the intrinsic scene information, which leads to the robustness of feature description. Furthermore, the proposed binary scene model captures the spatio-temporal scene distribution information in the Hamming space, which ensures the high efficiency of moving object detection. Experimental results on several datasets demonstrate the effectiveness and efficiency of the proposed method. (C) 2015 Elsevier B.V. All rights reserved.</t>
  </si>
  <si>
    <t>Zhang, Yaqing; Li, Xi; Zhang, Zhongfei; Wu, Fei; Zhao, Liming</t>
  </si>
  <si>
    <t>Human behavior analysis in video surveillance: A Social Signal Processing perspective</t>
  </si>
  <si>
    <t>The analysis of human activities is one of the most intriguing and important open issues for the automated video surveillance community. Since few years ago, it has been handled following a mere Computer Vision and Pattern Recognition perspective, where an activity corresponded to a temporal sequence of explicit actions (run, stop, sit, walk, etc.). Even under this simplistic assumption, the issue is hard, due to the strong diversity of the people appearance, the number of individuals considered (we may monitor single individuals, groups, crowd), the variability of the environmental conditions (indoor/outdoor, different weather conditions), and the kinds of sensors employed. More recently, the automated surveillance of human activities has been faced considering a new perspective, that brings in notions and principles from the social, affective, and psychological literature, and that is called Social Signal Processing (SSP). SSP employs primarily nonverbal cues, most of them are outside of conscious awareness, like face expressions and gazing, body posture and gestures, vocal characteristics, relative distances in the space and the like. This paper is the first review analyzing this new trend, proposing a structured snapshot of the state of the art and envisaging novel challenges in the surveillance domain where the cross-pollination of Computer Science technologies and Sociology theories may offer valid investigation strategies. (C) 2012 Elsevier B.V. All rights reserved.</t>
  </si>
  <si>
    <t>Cristani, Marco; Raghavendra, R.; Del Bue, Alessio; Murino, Vittorio</t>
  </si>
  <si>
    <t>Recognizing human interactions by genetic algorithm-based random forest spatio-temporal correlation</t>
  </si>
  <si>
    <t>Recognizing human interactions is a more challenging task than recognizing single person activities and has attracted much attention of the computer vision community. This paper proposes an innovative and effective way to recognize human interactions, which incorporates the advantages of both global motion context (MC) feature and spatio-temporal (S-T) correlation of local spatio-temporal interest point feature. The MC feature is used to train a random forest where genetic algorithm (GA) is applied to the training phase to achieve a good compromise between reliability and efficiency. Besides, we propose S-T correlation-based match, where MC's structure and Needleman-Wunsch algorithm are used to calculate the spatial and temporal correlation score of two videos, respectively. Experiments on the UT-Interaction dataset show that our approaches outperform other prevalent machine learning methods, and that the combination of GA search-based random forest and S-T correlation achieves the state-of-the-art performance.</t>
  </si>
  <si>
    <t>Li, Nijun; Cheng, Xu; Guo, Haiyan; Wu, Zhenyang</t>
  </si>
  <si>
    <t>Face recognition under pose variation with local Gabor features enhanced by Active Shape and Statistical Models</t>
  </si>
  <si>
    <t>Face recognition is one of the most active areas of research in computer vision. Gabor features have been used widely in face identification because of their good results and robustness. However, the results of face identification strongly depend on how different are the test and gallery images, as is the case in varying face pose. In this paper, a new Gabor-based method is proposed which modifies the grid from which the Gabor features are extracted using a mesh to model face deformations produced by varying pose. Also, a statistical model of the scores computed by using the Gabor features is used to improve recognition performance across pose. Our method incorporates blocks for illumination compensation by a Local Normalization method, and entropy weighted Gabor features to emphasize those features that improve proper identification. The method was tested on the FERET and CMU-PIE databases. Our literature review focused on articles with face identification with wide pose variation. Our results, compared to those of the literature review, achieved the highest classification accuracy on the FERET database with 2D face recognition methods. The performance obtained in the CMU-PIE database is among those obtained by the best methods published. (C) 2015 Elsevier Ltd. All rights reserved.</t>
  </si>
  <si>
    <t>Cament, Leonardo A.; Galdames, Francisco J.; Bowyer, Kevin W.; Perez, Claudio A.</t>
  </si>
  <si>
    <t>Image processing with neural networks - a review</t>
  </si>
  <si>
    <t>We review more than 200 applications of neural networks in image processing and discuss the present and possible future role of neural networks, especially feed-forward neural networks, Kohonen feature maps and Hopfield neural networks. The various applications are categorised into a novel two-dimensional taxonomy for image processing algorithms. One dimension specifies the type of task performed by the algorithm: preprocessing, data reduction, feature extraction, segmentation, object recognition, image understanding and optimisation. The other dimension captures the abstraction level of the input data processed by the algorithm: pixel-level, local feature-level. structure-level, object-level. object-set-level and scene characterisation. Each of the six types of tasks poses specific constraints to a neural-based approach. These specific conditions are discussed in detail. A synthesis is made Of unresolved problems related to the application of pattern recognition techniques in image processing and specifically to the application of neural networks. Finally, we present an outlook into the future application of neural networks and relate them to novel developments. (C) 2002 Pattern Recognition Society. Published by Elsevier Science Ltd. All rights reserved.</t>
  </si>
  <si>
    <t>Egmont-Petersen, M; de Ridder, D; Handels, H</t>
  </si>
  <si>
    <t>A survey on still image based human action recognition</t>
  </si>
  <si>
    <t>Recently still image-based human action recognition has become an active research topic in computer vision and pattern recognition. It focuses on identifying a person's action or behavior from a single image. Unlike the traditional action recognition approaches where videos or image sequences are used, a still image contains no temporal information for action characterization. Thus the prevailing spatio-temporal features for video-based action analysis are not appropriate for still image-based action recognition. It is more challenging to perform still image-based action recognition than the video-based one, given the limited source of information as well as the cluttered background for images collected from the Internet. On the other hand, a large number of still images exist over the Internet. Therefore it is demanding to develop robust and efficient methods for still image-based action recognition to understand the web images better for image retrieval or search. Based on the emerging research in recent years, it is time to review the existing approaches to still image-based action recognition and inspire more efforts to advance the field of research. We present a detailed overview of the state-of-the-art methods for still image-based action recognition, and categorize and describe various high-level cues and low-level features for action analysis in still images. All related databases are introduced with details. Finally, we give our views and thoughts for future research. (C) 2014 Elsevier Ltd. All rights reserved.</t>
  </si>
  <si>
    <t>Guo, Guodong; Lai, Alice</t>
  </si>
  <si>
    <t>Feature representation for statistical-learning-based object detection: A review</t>
  </si>
  <si>
    <t>Statistical-learning-based object detection is an important topic in computer vision. It learns visual representation from annotated exemplars to identify semantic defined objects in images. High-performance object detection is usually carried out in feature space and effective feature representation can improve the performance significantly. Feature representation is the encoding process which maps raw image pixels inside local regions into discriminant feature space. The motivation of this paper is to present a review on feature representation in recent object detection methods. Visual features applied in object detection are categorized according to the differences in computation and visual properties. The most valued features are introduced and discussed in detail. Representative extensions are introduced briefly for comparison. Descriptive power, robustness, compactness as well as computational efficiency are viewed as important properties. According to these properties, discussions are presented on the advantages and drawbacks of features. Besides, generic techniques such as dimension reduction and combination are introduced. Through this review, we would like to draw the feature sketch and provide new insights for feature utilization, in order to tackle future challenges of object detection. (C) 2015 Elsevier Ltd. All rights reserved.</t>
  </si>
  <si>
    <t>Li, Yali; Wang, Shengjin; Tian, Qi; Ding, Xiaoqing</t>
  </si>
  <si>
    <t>Low resolution pedestrian detection using light robust features and hierarchical system</t>
  </si>
  <si>
    <t>The pedestrian detection is a popular research field in recent years, yet the low-resolution issue is rarely discussed for yielding detection accuracy for drivers. In this study, a hierarchical pedestrian detection system is proposed to cope with this issue. In which, two independent features, orientation and magnitude, are adopted as descriptors for pedestrians. Moreover, the proposed probability-based pedestrian mask pre-filtering (PPMPF) is utilized to initially filter out non-pedestrian regions meanwhile retaining most of the real pedestrians. In experimental results, the use of the two proposed features can provide superior performance than the former well-known histogram of oriented gradient (HOG; high accuracy) and the edgelet (high processing efficiency) simultaneously without carrying their lacks. Moreover, the PPMPF can also boost the processing efficiency by a factor of around 2.82 in contrast to the system without this pre-filtering strategy. Thus, the proposed method can be a very competitive candidate for intelligent surveillance applications. (C) 2013 Elsevier Ltd. All rights reserved.</t>
  </si>
  <si>
    <t>Liu, Yun-Fu; Guo, Jing-Ming; Chang, Che-Hao</t>
  </si>
  <si>
    <t>Interactive image segmentation by maximal similarity based region merging</t>
  </si>
  <si>
    <t>Efficient and effective image segmentation is an important task in computer vision and object recognition. Since fully automatic image segmentation is usually very hard for natural images, interactive schemes with a few simple user inputs are good solutions. This paper presents a new region merging based interactive image segmentation method. The users only need to roughly indicate the location and region of the object and background by using strokes, which are called markers. A novel maximal-similarity based region merging mechanism is proposed to guide the merging process with the help of markers. A region R is merged with its adjacent region Q if Q has the highest similarity with Q among all Q's adjacent regions. The proposed method automatically merges the regions that are initially segmented by mean shift segmentation, and then effectively extracts the object contour by labeling all the non-marker regions as either background or object. The region merging process is adaptive to the image content and it does not need to set the similarity threshold in advance. Extensive experiments are performed and the results show that the proposed scheme can reliably extract the object contour from the complex background. (C) 2009 Elsevier Ltd. All rights reserved.</t>
  </si>
  <si>
    <t>Ning, Jifeng; Zhang, Lei; Zhang, David; Wu, Chengke</t>
  </si>
  <si>
    <t>Sparsity-inducing dictionaries for effective action classification</t>
  </si>
  <si>
    <t>Action recognition in unconstrained videos is one of the most important challenges in computer vision. In this paper, we propose sparsity-inducing dictionaries as an effective representation for action classification in videos. We demonstrate that features obtained from sparsity based representation provide discriminative information useful for classification of action videos into various action classes. We show that the constructed dictionaries are distinct for a large number of action classes resulting in a significant improvement in classification accuracy on the HMDB51 dataset. We further demonstrate the efficacy of dictionaries and sparsity based classification on other large action video datasets like UCF50. (C) 2016 Elsevier Ltd. All rights reserved.</t>
  </si>
  <si>
    <t>Roy, Debaditya; Srinivas, M.; Mohan, Krishna C.</t>
  </si>
  <si>
    <t>Graph-based representations and techniques for image processing and image analysis</t>
  </si>
  <si>
    <t>In this paper we will discuss the use of some graph-based representations and techniques for image processing and analysis, Instead of making an extensive review of the graph techniques in this field, we will explain how we are using these techniques in an active vision system for an autonomous mobile robot developed in the Institut de Robotica i Informatica Industrial within the project "Active Vision System with Automatic Learning Capacity for Industrial Applications (CICYT TAP98-0473)". Specifically we will discuss the use of graph-based representations and techniques for image segmentation, image perceptual grouping and object recognition. We first present a generalisation of a graph partitioning greedy algorithm for colour image segmentation. Next we describe a novel fusion of colour-based segmentation and depth front stereo that yields a graph representing every object in the scene. Finally we describe a new representation of a set of attributed graphs (AGs), denominated function-described graphs (FDGs), a distance measure for matching AGs with FDGs and some applications for robot vision. (C) 2001 Pattern Recognition Society. Published by Elsevier Science Ltd. All rights reserved.</t>
  </si>
  <si>
    <t>Sanfeliu, A; Alquezar, R; Andrade, J; Climent, J; Serratosa, F; Verges, J</t>
  </si>
  <si>
    <t>Structured dictionary learning for abnormal event detection in crowded scenes</t>
  </si>
  <si>
    <t>Abnormal event detection is now a widely concerned research topic, especially for crowded scenes. In recent years, many dictionary learning algorithms have been developed to learn normal event regularities, and have presented promising performance for abnormal event detection. However, they seldom consider the structural information, which plays important roles in many computer vision tasks, such as image denoising and segmentation. In this paper, structural information is explored within a sparse representation framework. On the one hand, we introduce a new concept named reference event, which indicates the potential event patterns in normal video events. Compared with abnormal events, normal ones are more likely to approximate these reference events. On the other hand, a smoothness regularization is constructed to describe the relationships among video events. The relationships consist of both similarities in the feature space and relative positions in the video sequences. In this case, video events related to each other are more likely to possess similar representations. The structured dictionary and sparse representation coefficients are optimized through an iterative updating strategy. In the testing phase, abnormal events are identified as samples which cannot be well represented using the learned dictionary. Extensive experiments and comparisons with state-of-the-art algorithms have been conducted to prove the effectiveness of the proposed algorithm. (C) 2017 Elsevier Ltd. All rights reserved.</t>
  </si>
  <si>
    <t>Yuan, Yuan; Feng, Yachuang; Lu, Xiaoqiang</t>
  </si>
  <si>
    <t>Deep adaptive feature embedding with local sample distributions for person re-identification</t>
  </si>
  <si>
    <t>Person re-identification (re-id) aims to match pedestrians observed by disjoint camera views. It attracts increasing attention in computer vision due to its importance to surveillance systems. To combat the major challenge of cross-view visual variations, deep embedding approaches are proposed by learning a compact feature space from images such that the Euclidean distances correspond to their cross-view similarity metric. However, the global Euclidean distance cannot faithfully characterize the ideal similarity in a complex visual feature space because features of pedestrian images exhibit unknown distributions due to large variations in poses, illumination and occlusion. Moreover, intra-personal training samples within a local range which are robust to guide deep embedding against uncontrolled variations cannot be captured by a global Euclidean distance. In this paper, we study the problem of person re-id by proposing a novel sampling to mine suitable positives (i.e., intra-class) within a local range to improve the deep embedding in the context of large intra-class variations. Our method is capable of learning a deep similarity metric adaptive to local sample structure by minimizing each sample's local distances while propagating through the relationship between samples to attain the whole intra-class minimization. To this end, a novel objective function is proposed to jointly optimize similarity metric learning, local positive mining and robust deep feature embedding. This attains local discriminations by selecting local-ranged positive samples, and the learned features are robust to dramatic intra-class variations. Experiments on benchmarks show state-of-the-art results achieved by our method. (C) 2017 Elsevier Ltd. All rights reserved.</t>
  </si>
  <si>
    <t>Wu, Lin; Wang, Yang; Gao, Junbin; Li, Xue</t>
  </si>
  <si>
    <t>Human activity recognition from 3D data: A review</t>
  </si>
  <si>
    <t>Human activity recognition has been an important area of computer vision research since the 1980s. Various approaches have been proposed with a great portion of them addressing this issue via conventional cameras. The past decade has witnessed a rapid development of 3D data acquisition techniques. This paper summarizes the major techniques in human activity recognition from 3D data with a focus on techniques that use depth data. Broad categories of algorithms are identified based upon the use of different features. The pros and cons of the algorithms in each category are analyzed and the possible direction of future research is indicated. (C) 2014 Elsevier B. V. All rights reserved.</t>
  </si>
  <si>
    <t>Aggarwal, J. K.; Xia, Lu</t>
  </si>
  <si>
    <t>TWM: A framework for creating highly compressible videos targeted to computer vision tasks</t>
  </si>
  <si>
    <t>We present a simple yet effective framework - Transmitting What Matters (TWM) - to generate highly compressible videos containing only relevant information targeted to specific computer vision tasks, such as faces for the task of face expression recognition, license plates for the task of optical character recognition, among others. TWM takes advantage of the final desired computer vision task to compose video frames only with the necessary data. The video frames are compressed and can be stored or transmitted to powerful servers where extensive and time-consuming tasks are performed. Experiments explore the trade-offs between distortion and bitrate for a wide range of compression levels, and the impact generated by compression artifacts on the accuracy of the desired vision task. We show that, for two computer vision tasks implemented by different methods, it is possible to dramatically reduce the amount of required data to be stored or transmitted, without compromising accuracy. With PSNRYUV quality of over 41 dB, the bitrate was reduced up to four times, while a detection task was affected by only similar to 1 pixel and a classification task by 1 similar to 2 percentage points. (C) 2017 Elsevier B.V. All rights reserved.</t>
  </si>
  <si>
    <t>Andalo, Fernanda A.; Penatti, Otavio A. B.; Testoni, Vanessa</t>
  </si>
  <si>
    <t>Face recognition using Histograms of Oriented Gradients</t>
  </si>
  <si>
    <t>Face recognition has been a long standing problem in computer vision. Recently, Histograms of Oriented Gradients (HOGs) have proven to be an effective descriptor for object recognition in general and face recognition in particular. In this paper, we investigate a simple but powerful approach to make robust use of HOG features for face recognition. The three main contributions of this work are: First, in order to compensate for errors in facial feature detection due to occlusions, pose and illumination changes, we propose to extract HOG descriptors from a regular grid. Second, fusion of HOG descriptors at different scales allows to capture important structure for face recognition. Third, we identify the necessity of performing dimensionality reduction to remove noise and make the classification process less prone to over-fitting. This is particularly important if HOG features are extracted from overlapping cells. Finally, experimental results on four databases illustrate the benefits of our approach. (C) 2011 Elsevier B.V. All rights reserved.</t>
  </si>
  <si>
    <t>Deniz, O.; Bueno, G.; Salido, J.; De la Torre, F.</t>
  </si>
  <si>
    <t>Simple Gabor feature space for invariant object recognition</t>
  </si>
  <si>
    <t>Invariant object recognition is one of the most challenging problems in computer vision. The authors propose a simple Gabor feature space, which has been successfully applied to applications, e.g., in invariant face detection to extract facial features in demanding environments. In the proposed feature space, illumination, rotation, scale, and translation invariant recognition of objects can be realized within a reasonable amount of computation. In this study, fundamental properties of Gabor features, construction of the simple feature space, and invariant search operations in the feature space are discussed in more detail. (C) 2003 Elsevier B.V. All rights reserved.</t>
  </si>
  <si>
    <t>Kyrki, V; Kamarainen, JK; Kalviainen, H</t>
  </si>
  <si>
    <t>Differential geometric representations and algorithms for some pattern recognition and computer vision problems</t>
  </si>
  <si>
    <t>Scene geometry, imaging laws, as well as computational mechanisms generate mathematical constraints on both raw data and computed features. In many cases, these constraints place the patterns on geometrically well-defined spaces, described as manifolds. In such cases, we argue that exploiting the geometry of these manifolds is important to our understanding of the objects and semantics in the imagery. Statistics and algorithms accounting for manifolds also yield improved performance in many vision applications. We justify these arguments by presenting our recent research efforts based on manifold theory for addressing a variety of pattern recognition and computer vision problems, including hashing on manifolds for efficient search, statistical modeling on Grassmann/Stiefel manifolds for activity recognition, discriminative learning for group motion recognition, stochastic optimization for spatio-temporal alignment, and shape matching. We also discuss the manifolds of re-parameterizations and elastic shapes, as well as applications of manifolds to face recognition and unsupervised adaptation of classification model from one domain to another. (C) 2013 Elsevier B. V. All rights reserved.</t>
  </si>
  <si>
    <t>Li, Ruonan; Turaga, Pavan; Srivastava, Anuj; Chellappa, Rama</t>
  </si>
  <si>
    <t>The three R's of computer vision: Recognition, reconstruction and reorganization</t>
  </si>
  <si>
    <t>We argue for the importance of the interaction between recognition, reconstruction and re-organization, and propose that as a unifying framework for computer vision. In this view, recognition of objects is reciprocally linked to re-organization, with bottom-up grouping processes generating candidates, which can be classified using top down knowledge, following which the segmentations can be refined again. Recognition of 3D objects could benefit from a reconstruction of 3D structure, and 3D reconstruction can benefit from object category-specific priors. We also show that reconstruction of 3D structure from video data goes hand in hand with the reorganization of the scene. We demonstrate pipelined versions of two systems, one for RGB-D images, and another for RGB images, which produce rich 3D scene interpretations in this framework. (C) 2016 Published by Elsevier B.V.</t>
  </si>
  <si>
    <t>Malik, Jitendra; Arbelaez, Pablo; Carreira, Joao; Fragkiadaki, Katerina; Girshick, Ross; Gkioxari, Georgia; Gupta, Saurabh; Hariharan, Bharath; Kar, Abhishek; Tulsiani, Shubham</t>
  </si>
  <si>
    <t>Improving detection speed in video by exploiting frame correlation</t>
  </si>
  <si>
    <t>Person detection is an important problem extensively studied in computer vision. While most of the approaches are designed for static images, person detection is applied on videos in many real-world scenarios. This is the case for video surveillance and other use cases where the detector remains a significant bottleneck in the system. In this paper we present a principled approach for speeding up the detection algorithm by exploiting the temporal information from the frames. For that purpose, we exploit the inter-frame correlation to accelerate the feature extraction and classification components of the detector. To speed-up the classifier we adapt the cascading threshold by exploiting the frame correlation. The proposed approach provides a speed-up of 5x times while maintaining or increasing the accuracy, or up-to 10x with a negligible drop in accuracy. Furthermore, the proposed approach is generic in nature and can be applied to a large family of methods based on region-proposal and sliding window mechanisms. (c) 2018 Elsevier B.V. All rights reserved.</t>
  </si>
  <si>
    <t>Mehta, Rakesh; Amores, Jaume</t>
  </si>
  <si>
    <t>Performance measures for object detection evaluation</t>
  </si>
  <si>
    <t>We propose a new procedure for quantitative evaluation of object detection algorithms. The procedure consists of a matching stage for finding correspondences between reference and output objects, an accuracy score that is sensitive to object shapes as well as boundary and fragmentation errors, and a ranking step for final ordering of the algorithms using multiple performance indicators. The procedure is illustrated on a building detection task where the resulting rankings are consistent with the visual inspection of the detection maps. (C) 2009 Elsevier B.V. All rights reserved.</t>
  </si>
  <si>
    <t>Ozdemir, Bahadir; Aksoy, Selim; Eckert, Sandra; Pesaresi, Martino; Ehrlich, Daniele</t>
  </si>
  <si>
    <t>Recognition of human activities using SVM multi-class classifier</t>
  </si>
  <si>
    <t>Even great efforts have been made for decades, the recognition of human activities is still an unmature technology that attracted plenty of people in computer vision. In this paper, a system framework is presented to recognize multiple kinds of activities from videos by an SVM multi-class classifier with a binary tree architecture. The framework is composed of three functionally cascaded modules: (a) detecting and locating people by non-parameter background subtraction approach, (b) extracting various of features such as local ones from the minimum bounding boxes of human blobs in each frames and a newly defined global one, contour coding of the motion energy image (CCMEI), and (c) recognizing activities of people by SVM multi-class classifier whose structure is determined by a clustering process. The thought of hierarchical classification is introduced and multiple SVMs are aggregated to accomplish the recognition of actions. Each SVM in the multi-class classifier is trained separately to achieve its best classification performance by choosing proper features before they are aggregated. Experimental results both on a home-brewed activity data set and the public Schuldt's data set show the perfect identification performance and high robustness of the system. (C) 2009 Elsevier B.V. All rights reserved.</t>
  </si>
  <si>
    <t>Qian, Huimin; Mao, Yaobin; Xiang, Wenbo; Wang, Zhiquan</t>
  </si>
  <si>
    <t>A study of deep convolutional auto-encoders for anomaly detection in videos</t>
  </si>
  <si>
    <t>The detection of anomalous behaviors in automated video surveillance is a recurrent topic in recent computer vision research. Depending on the application field, anomalies can present different characteristics and challenges. Convolutional Neural Networks have achieved the state-of-the-art performance for object recognition in recent years, since they learn features automatically during the training process. From the anomaly detection perspective, the Convolutional Autoencoder (CAE) is an interesting choice, since it captures the 2D structure in image sequences during the learning process. This work uses a CAE in the anomaly detection context, by applying the reconstruction error of each frame as an anomaly score. By exploring the CAE architecture, we also propose a method for aggregating high-level spatial and temporal features with the input frames and investigate how they affect the CAE performance. An easy-to-use measure of video spatial complexity was devised and correlated with the classification performance of the CAE. The proposed methods were evaluated by means of several experiments with public-domain datasets. The promising results support further research in this area. (c) 2017 Elsevier B.V. All rights reserved.</t>
  </si>
  <si>
    <t>Ribeiro, Manasses; Lazzaretti, Andre Eugenio; Lopes, Heitor Silverio</t>
  </si>
  <si>
    <t>Emotion recognition from mid-level features</t>
  </si>
  <si>
    <t>In this paper we present a study on the use of Action Units as mid level features for automatically recognizing basic and subtle emotions. We propose a representation model based on mid level facial muscular movement features. We encode these movements dynamically using the Facial Action Coding System, and propose to use these intermediate features based on Action Units (AUs) to classify emotions. AUs activations are detected fusing a set of spatiotemporal geometric and appearance features. The algorithm is validated in two applications: (i) the recognition of 7 basic emotions using the publicly available Cohn-Kanade database, and (ii) the inference of subtle emotional cues in the Newscast database. In this second scenario, we consider emotions that are perceived cumulatively in longer periods of time. In particular, we automatically classify whether video shoots from public News TV channels refer to Good or Bad news. To deal with the different video lengths we propose a Histogram of Action Units and compute it using a sliding window strategy on the frame sequences. Our approach achieves accuracies close to human perception. (C) 2015 Elsevier B.V. All rights reserved.</t>
  </si>
  <si>
    <t>Sanchez-Mendoza, David; Masip, David; Lapedriza, Agata</t>
  </si>
  <si>
    <t>Multiple scale-specific representations for improved human action recognition</t>
  </si>
  <si>
    <t>Human action recognition in video is important in many computer vision applications such as automated surveillance. Human actions can be compactly encoded using a sparse set of local spatio-temporal salient features at different scales. The existing bottom-up methods construct a single dictionary of action primitives from the joint features of all scales and hence, a single action representation. This representation cannot fully exploit the complementary characteristics of the motions across different scales. To address this problem, we introduce the concept of learning multiple dictionaries of action primitives at different resolutions and consequently, multiple scale-specific representations for a given video sample. Using a decoupled fusion of multiple representations, we improved the human classification accuracy of realistic benchmark databases by about 5%, compared with the state-of-the art methods. (C) 2013 Elsevier B.V. All rights reserved.</t>
  </si>
  <si>
    <t>Shabani, Amir H.; Zelek, John S.; Clausi, David A.</t>
  </si>
  <si>
    <t>Autonomous in situ training of classification modules in real-time vision systems and its application to pedestrian recognition</t>
  </si>
  <si>
    <t>This contribution describes a classification module integrated into an image processing system consisting of a subsequent detection, tracking, and classification stage that extends its "knowledge" about a certain object class by autonomous in situ training. In our scenario, a classifier initially trained with front and rear views of pedestrians mainly in dark clothes subsequently extends its recognition capabilities in a first step towards lateral views of pedestrians in dark clothes, in a second step towards lateral views of pedestrians wearing both dark and bright clothes. Although supervised training algorithms are applied, at no point during the autonomous in situ training processes is an interaction with a human operator necessary; all training labels are autonomously generated by computing track-specific class assignments from time-step-specific class assignments. It is demonstrated that a significant improvement of the recognition performance with respect to new appearances, i.e., lateral views, of pedestrians, can be achieved without "forgetting" the initial front and rear views. (C) 2002 Elsevier Science B.V. All rights reserved.</t>
  </si>
  <si>
    <t>Wohler, C</t>
  </si>
  <si>
    <t>Empirical analysis of detection cascades of boosted classifiers for rapid object detection</t>
  </si>
  <si>
    <t>Recently Viola et al. have introduced a rapid object detection scheme based on a boosted cascade of simple feature classifiers. In this paper we introduce and empirically analysis two extensions to their approach: Firstly, a novel set of rotated haar-like features is introduced. These novel features significantly enrich the simple features of [6] and can also be calculated efficiently. With these new rotated features our sample face detector shows off on average a 10% lower false alarm rate at a given hit rate. Secondly, we present a through analysis of different boosting algorithms (namely Discrete, Real and Gentle Adaboost) and weak classifiers on the detection performance and computational complexity. We will see that Gentle Adaboost with small CART trees as base classifiers outperform Discrete Adaboost and stumps. The complete object detection training and detection system as well as a trained face detector are available in the Open Computer Vision Library at sourceforge.net [8].</t>
  </si>
  <si>
    <t>Lienhart, R; Kuranov, A; Pisarevsky, V</t>
  </si>
  <si>
    <t>Robust real-time human activity recognition from tracked face displacements</t>
  </si>
  <si>
    <t>We are interested in the challenging scientific pursuit of how to characterize human activities in any formal meeting situation by tracking people's positions with a computer vision system. We present a human activity recognition algorithm that works within the framework of CAMEO (the Camera Assisted Meeting Event Observer), a panoramic vision system designed to operate in real-time and in uncalibrated environments. Hunan activity is difficult to characterize within the constraints that the CAMEO must operate, including uncalibrated deployment and unmodeled occlusions. This paper describes these challenges and how we address them by identifying invariant features and robust activity models. We present experimental results of our recognizer correctly classifying person data.</t>
  </si>
  <si>
    <t>Rybski, PE; Veloso, MM</t>
  </si>
  <si>
    <t>Robust camera pose and scene structure analysis for service robotics</t>
  </si>
  <si>
    <t>Successful path planning and object manipulation in service robotics applications rely both on a good estimation of the robot's position and orientation (pose) in the environment, as well as on a reliable understanding of the visualized scene. In this paper a robust real-time camera pose and a scene structure estimation system is proposed. First, the pose of the camera is estimated through the analysis of the so-called tracks. The tracks include key features from the imaged scene and geometric constraints which are used to solve the pose estimation problem. Second, based on the calculated pose of the camera, i.e. robot, the scene is analyzed via a robust depth segmentation and object classification approach. In order to reliably segment the object's depth, a feedback control technique at an image processing level has been used with the purpose of improving the robustness of the robotic vision system with respect to external influences, such as cluttered scenes and variable illumination conditions. The control strategy detailed in this paper is based on the traditional open-loop mathematical model of the depth estimation process. In order to control a robotic system, the obtained visual information is classified into objects of interest and obstacles. The proposed scene analysis architecture is evaluated through experimental results within a robotic collision avoidance system. (C) 2011 Elsevier B.V. All rights reserved.</t>
  </si>
  <si>
    <t>Grigorescu, Sorin M.; Macesanu, Gigel; Cocias, Tiberiu T.; Puiu, Dan; Moldoveanu, Florin</t>
  </si>
  <si>
    <t>RIMOC, a feature to discriminate unstructured motions: Application to violence detection for video-surveillance</t>
  </si>
  <si>
    <t>In video-surveillance, violent event detection is of utmost interest. Although action recognition has been well studied in computer vision, literature for violence detection in video is far sparser, and even more for surveillance applications. As aggressive events are difficult to define due to their variability and often need high-level interpretation, we decided to first try to characterize what is frequently present in video with violent human behaviors, at a low level: jerky and unstructured motion. Thus, a novel problem-specific Rotation-Invariant feature modeling MOtion Coherence (RIMOC) was proposed, in order to capture its structure and discriminate the unstructured motions. It is based on the eigenvalues obtained from the second-order statistics of the Histograms of Optical Flow vectors from consecutive temporal instants, locally and densely computed, and further embedded into a spheric Riemannian manifold.The proposed RIMOC feature is used to learn statistical models of normal coherent motions in a weakly supervised manner. A multi-scale scheme applied on an inference-based method allows the events with erratic motion to be detected in space and time, as good candidates of aggressive events.We experimentally show that the proposed method produces results comparable to a state-of-the-art supervised approach, with added simplicity in training and computation. Thanks to the compactness of the feature, real-time computation is achieved in learning as well as in detection phase. Extensive experimental tests on more than 18 h of video are provided in different in-lab and real contexts, such as railway cars equipped with on-board cameras. (C) 2015 Elsevier Inc. All rights reserved.</t>
  </si>
  <si>
    <t>Ribeiro, Pedro Canotilho; Audigier, Romaric; Quoc Cuong Pham</t>
  </si>
  <si>
    <t>Spatio-temporal texture modelling for real-time crowd anomaly detection</t>
  </si>
  <si>
    <t>With the rapidly increasing demands from surveillance and security industries, crowd behaviour analysis has become one of the hotly pursued video event detection frontiers within the computer vision arena in recent years. This research has investigated innovative crowd behaviour detection approaches based on statistical crowd features extracted from video footages. In this paper, a new crowd video anomaly detection algorithm has been developed based on analysing the extracted spatio-temporal textures. The algorithm has been designed for real-time applications by deploying low-level statistical features and alleviating complicated machine learning and recognition processes. In the experiments, the system has been proven a valid solution for detecting anomaly behaviours without strong assumptions on the nature of crowds, for example, subjects and density. The developed prototype shows improved adaptability and efficiency against chosen benchmark systems. (C) 2015 Elsevier Inc. All rights reserved.</t>
  </si>
  <si>
    <t>Wang, Jing; Xu, Zhijie</t>
  </si>
  <si>
    <t>Recent survey on crowd density estimation and counting for visual surveillance</t>
  </si>
  <si>
    <t>Automated crowd density estimation and counting are popular and important topic in crowd analysis. The last decades witnessed different of many significant publications in this field and it has been and still a challenging problem for automatic visual surveillance over many years. This paper presents a survey on crowd density estimation and counting methods employed for visual surveillance in the perspective of computer vision research. This survey covers two main approaches which are direct approach (i.e., object based target detection) and indirect approach (e.g. pixel-based, texture-based, and corner points based analysis). This review categorizes and delineates several crowd density estimation and counting methods that have been applied for the examination of crowd scenes. (C) 2015 Elsevier Ltd. All rights reserved.</t>
  </si>
  <si>
    <t>Saleh, Sami Abdulla Mohsen; Suandi, Shahrel Azmin; Ibrahim, Haidi</t>
  </si>
  <si>
    <t>A Survey of Automatic Event Detection in Multi-Camera Third Generation Surveillance Systems</t>
  </si>
  <si>
    <t>Third generation surveillance systems are largely requested for intelligent surveillance of different scenarios such as public areas, urban traffic control, smart homes and so on. They are based on multiple cameras and processing modules that integrate data coming from a large surveillance space. The semantic interpretation of data from a multi-view context is a challenging task and requires the development of image processing methodologies that could support applications in extensive and real-time contexts. This paper presents a survey of automatic event detection functionalities that have been developed for third generation surveillance systems with a particular emphasis on open problems that limit the application of computer vision methodologies to commercial multi-camera systems.</t>
  </si>
  <si>
    <t>D'Orazio, Tiziana; Guaragnella, Cataldo</t>
  </si>
  <si>
    <t>Context-based person identification framework for smart video surveillance</t>
  </si>
  <si>
    <t>Smart video surveillance (SVS) applications enhance situational awareness by allowing domain analysts to focus on the events of higher priority. SVS approaches operate by trying to extract and interpret higher "semantic" level events that occur in video. One of the key challenges of SVS is that of person identification where the task is for each subject that occurs in a video shot to identify the person it corresponds to. The problem of person identification is especially challenging in resource-constrained environments where transmission delay, bandwidth restriction, and packet loss may prevent the capture of high-quality data. Conventional person identification approaches which primarily are based on analyzing facial features are often not sufficient to deal with poor-quality data. To address this challenge, we propose a framework that leverages heterogeneous contextual information together with facial features to handle the problem of person identification for low-quality data. We first investigate the appropriate methods to utilize heterogeneous context features including clothing, activity, human attributes, gait, people co-occurrence, and so on. We then propose a unified approach for person identification that builds on top of our generic entity resolution framework called RelDC, which can integrate all these context features to improve the quality of person identification. This work thus links one well-known problem of person identification from the computer vision research area (that deals with video/images) with another well-recognized challenge known as entity resolution from the database and AI/ML areas (that deals with textual data). We apply the proposed solution to a real-world dataset consisting of several weeks of surveillance videos. The results demonstrate the effectiveness and efficiency of our approach even on low-quality video data.</t>
  </si>
  <si>
    <t>Zhang, Liyan; Kalashnikov, Dmitri V.; Mehrotra, Sharad; Vaisenberg, Ronen</t>
  </si>
  <si>
    <t>Visual Tracking: An Experimental Survey</t>
  </si>
  <si>
    <t>There is a large variety of trackers, which have been proposed in the literature during the last two decades with some mixed success. Object tracking in realistic scenarios is a difficult problem, therefore, it remains a most active area of research in computer vision. A good tracker should perform well in a large number of videos involving illumination changes, occlusion, clutter, camera motion, low contrast, specularities, and at least six more aspects. However, the performance of proposed trackers have been evaluated typically on less than ten videos, or on the special purpose datasets. In this paper, we aim to evaluate trackers systematically and experimentally on 315 video fragments covering above aspects. We selected a set of nineteen trackers to include a wide variety of algorithms often cited in literature, supplemented with trackers appearing in 2010 and 2011 for which the code was publicly available. We demonstrate that trackers can be evaluated objectively by survival curves, Kaplan Meier statistics, and Grubs testing. We find that in the evaluation practice the F-score is as effective as the object tracking accuracy (OTA) score. The analysis under a large variety of circumstances provides objective insight into the strengths and weaknesses of trackers.</t>
  </si>
  <si>
    <t>Smeulders, Arnold W. M.; Chu, Dung M.; Cucchiara, Rita; Calderara, Simone; Dehghan, Afshin; Shah, Mubarak</t>
  </si>
  <si>
    <t>A survey of approaches and trends in person re-identification</t>
  </si>
  <si>
    <t>Person re-identification is a fundamental task in automated video surveillance and has been an area of intense research in the past few years. Given an image/video of a person taken from one camera, re-identification is the process of identifying the person from images/videos taken from a different camera. Re-identification is indispensable in establishing consistent labeling across multiple cameras or even within the same camera to reestablish disconnected or lost tracks. Apart from surveillance it has applications in robotics, multimedia and forensics. Person re-identification is a difficult problem because of the visual ambiguity and spatiotemporal uncertainty in a person's appearance across different cameras. These difficulties are often compounded by low resolution images or poor quality video feeds with large amounts of unrelated information in them that does not aid re-identification. The spatial or temporal conditions to constrain the problem are hard to capture. However, the problem has received significant attention from the computer vision research community due to its wide applicability and utility. In this paper, we explore the problem of person re-identification and discuss the current solutions. Open issues and challenges of the problem are highlighted with a discussion on potential directions for further research. (C) 2014 Elsevier B.V. All rights reserved.</t>
  </si>
  <si>
    <t>Bedagkar-Gala, Apurva; Shah, Shishir K.</t>
  </si>
  <si>
    <t>Image contrast enhancement for intelligent surveillance systems using multi-local histogram transformation</t>
  </si>
  <si>
    <t>Among all applications to monitor the safety and security of working environments, surveillance systems that use computer vision are the most efficient and intuitive in the manufacturing industry. This paper introduces a new technique of contrast enhancement for surveillance systems using computer vision. The histogram equalization method is a common and widespread image enhancement method which maximizes the contrast of the image. This contrast enhancement method usually improves the quality of images, but it can suffer from visual deterioration caused by excessive histogram modification. To overcome the limitations of conventional contrast enhancement methods, this paper introduces a new multi-local histogram transformation method for surveillance systems. This technique is based on the local histograms, which are separated from the overall histogram of the image, and the contrast of the image can be enhanced through two major processes: range reassignment of local histograms and local histogram equalization. The multi-local histogram transformation in this paper enhances the contrast of images, preventing excessive compression and extension of image histograms. The performance of the suggested contrast enhancement method is verified by the experiments in four different environments.</t>
  </si>
  <si>
    <t>Kwak, Hwan-Joo; Park, Gwi-Tae</t>
  </si>
  <si>
    <t>JOURNAL OF INTELLIGENT MANUFACTURING</t>
  </si>
  <si>
    <t>Activity Recognition Using A Mixture of Vector Fields</t>
  </si>
  <si>
    <t>The analysis of moving objects in image sequences (video) has been one of the major themes in computer vision. In this paper, we focus on video-surveillance tasks; more specifically, we consider pedestrian trajectories and propose modeling them through a small set of motion/vector fields together with a space-varying switching mechanism. Despite the diversity of motion patterns that can occur in a given scene, we show that it is often possible to find a relatively small number of typical behaviors, and model each of these behaviors by a "simple" motion field. We increase the expressiveness of the formulation by allowing the trajectories to switch from one motion field to another, in a space-dependent manner. We present an expectation-maximization algorithm to learn all the parameters of the model, and apply it to trajectory classification tasks. Experiments with both synthetic and real data support the claims about the performance of the proposed approach.</t>
  </si>
  <si>
    <t>Nascimento, Jacinto C.; Figueiredo, Mario A. T.; Marques, Jorge S.</t>
  </si>
  <si>
    <t>Tracking Pedestrians Using Local Spatio-Temporal Motion Patterns in Extremely Crowded Scenes</t>
  </si>
  <si>
    <t>Tracking pedestrians is a vital component of many computer vision applications, including surveillance, scene understanding, and behavior analysis. Videos of crowded scenes present significant challenges to tracking due to the large number of pedestrians and the frequent partial occlusions that they produce. The movement of each pedestrian, however, contributes to the overall crowd motion (i.e., the collective motions of the scene's constituents over the entire video) that exhibits an underlying spatially and temporally varying structured pattern. In this paper, we present a novel Bayesian framework for tracking pedestrians in videos of crowded scenes using a space-time model of the crowd motion. We represent the crowd motion with a collection of hidden Markov models trained on local spatio-temporal motion patterns, i.e., the motion patterns exhibited by pedestrians as they move through local space-time regions of the video. Using this unique representation, we predict the next local spatio-temporal motion pattern a tracked pedestrian will exhibit based on the observed frames of the video. We then use this prediction as a prior for tracking the movement of an individual in videos of extremely crowded scenes. We show that our approach of leveraging the crowd motion enables tracking in videos of complex scenes that present unique difficulty to other approaches.</t>
  </si>
  <si>
    <t>Kratz, Louis; Nishino, Ko</t>
  </si>
  <si>
    <t>Motion history image: its variants and applications</t>
  </si>
  <si>
    <t>The motion history image (MHI) approach is a view-based temporal template method which is simple but robust in representing movements and is widely employed by various research groups for action recognition, motion analysis and other related applications. In this paper, we provide an overview of MHI-based human motion recognition techniques and applications. Since the inception of the MHI template for motion representation, various approaches have been adopted to improve this basic MHI technique. We present all important variants of the MHI method. This paper points some areas for further research based on the MHI method and its variants.</t>
  </si>
  <si>
    <t>Ahad, Md. Atiqur Rahman; Tan, J. K.; Kim, H.; Ishikawa, S.</t>
  </si>
  <si>
    <t>A survey of vision-based methods for action representation, segmentation and recognition</t>
  </si>
  <si>
    <t>Action recognition has become a very important topic in computer vision, with many fundamental applications, in robotics, video surveillance, human-computer interaction, and multimedia retrieval among others and a large variety of approaches have been described. The purpose of this survey is to give an overview and categorization of the approaches used. We concentrate on approaches that aim on classification of full-body motions, such as kicking, punching, and waving, and we categorize them according to how they represent the spatial and temporal structure of actions; how they segment actions from an input stream of visual data; and how they learn a view-invariant representation of actions. (C) 2010 Elsevier Inc. All rights reserved.</t>
  </si>
  <si>
    <t>Weinland, Daniel; Ronfard, Remi; Boyer, Edmond</t>
  </si>
  <si>
    <t>A bio-inspired system model for interactive surveillance applications</t>
  </si>
  <si>
    <t>Advances in computer vision and pattern recognition research are leading to video surveillance systems with improved scene analysis capabilities. However, up to now few works have handled the problem of how the system, along with a human operator, can actively cope with detected anomalous events. In this paper, on the basis of recent studies on artificial cognitive systems, a general framework is proposed for designing interactive, adaptable and intelligent surveillance systems. The aim of the system is to react to situations in a preventive way using actuators installed in the monitored environment. An application of the proposed system is introduced where a guard is supported in pursuing an intruder. The operator is first localized and tracked and then multi-modal guidance messages are communicated to him on a mobile device. Previous experience on the interaction dynamics between the two players is provided by a simulator, modeling guard and intruder behaviors, to predict near future events and decide the appropriate messages to be sent. Results on real world video sequences show the reliability of the simulated data to build up interaction models and predict near future events. Moreover, the system capability of learning relationships with the operator to establish efficient and personalized communications is verified.</t>
  </si>
  <si>
    <t>Dore, Alessio; Pinasco, Matteo; Ciardelli, Lorenzo; Regazzoni, Carlo</t>
  </si>
  <si>
    <t>Performance evaluation of an intelligent video surveillance system - A case study</t>
  </si>
  <si>
    <t>Intelligent video surveillance (IVS) technology is on the cusp of moving from early adopters to general acceptance in several markets such as security and business intelligence. This transition has been made possible by embedding computer vision technologies directly into video devices such as cameras, encoders, routers, DVRs, NVRs, and other video management and storage hardware. For this technology to be successful, it is crucial that IVS systems can be deployed easily, without requiring computer vision expertise to customize them for every installation; and that the systems work robustly in a wide range of environments. One of the key enablers to achieve this goal is proper testing. This paper discusses some of the major challenges involved and provides a case study for addressing the problem. One of the key concepts is utilizing fuzzy evaluation to handle boundary conditions. (c) 2010 Elsevier Inc. All rights reserved.</t>
  </si>
  <si>
    <t>Venetianer, Peter L.; Deng, Hongli</t>
  </si>
  <si>
    <t>Monocular Pedestrian Detection: Survey and Experiments</t>
  </si>
  <si>
    <t>Pedestrian detection is a rapidly evolving area in computer vision with key applications in intelligent vehicles, surveillance, and advanced robotics. The objective of this paper is to provide an overview of the current state of the art from both methodological and experimental perspectives. The first part of the paper consists of a survey. We cover the main components of a pedestrian detection system and the underlying models. The second (and larger) part of the paper contains a corresponding experimental study. We consider a diverse set of state-of-the-art systems: wavelet-based AdaBoost cascade [74], HOG/linSVM [11], NN/LRF [75], and combined shape-texture detection [23]. Experiments are performed on an extensive data set captured onboard a vehicle driving through urban environment. The data set includes many thousands of training samples as well as a 27-minute test sequence involving more than 20,000 images with annotated pedestrian locations. We consider a generic evaluation setting and one specific to pedestrian detection onboard a vehicle. Results indicate a clear advantage of HOG/linSVM at higher image resolutions and lower processing speeds, and a superiority of the wavelet-based AdaBoost cascade approach at lower image resolutions and (near) real-time processing speeds. The data set (8.5 GB) is made public for benchmarking purposes.</t>
  </si>
  <si>
    <t>Enzweiler, Markus; Gavrila, Dariu M.</t>
  </si>
  <si>
    <t>People detection in low-resolution video with non-stationary background</t>
  </si>
  <si>
    <t>In this paper, we present a framework for robust people detection in low resolution image sequences of highly cluttered dynamic scenes with non-stationary background. Our model utilizes appearance features together with short- and long-term motion information. In particular, we boost Integral Gradient Orientation histograms of appearance and short-term motion. Outputs from the detector are maintained by a tracker to correct any misdetections. A Bayesian model is then deployed to further fuse long-term motion information based on correlation. Experiments show that our model is more robust with better detection rate compared to the model of Viola et al. [Michael J. Jones Paul Viola, Daniel Snow, Detecting pedestrians using patterns of motion and appearance, International journal of Computer Vision 63(2) (2005) 153-161]. (C) 2008 Elsevier B.V. All rights reserved.</t>
  </si>
  <si>
    <t>Zhang, Jianguo; Gong, Shaogang</t>
  </si>
  <si>
    <t>Learning Atomic Human Actions Using Variable-Length Markov Models</t>
  </si>
  <si>
    <t>Visual analysis of human behavior has generated considerable interest in the field of computer vision because of its wide spectrum of potential applications. Human behavior can be segmented into atomic actions, each of which indicates a basic and complete movement. Learning and recognizing atomic human actions are essential to human behavior analysis. In this paper, we propose a framework for handling this task using variable-length Markov models (VLMMs). The framework is comprised of the following two modules: a posture labeling module and a VLMM atomic action learning and recognition module. First, a posture template selection algorithm, based on a modified shape context matching technique, is developed. The selected posture templates form a codebook that is used to convert input posture sequences into discrete symbol sequences for subsequent processing. Then, the VLMM technique is applied to learn the training symbol sequences of atomic actions. Finally, the constructed VLMMs are transformed into hidden Markov models (HMMs) for recognizing input atomic actions. This approach combines the advantages of the excellent learning function of a VLMM and the fault-tolerant recognition ability of an HMM. Experiments on realistic data demonstrate the efficacy of the proposed system.</t>
  </si>
  <si>
    <t>Liang, Yu-Ming; Shih, Sheng-Wen; Shih, Arthur Chun-Chieh; Liao, Hong-Yuan Mark; Lin, Cheng-Chung</t>
  </si>
  <si>
    <t>Human posture recognition for intelligent vehicles</t>
  </si>
  <si>
    <t>Pedestrian detection systems are finding their way into many modern "intelligent" vehicles. The body posture could reveal further insight about the pedestrian's intent and her awareness of the oncoming car. This article details the algorithms and implementation of a library for real-time body posture recognition. It requires prior person detection and then calculates overall stance, torso orientation in four increments, and head location and orientation, all based on individual frames. A syntactic post-processing module takes temporal information into account and smoothes the results over time while correcting improbable configurations. We show accuracy and timing measurements for the library and its utilization in a training application.</t>
  </si>
  <si>
    <t>Wachs, Juan P.; Koelsch, Mathias; Goshorn, Deborah</t>
  </si>
  <si>
    <t>An enhanced framework for multimedia data: Green transmission and portrayal for smart traffic system</t>
  </si>
  <si>
    <t>The object tracking in video surveillance for intelligent traffic handling in smart cities requires an enormous amount of data called big data to be transmitted over the network using the Internet of Things. Manual monitoring and surveillance are impossible because traditional computer vision technologies are no more useful for massive processing and intelligent decision making. In this paper, a framework is proposed which enables both on spot data processing and intelligent decision making by using cloud computing. The developed application is a trained on Artificial Neural Network, which can handle different traffic techniques with congested traffic scenario and priorities traffic such as ambulance handling. The Message Queue Telemetry Transport protocol is used for green transmission with mobile access to traffic data. The results analyzed with thirty videos processed data which handle real-time data prioritization for the people for smart surveillance to fastest route and enhance the intelligent data transmission. (C) 2018 Elsevier Ltd. All rights reserved.</t>
  </si>
  <si>
    <t>Iqbal, Muhamad Munwar; Mehmood, Muhammad Tahir; Jabbar, Sohail; Khalid, Shehzad; Ahmad, Awais; Jeon, Gwanggil</t>
  </si>
  <si>
    <t>COMPUTERS &amp; ELECTRICAL ENGINEERING</t>
  </si>
  <si>
    <t>Fog-Based Crime-Assistance in Smart IoT Transportation System</t>
  </si>
  <si>
    <t>Smart transportation safety (STS) envisions improving public safety through a significant paradigm shift for police authority responses on crimes toward a pro-active one. The application of smart surveillance in STS is critical for automatic and accurate identification of events in case of security threats in target environments. Cloud computing reduces costs and high resource consumption of smart surveillance capable STS systems, at the cost of introducing additional latency through far away centralized systems. In this paper, the fog-framework for intelligent public safety in vehicular environment (FISVER) framework applies fog computing in smart video surveillance-based STS to enhance crime assistance in a cost-efficient way. Through fog-FISVER, in-vehicle and fog infrastructures support autonomous and real-time crime detection on public bus services. A fog-FISVER laboratory testbed prototype was created and extensive evaluations in a real testbed were performed. Results show that fog-FISVER delivers outstanding system performance and device survivability behavior over typical STS use cases.</t>
  </si>
  <si>
    <t>Neto, Augusto J. V.; Zhao, Zhongliang; Rodrigues, Joel J. P. C.; Camboim, Hugo Barros; Braun, Torsten</t>
  </si>
  <si>
    <t>IEEE ACCESS</t>
  </si>
  <si>
    <t>230-Distributed and Efficient Object Detection in Edge Computing: Challenges and Solutions-(Ren. Et al, 2018)</t>
  </si>
  <si>
    <t>Distributed and Efficient Object Detection in Edge Computing: Challenges and Solutions</t>
  </si>
  <si>
    <t>In the past decade, it was a significant trend for surveillance applications to send huge amounts of real-time media data to the cloud via dedicated high-speed fiber networks. However, with the explosion of mobile devices and services in the era of Internet-of-Things, it becomes more promising to undertake real-time data processing at the edge of the network in a distributed way. Moreover, in order to reduce the investment of network deployment, media communication in surveillance applications is gradually changing to be wireless. It consequently poses great challenges to detect objects at the edge in a distributed and communication-efficient way. In this article, we propose an edge computing based object detection architecture to achieve distributed and efficient object detection via wireless communications for real-time surveillance applications. We first introduce the proposed architecture as well as its potential benefits, and identify the associated challenges in the implementation of the architecture. Then, a case study is presented to show our preliminary solution, followed by performance evaluation results. Finally, future research directions are pointed out for further studies.</t>
  </si>
  <si>
    <t>Ren, Ju; Guo, Yundi; Zhang, Deyu; Liu, Qingqing; Zhang, Yaoxue</t>
  </si>
  <si>
    <t>IEEE NETWORK</t>
  </si>
  <si>
    <t>231-Video surveillance systems-current status and future trends-(Tsakanikas, 2018)</t>
  </si>
  <si>
    <t>Video surveillance systems-current status and future trends</t>
  </si>
  <si>
    <t>Within this survey an attempt is made to document the present status of video surveillance systems. The main components of a surveillance system are presented and studied thoroughly. Algorithms for image enhancement, object detection, object tracking, object recognition and item re-identification are presented. The most common modalities utilized by surveillance systems are discussed, putting emphasis on video, in terms of available resolutions and new imaging approaches, like High Dynamic Range video. The most important features and analytics are presented, along with the most common approaches for image / video quality enhancement. Distributed computational infrastructures are discussed (Cloud, Fog and Edge Computing), describing the advantages and disadvantages of each approach. The most important deep learning algorithms are presented, along with the smart analytics that they utilize. Augmented reality and the role it can play to a surveillance system is reported, just before discussing the challenges and the future trends of surveillance. (C) 2017 Elsevier Ltd. All rights reserved.</t>
  </si>
  <si>
    <t>Tsakanikas, Vassilios; Dagiuklas, Tasos</t>
  </si>
  <si>
    <t>Metropolitan intelligent surveillance systems for urban areas by harnessing IoT and edge computing paradigms</t>
  </si>
  <si>
    <t>Recent technological advances led to the rapid and uncontrolled proliferation of intelligent surveillance systems (ISSs), serving to supervise urban areas. Driven by pressing public safety and security requirements, modern cities are being transformed into tangled cyber-physical environments, consisting of numerous heterogeneous ISSs under different administrative domains with low or no capabilities for reuse and interaction. This isolated pattern renders itself unsustainable in city-wide scenarios that typically require to aggregate, manage, and process multiple video streams continuously generated by distributed ISS sources. A coordinated approach is therefore required to enable an interoperable ISS for metropolitan areas, facilitating technological sustainability to prevent network bandwidth saturation. To meet these requirements, this paper combines several approaches and technologies, namely the Internet of Things, cloud computing, edge computing and big data, into a common framework to enable a unified approach to implementing an ISS at an urban scale, thus paving the way for the metropolitan intelligent surveillance system (MISS). The proposed solution aims to push data management and processing tasks as close to data sources as possible, thus increasing performance and security levels that are usually critical to surveillance systems. To demonstrate the feasibility and the effectiveness of this approach, the paper presents a case study based on a distributed ISS scenario in a crowded urban area, implemented on clustered edge devices that are able to off-load tasks in a horizontal manner in the context of the developed MISS framework. As demonstrated by the initial experiments, the MISS prototype is able to obtain face recognition results 8 times faster compared with the traditional off-loading pattern, where processing tasks are pushed vertically to the cloud.</t>
  </si>
  <si>
    <t>Dautov, Rustem; Distefano, Salvatore; Bruneo, Dario; Longo, Francesco; Merlino, Giovanni; Puliafito, Antonio; Buyya, Rajkumar</t>
  </si>
  <si>
    <t>SOFTWARE-PRACTICE &amp; EXPERIENCE</t>
  </si>
  <si>
    <t>Progressive Streaming of Video Data for Traffic Surveillance</t>
  </si>
  <si>
    <t>Traffic surveillance has been one of the essential attributes in smart city concept. Nowadays, in such applications rotating camera is preferred over static camera. Motivation behind this substitution is to reduce the cost of data transmission and Total of cost of ownership. To design an optimal and performant wireless 'smart city area network' for video surveillance systems, this paper focuses on some key areas, namely, transmission efficiency, lossless video data coding, data congestion, edge computing at transmission nodes. The end objective is to achieve high quality received video stream in spite of compressed data transmission. Some research initiatives in this domain are pertinent. For example, Structural Similarity Index (SSIM) based rate distortion optimization is an effective tool in enhancing the perceptual video quality in wireless environments. However, prevailing system does not consider the network congestion conditions, affecting quality of received video. Also, effect of distortion introduced by 'channel noise' is unattended. This motivated us to propose a new dual metric traffic control mechanism, wherein both metrics i.e. distortion and data congestion are considered. It is based on an 'improvised SSIM' method which incorporates the 'Rate of allocation' algorithm as a function. Experimental results unveil that the proposed traffic control using similarity index under noise diversity can achieve better video quality and more data throughput.</t>
  </si>
  <si>
    <t>Patil, Shivprasad P.; Sanyal, Rajarshi; Prasad, Ramjee</t>
  </si>
  <si>
    <t>WIRELESS PERSONAL COMMUNICATIONS</t>
  </si>
  <si>
    <t>Edge Computing Framework for Cooperative Video Processing in Multimedia IoT Systems</t>
  </si>
  <si>
    <t>Multimedia Internet-of-Things (IoT) systems have been widely used in surveillance, automatic behavior analysis and event recognition, which integrate image processing, computer vision, and networking capabilities. In conventional multimedia IoT systems, videos captured by surveillance cameras are required to be delivered to remote IoT servers for video analysis. However, the long-distance transmission of a large volume of video chunks may cause congestions and delays due to limited network bandwidth. Nowadays, mobile devices, e.g., smart phones and tablets, are resource-abundant in computation and communication capabilities. Thus, these devices have the potential to extract features from videos for the remote IoT servers. By sending back only a few video features to the remote servers, the bandwidth starvation of delivering original video chunks can be avoided. In this paper, we propose an edge computing framework to enable cooperative processing on resource-abundant mobile devices for delay-sensitive multimedia IoT tasks. We identify that the key challenges in the proposed edge computing framework are to optimally form mobile devices into video processing groups and to dispatch video chunks to proper video processing groups. Based on the derived optimal matching theorem, we put forward a cooperative video processing scheme formed by two efficient algorithms to tackle above challenges, which achieves suboptimal performance on the human detection accuracy. The proposed scheme has been evaluated under diverse parameter settings. Extensive simulation confirms the superiority of the proposed scheme over other two baseline schemes.</t>
  </si>
  <si>
    <t>Long, Changchun; Cao, Yang; Jiang, Tao; Zhang, Qian</t>
  </si>
  <si>
    <t>IEEE TRANSACTIONS ON MULTIMEDIA</t>
  </si>
  <si>
    <t>Data Processing in Cyber-Physical-Social Systems Through Edge Computing</t>
  </si>
  <si>
    <t>Cloud and Fog computing have established a convenient and widely adopted approach for computation offloading, where raw data generated by edge devices in the Internet of Things (IoT) context is collected and processed remotely. This vertical offloading pattern, however, typically does not take into account increasingly pressing time constraints of the emerging IoT scenarios, in which numerous data sources, including human agents (i.e., Social IoT), continuously generate large amounts of data to be processed in a timely manner. Big data solutions could be applied in this respect, provided that networking issues and limitations related to connectivity of edge devices are properly addressed. Although edge devices are traditionally considered to be resource-constrained, main limitations refer to energy, networking, and memory capacities, whereas their ever-growing processing capabilities are already sufficient to be effectively involved in actual (big data) processing. In this context, the role of human agents is no longer limited to passive data generation, but can also include their voluntary involvement in relatively complex computations. This way, users can share their personal computational resources (i.e., mobile phones) to support collaborative data processing, thereby turning the existing IoT into a global cyber-physical-social system (CPSS). To this extent, this paper proposes a novel IoT/CPSS data processing pattern based on the stream processing technology, aiming to distribute the workload among a cluster of edge devices, involving mobile nodes shared by contributors on a voluntary basis, and paving the way for cluster computing at the edge. Experiments on an intelligent surveillance system deployed on an edge device cluster demonstrate the feasibility of the proposed approach, illustrating how its distributed in-memory data processing architecture can be effective.</t>
  </si>
  <si>
    <t>Dautov, Rustem; Distefano, Salvatore; Bruneo, Dario; Longo, Francesco; Merlino, Giovanni; Puliafito, Antonio</t>
  </si>
  <si>
    <t>Scalable architecture for an automated surveillance system using edge computing</t>
  </si>
  <si>
    <t>Over the past few years, the Internet of Things has gone from theoretical concept to our everyday living experience. The explosive growth of sensor streams also leads to a new paradigm of edge computing. In the surveillance system, edge-based automation is crucial to get fast response for fast data analytics among connected devices. In this paper, we propose an automated surveillance system to improve robustness and intelligence. Our scalable architecture is an alternative way of reducing the server resource and wireless network limitation.</t>
  </si>
  <si>
    <t>Park, Hwin Dol; Min, Ok-Gee; Lee, Yong-Ju</t>
  </si>
  <si>
    <t>JOURNAL OF SUPERCOMPUTING</t>
  </si>
  <si>
    <t>Internet of surveillance: a cloud supported large-scale wireless surveillance system</t>
  </si>
  <si>
    <t>Large-scale video surveillance systems are among the necessities for securing our life these days. The high bandwidth demand and the large storage requirements are the main challenges in such systems. To face these challenges, the system can be deployed as a multi-tier framework that utilizes different technologies. In such a framework, technologies proposed under the umbrella of the Internet of Things (IoT) can play a significant rule in facing the challenges. In video surveillance, the cameras can be considered as "the things" that are streaming videos to a central processing and storage server (the cloud) through the Internet. Wireless technologies can be used to connect wireless cameras to the surveillance system more conveniently than wired cameras. Unfortunately, wireless communication in general tend to have limited bandwidth that needs careful management to achieve scalability. In this paper, we design and evaluate a reliable IoT-based wireless video surveillance system that provides an optimal bandwidth distribution and allocation to minimize the overall surveillance video distortion. We evaluate our system using NS-3 simulation. The results show that the proposed framework fully utilizes the available cloud bandwidth budget and achieves high scalability.</t>
  </si>
  <si>
    <t>Alsmirat, Mohammad A.; Jararweh, Yaser; Obaidat, Islam; Gupta, Brij B.</t>
  </si>
  <si>
    <t>UAV-Based IoT Platform: A Crowd Surveillance Use Case</t>
  </si>
  <si>
    <t>Unmanned aerial vehicles are gaining a lot of popularity among an ever growing community of amateurs as well as service providers. Emerging technologies, such as LTE 4G/5G networks and mobile edge computing, will widen the use case scenarios of UAVs. In this article, we discuss the potential of UAVs, equipped with loT devices, in delivering loT services from great heights. A high-level view of a UAV-based integrative loT platform for the delivery of loT services from large height, along with the overall system orchestrator, is presented in this article. As an envisioned use case of the platform, the article demonstrates how UAVs can be used for crowd surveillance based on face recognition. To evaluate the use case, we study the offloading of video data processing to a MEC node compared to the local processing of video data onboard UAVs. For this, we developed a testbed consisting of a local processing node and one MEC node. To perform face recognition, the Local Binary Pattern Histogram method from the Open Source Computer Vision is used. The obtained results demonstrate the efficiency of the MEC-based offloading approach in saving the scarce energy of UAVs, reducing the processing time of recognition, and promptly detecting suspicious persons.</t>
  </si>
  <si>
    <t>Motlagh, Naser Hossein; Bagaa, Miloud; Taleb, Tarik</t>
  </si>
  <si>
    <t>IEEE COMMUNICATIONS MAGAZINE</t>
  </si>
  <si>
    <t>Situation awareness via Internet of things and in-network data processing</t>
  </si>
  <si>
    <t>Computing on the edge of the Internet of things comprises among other tasks in-sensor signal processing and performing distributed data fusion and aggregation at network nodes. This poses a challenge to distributed sensor networks of low computing power devices that have to do complex fusion, aggregation and signal processing in situ. One of the difficulties lies in ensuring validity of data collected from heterogeneous sources. Ensuring data validity, for example, the temporal and spatial correctness of data, is crucial for correct in-network data fusion and aggregation. The article considers wireless sensor technology in military domain with the aim of improving situation awareness for military operations. Requirements for contemporary intelligence, surveillance and reconnaissance applications are explored and an experimental wireless sensor network, designed to enhance situation awareness to both in-the-field units and remote intelligence operatives, is described. The sensor nodes have the capability to perform in-sensor signal processing and distributed in-network data aggregation and fusion complying with edge computing paradigm. In-network data processing is supported by service-oriented middleware which facilitates run-time sensor discovery and tasking and ad hoc (re) configuration of the network links. The article describes two experiments demonstrating the ability of the wireless sensor network to meet intelligence, surveillance and reconnaissance requirements. The efficiency of distributed data fusion is evaluated and the importance and effect of establishing data validity is shown.</t>
  </si>
  <si>
    <t>Ehala, Johannes; Kaugerand, Jaanus; Pahtma, Raido; Astapov, Sergei; Riid, Andri; Tomson, Timo; Preden, Jurgo-Soren; Motus, Leo</t>
  </si>
  <si>
    <t>INTERNATIONAL JOURNAL OF DISTRIBUTED SENSOR NETWORKS</t>
  </si>
  <si>
    <t>Object Tracking in Vary Lighting Conditions for Fog Based Intelligent Surveillance of Public Spaces</t>
  </si>
  <si>
    <t>With rapid development of computer vision and artificial intelligence, cities are becoming more and more intelligent. Recently, since intelligent surveillance was applied in all kind of smart city services, object tracking attracted more attention. However, two serious problems blocked the development of visual tracking in real applications. The first problem is its lower performance under intense illumination variation, while the second issue is its slow speed. This paper addressed these two problems by proposing a correlation filter-based tracker. Fog computing platform was deployed to accelerate the proposed tracking approach. The tracker was constructed by multiple positions' detections and alternate templates. The detection position was repositioned according to the estimated speed of target by an optical flow method, and the alternate template was stored with a template update mechanism, which is all computed at the edge. Experimental results on large-scale public benchmark data sets showed the effectiveness of the proposed method in comparison with state-of-the-art methods.</t>
  </si>
  <si>
    <t>Liu, Gaocheng; Liu, Shuai; Muhammad, Khan; Sangaiah, Arun Kumar; Doctor, Faiyaz</t>
  </si>
  <si>
    <t>CVSS: A Cloud-Based Visual Surveillance System</t>
  </si>
  <si>
    <t>A large amount of surveillance videos and images need sufficient storage. In this article, an architecture of cloud-based surveillance systems and its modules will be designed, the Cloud-based Visual Surveillance System (CVSS) will be implemented on a private cloud using a Virtual Machine (VM). The users are able to link their cameras to the CVSS system so that the goal of this design can be achieved. The authors' CVSS system is able to push notification messages of captured videos to receivers, and their users could receive a surveillance video along with its events. The CVSS system fully makes use of the merits of cloud computing, which make it more advanced as stated in the evaluation section of this article. The contributions of this article are to be implemented in the CVSS system with: (1) video stream input, (2) intelligent visual surveillance, (3) real-time video transcoding and storage, (4) message pushing and media streaming output.</t>
  </si>
  <si>
    <t>Zhou, Lei; Yan, Wei Qi; Shu, Yun; Yu, Jian</t>
  </si>
  <si>
    <t>INTERNATIONAL JOURNAL OF DIGITAL CRIME AND FORENSICS</t>
  </si>
  <si>
    <t>Cloud computing security and privacy: Standards and regulations</t>
  </si>
  <si>
    <t>Cloud computing is a distributed computation model over a large pool of shared and virtualized computing resources, such as storage, processing power, applications and services. It has received considerable attention from the research communities and the industry due to its practicality This kind of new computing represents a vision of providing computing services as public utilities like water and electricity. Cloud computing provides a number of benefits, including reduced IT costs, flexibility, increased collaboration, etc. However, the advent of cloud computing has posed a variety of new challenges for both cloud users and cloud service providers. Taking data privacy as an example, encryption is becoming a standard practice for both cloud users and cloud service providers, as a mechanism against unauthorized surveillance as well as malware. However, the introduction of encryption to cloud also leads to new problems such as key management, as well as the inability of cloud to provide some utilities such as data manipulation. Providing cloud as utilities is an active research area of interest, which includes how these encrypted data can be searched, shared or used as input for computation directly. (C) 2017 Published by Elsevier B.V.</t>
  </si>
  <si>
    <t>Yu, Yong; Miyaji, Atsuko; Au, Man Ho; Susilo, Willy</t>
  </si>
  <si>
    <t>COMPUTER STANDARDS &amp; INTERFACES</t>
  </si>
  <si>
    <t>A retrieval algorithm for specific face images in airport surveillance multimedia videos on cloud computing platform</t>
  </si>
  <si>
    <t>During retrieval process for specific face images in the airport surveillance multimedia video on cloud computing platform, because pattern of faces are complicated and vulnerable to interference, when the traditional algorithm is used for face retrieval, the accuracy and efficiency are reduced and robustness is low. A new retrieval algorithm for specific face images is proposed, and this method is deployed to the cloud computing platform. Harr face cascade classifier is used to detect face images in airport surveillance multimedia video, in order to find out the missing face in airport surveillance multimedia video, the block matching method is introduced for face tracking, and the missing face in the video is obtained. PCA method is utilized to extract specific facial features, and discriminant analysis method is used to compare the extracted feature information with the specific face, so as to realize the specific face image retrieval. Experimental results show that the proposed algorithm has a high retrieval efficiency and precision.</t>
  </si>
  <si>
    <t>Zhang, Ning; Jeong, Hwa-Young</t>
  </si>
  <si>
    <t>MULTIMEDIA TOOLS AND APPLICATIONS</t>
  </si>
  <si>
    <t>A cloud computing architecture for characterization and classification of moving object</t>
  </si>
  <si>
    <t>Video surveillance big data contains a great deal of information about moving objects. Multi moving object characterization and classification methods is the main characteristics to find a suitable description of the scene in all kinds of sports objects, features and match unknown similarity between moving objects. This paper presents a calculation of all the moving objects in the scene using cloud computing architecture with invariant moment value weighting method, combined with the invariant moments as the input parameter value, the establishment of multi-class classification model for multiple moving object classification. Experimental results show that this method can effectively improve the recognition rate of the moving object.</t>
  </si>
  <si>
    <t>Chen, Xiao-jun; Ke, Jia; Zhan, Tian-ming; Wang, Wen-xin; Zhan, Yong-zhao; Chen, Xiao-bo; Song, Xin-ping</t>
  </si>
  <si>
    <t>Information We Collect: Surveillance and Privacy in the Implementation of Google Apps for Education</t>
  </si>
  <si>
    <t>The aim of this study is to show how Google's business model is concealed within Google Apps for Education (GAFE) as well as how such a bundle is perceived within one educational organisation, consisting of approximately 30 schools. The study consists of two parts: 1) a rhetorical analysis of Google policy documents and 2) an interview study in a Swedish educational organisation. By making an implicit demarcation between the two concepts (your) data' and (collected) information' Google can disguise the presence of a business model for online marketing and, at the same time, simulate the practices and ethics of a free public service institution. This makes it problematic for Swedish schools to implement Google Apps for Education, bearing in mind Google's surveillance practices for making profits on pupil's algorithmic identities. From a front end viewpoint of Google Apps for Education, the advantages of the services are evident to the users, and emerge in the study, whereas back end strategies are relatively hidden.</t>
  </si>
  <si>
    <t>Lindh, Maria; Nolin, Jan</t>
  </si>
  <si>
    <t>EUROPEAN EDUCATIONAL RESEARCH JOURNAL</t>
  </si>
  <si>
    <t>Efficient Resource Management for Cloud-enabled Video Surveillance over Next Generation Network</t>
  </si>
  <si>
    <t>The next generation video surveillance systems are expected to face challenges in providing computation support for an unprecedented amount of video streams from multiple video cameras in a timely and scalable fashion. Cloud computing offers huge computation resources for large-scale storage and processing on demand, which are deemed suitable for video surveillance tasks. Cloud also provides quality of service guaranteed hardware and software solutions with the virtual machine (VM) technology using a utility-like service costing model. In cloud-based video surveillance context, the resource requests to handle video surveillance tasks are translated in the form of VM resource requests, which in turn are mapped to VM resource allocation referring to physical server resources hosting the VMs. Due to the nature of video surveillance tasks, these requests are highly time-constrained, heterogeneous and dynamic in nature. Hence, it is very challenging to actually manage the cloud resources from the perspective of VM resource allocation given the stringent requirements of video surveillance tasks. This paper proposes a computation model to efficiently manage cloud resources for surveillance tasks allocation. The proposed model works on optimizing the trade-off between average service waiting time and long-term service cost, and shows that long-term service cost is inversely proportional to high and balanced utilization of cloud resources. Experiments show that our approach provides a near-optimal solution for cloud resource management when handling the heterogeneous and unpredictable video surveillance tasks dynamically over next generation network.</t>
  </si>
  <si>
    <t>Hossain, M. Anwar; Song, Biao</t>
  </si>
  <si>
    <t>MOBILE NETWORKS &amp; APPLICATIONS</t>
  </si>
  <si>
    <t>The big data analytics and applications of the surveillance system using video structured description technology</t>
  </si>
  <si>
    <t>Recently, the video data has very huge volume, taking one city for example, thousands of cameras are built of which each collects high-definition video over 24-48 GB every day with the rapidly growth; secondly, data collected includes variety of formats involving multimedia, images and other unstructured data; furthermore the valuable information contains in only a few frames called key frames of massive video data; and the last problem caused is how to improve the processing velocity of a large amount of original video with computers, so as to enhance the crime prediction and detection effectiveness of police and users. In this paper, we conclude a novel architecture for next generation public security system, and the "front + back" pattern is adopted to address the problems brought by the redundant construction of current public security information systems which realizes the resource consolidation of multiple IT resources, and provides unified computing and storage environment for more complex data analysis and applications such as data mining and semantic reasoning. Under the architecture, we introduce cloud computing technologies such as distributed storage and computing, data retrieval of huge and heterogeneous data, provide multiple optimized strategies to enhance the utilization of resources and efficiency of tasks. This paper also presents a novel strategy to generate a super-resolution image via multi-stage dictionaries which are trained by a cascade training process. Extensive experiments on image super-resolution validate that the proposed solution can get much better results than some state-of-the-arts ones.</t>
  </si>
  <si>
    <t>Xu, Zheng; Mei, Lin; Hu, Chuanping; Liu, Yunhuai</t>
  </si>
  <si>
    <t>CLUSTER COMPUTING-THE JOURNAL OF NETWORKS SOFTWARE TOOLS AND APPLICATIONS</t>
  </si>
  <si>
    <t>Semantic enhanced cloud environment for surveillance data management using video structural description</t>
  </si>
  <si>
    <t>Recently, the number of surveillance video data has grown enormously since the popularity of the smart cities, which brings the difficulties to users for searching and analyzing the content of the videos. These video data are not limited to data anymore, which provide the effective information for criminal investigation systems, intrusion detection system, and many others. However, as the number of available cloud services increases, the problem of data discovery and selection arises. The semantic technology is an effective choice for enhancing the accurate of the data searching and analyzing process. In this paper, a semantic based cloud environment is proposed to facilitate the analyzing and searching process of surveillance video data. An architecture integrating ontology building, semantic annotation, and semantic search is proposed to leverage the semantic description of the video data to find them from concept-based level. A semantic intermediate layer which organizes the video data based on their semantic relations is given. Moreover, the proposed method is used in the intelligent transportation field, which shows the bright prospect of the proposed method in real applications.</t>
  </si>
  <si>
    <t>Xu, Zheng; Mei, Lin; Liu, Yunhuai; Hu, Chuanping; Chen, Lan</t>
  </si>
  <si>
    <t>COMPUTING</t>
  </si>
  <si>
    <t>A video cloud platform combing online and offline cloud computing technologies</t>
  </si>
  <si>
    <t>With the rapid growth of video data from various sources, like security and transportation surveillance, there arise requirements for both online real-time analysis and offline batch processing of large-scale video data. Existing video processing systems fall short in addressing many challenges in large-scale video processing, for example performance, data storage, and fault tolerance. The emerging cloud computing and big data techniques shed lights to intelligent processing for large-scale video data. This paper proposes a general cloud-based architecture and platform that can provide a robust solution to intelligent analysis and storage for video data, which is named as BiF (Batch processing Integrated with Fast processing) architecture. We have implemented the BiF architecture using both Hadoop platform and Storm platform, which are typical offline batch processing cloud platform and online real-time processing cloud platform, respectively. The proposed architecture can handle continual surveillance video data effectively, where real-time analysis, batch processing, distributed storage and cloud services are seamlessly integrated to meet the requirements of video data processing and management. The evaluations show that the proposed approach is efficient in terms of performance, storage, and fault tolerance.</t>
  </si>
  <si>
    <t>Zhang, Weishan; Xu, Liang; Duan, Pengcheng; Gong, Wenjuan; Lu, Qinghua; Yang, Su</t>
  </si>
  <si>
    <t>PERSONAL AND UBIQUITOUS COMPUTING</t>
  </si>
  <si>
    <t>Implementation and Evaluation of Large-Scale Video Surveillance System Based on P2P Architecture and Cloud Computing</t>
  </si>
  <si>
    <t>Video surveillance system (VSS) is increasingly becoming important part in daily life. For traditional VSS, each camera stores streaming data to a centralized server. It will create a great volume of video data for a large VSS and may raise some issues in keeping daily video data to centralized server, such as limited bandwidth and storage insufficiency of server and lower reliability and scalability. In order to solve the problem, we have proposed an architecture for VSS based on well-developed peer-to-peer technique and emerging cloud computing. In this paper, we implement a large-scale VSS (LVSS) and propose an evaluation framework based on the proposed architecture. We implement the LVSS exploits inherent characteristics of P2P and cloud computing to provide an economic, scalable, reliable, and efficient approach to store streaming video. We conducted some experiments to evaluate effectiveness and efficiency of the system. The result shows that the proposed architecture outperforms traditional VSS in terms of effectiveness, efficiency, reliability, and scalability.</t>
  </si>
  <si>
    <t>Lo, Win-Tsung; Chang, Yue Shan; Sheu, Ruey-Kai; Yang, Chao-Tung; Juang, Tong-Ying; Wu, Yu-Sheng</t>
  </si>
  <si>
    <t>Effective distributed service architecture for ubiquitous video surveillance</t>
  </si>
  <si>
    <t>Video surveillance systems are playing an important role to protect lives and assets of individuals, enterprises and governments. Due to the prevalence of wired and wireless access to Internet, it would be a trend to integrate present isolated video surveillance systems by applying distributed computing environment and to further gestate diversified multimedia intelligent surveillance (MIS) applications in ubiquity. In this paper, we propose a distributed and secure architecture for ubiquitous video surveillance (UVS) services over Internet and error-prone wireless networks with scalability, ubiquity and privacy. As cloud computing, users consume UVS related resources as a service and do not need to own the physical infrastructure, platform, or software. To protect the service privacy, preserve the service scalability and provide reliable UVS video streaming for end users, we apply the AES security mechanism, multicast overlay network and forward error correction (FEC), respectively. Different value-added services can be created and added to this architecture without introducing much traffic load and degrading service quality. Besides, we construct an experimental test-bed for UVS system with three kinds of services to detect fire and fall-incident features and record the captured video at the same time. Experimental results showed that the proposed distributed service architecture is effective and numbers of services on different multicast islands were successfully connected without influencing the playback quality. The average sending rate and the receiving rates of these services are quite similar, and the surveillance video is smoothly played.</t>
  </si>
  <si>
    <t>Chang, Ray-I; Wang, Te-Chih; Wang, Chia-Hui; Liu, Jen-Chang; Ho, Jan-Ming</t>
  </si>
  <si>
    <t>INFORMATION SYSTEMS FRONTIERS</t>
  </si>
  <si>
    <t>Free at What Cost?: Cloud Computing Privacy Under the Stored Communications Act</t>
  </si>
  <si>
    <t>Robison, William Jeremy</t>
  </si>
  <si>
    <t>GEORGETOWN LAW JOURNAL</t>
  </si>
  <si>
    <t>Ergonomic evaluation of the musculoskeletal risks in a banana harvesting activity through qualitative and quantitative measures, with emphasis on motion capture (Xsens) and EMG</t>
  </si>
  <si>
    <t>Merino, Giselle; da Silva, Lincoln; Mattos, Diego; Guimaraes, Bruno; Merino, Eugenio</t>
  </si>
  <si>
    <t>INTERNATIONAL JOURNAL OF INDUSTRIAL ERGONOMICS</t>
  </si>
  <si>
    <t>The impacts of ergonomics/human factors of wheelchair/user combinations on effective barrier-free environments design: A case study of the Chinese universal rail coach layout</t>
  </si>
  <si>
    <t>Xiang, Ze-Rui; Zhi, Jin-Yi; Dong, Shi-Yu; Li, Ran; He, Si-Jun</t>
  </si>
  <si>
    <t>Barriers to the Adoption of Wearable Sensors in the Workplace: A Survey of Occupational Safety and Health Professionals</t>
  </si>
  <si>
    <t>Schall, Mark C., Jr.; Sesek, Richard F.; Cavuoto, Lora A.</t>
  </si>
  <si>
    <t>HUMAN FACTORS</t>
  </si>
  <si>
    <t>Accuracy of angular displacements and velocities from inertial-based inclinometers</t>
  </si>
  <si>
    <t>Chen, Howard; Schall, Mark C., Jr.; Fethke, Nathan</t>
  </si>
  <si>
    <t>APPLIED ERGONOMICS</t>
  </si>
  <si>
    <t>Physical risk factors identification based on body sensor network combined to videotaping</t>
  </si>
  <si>
    <t>Vignais, Nicolas; Bernard, Fabien; Touvenot, Gerard; Sagot, Jean-Claude</t>
  </si>
  <si>
    <t>Real time RULA assessment using Kinect v2 sensor</t>
  </si>
  <si>
    <t>Manghisi, Vito Modesto; Uva, Antonio Emmanuele; Fiorentino, Michele; Bevilacqua, Vitoantonio; Trotta, Gianpaolo Francesco; Monno, Giuseppe</t>
  </si>
  <si>
    <t>Using RGB-D sensors and evolutionary algorithms for the optimization of workstation layouts</t>
  </si>
  <si>
    <t>Antonio Diego-Mas, Jose; Poveda-Bautista, Rocio; Garzon-Leal, Diana</t>
  </si>
  <si>
    <t>Inverse dynamics based on occlusion-resistant Kinect data: Is it usable for ergonomics?</t>
  </si>
  <si>
    <t>Plantard, Pierre; Muller, Antoine; Pontonnier, Charles; Dumont, Georges; Shum, Hubert P. H.; Multon, Franck</t>
  </si>
  <si>
    <t>Letter regarding 'Comparison between low-cost marker-less and high-end marker-based motion capture systems for the computer-aided assessment of working ergonomics' by Patrizi et al. and research reproducibility</t>
  </si>
  <si>
    <t>Spector, June; Lieblich, Max</t>
  </si>
  <si>
    <t>ERGONOMICS</t>
  </si>
  <si>
    <t>Letter regarding 'Comparison between low-cost marker-less and high-end marker-based motion capture systems for the computer-aided assessment of working ergonomics' by Patrizi et al. and research reproducibility Response</t>
  </si>
  <si>
    <t>Patrizi, Alfredo; Pennestri, Ettore; Valentini, Pier Paolo</t>
  </si>
  <si>
    <t>Accuracy and repeatability of an inertial measurement unit system for field-based occupational studies</t>
  </si>
  <si>
    <t>Schall, Mark C., Jr.; Fethke, Nathan B.; Chen, Howard; Oyama, Sakiko; Douphrate, David I.</t>
  </si>
  <si>
    <t>The accuracy of conventional 2D video for quantifying upper limb kinematics in repetitive motion occupational tasks</t>
  </si>
  <si>
    <t>Chen, Chia-Hsiung; Azari, David P.; Hu, Yu Hen; Lindstrom, Mary J.; Thelen, Darryl; Yen, Thomas Y.; Radwin, Robert G.</t>
  </si>
  <si>
    <t>Determination of the precision and accuracy of morphological measurements using the Kinect (TM) sensor: comparison with standard stereophotogrammetry</t>
  </si>
  <si>
    <t>Bonnechere, B.; Jansen, B.; Salvia, P.; Bouzahouene, H.; Sholukha, V.; Cornelis, J.; Rooze, M.; Jan, S. Van Sint</t>
  </si>
  <si>
    <t>Evaluation of the Kinect (TM) sensor for 3-D kinematic measurement in the workplace</t>
  </si>
  <si>
    <t>Dutta, Tilak</t>
  </si>
  <si>
    <t>Accuracy and validity of observational estimates of shoulder and elbow posture</t>
  </si>
  <si>
    <t>Lowe, BD</t>
  </si>
  <si>
    <t>On simulating human reach motions for ergonomics analyses</t>
  </si>
  <si>
    <t>Chaffin, DB</t>
  </si>
  <si>
    <t>HUMAN FACTORS AND ERGONOMICS IN MANUFACTURING</t>
  </si>
  <si>
    <t>Aspectos</t>
  </si>
  <si>
    <t>Paradigma de Aplicación</t>
  </si>
  <si>
    <t>Tipos de Aplicación</t>
  </si>
  <si>
    <t>Dominios de Aplicación</t>
  </si>
  <si>
    <t>Componetes Minimos</t>
  </si>
  <si>
    <t>Plataformas de implementación</t>
  </si>
  <si>
    <t>Aspectos legales y de privacidad</t>
  </si>
  <si>
    <t>Tareas de Nivel Bajo de VA</t>
  </si>
  <si>
    <t>Tareas de Nivel Medio de VA</t>
  </si>
  <si>
    <t>Tareas de Nivel Alto de VA</t>
  </si>
  <si>
    <t>Métodos de aprendizaje</t>
  </si>
  <si>
    <t>NO</t>
  </si>
  <si>
    <t>SI</t>
  </si>
  <si>
    <t>Selección Basado en interés</t>
  </si>
  <si>
    <t>Casillas Con NO en Rojo no tienen sentido para el autor</t>
  </si>
  <si>
    <t>Paradigma Aplicación/Tipos de Aplicación</t>
  </si>
  <si>
    <t>Identificación y acceso</t>
  </si>
  <si>
    <t>Rastreo y conteo de múltiples objetos</t>
  </si>
  <si>
    <t>Detección de comportamientos</t>
  </si>
  <si>
    <t>Recuperación forense de actividades</t>
  </si>
  <si>
    <t>Minería y análisis</t>
  </si>
  <si>
    <t>Smart Offices</t>
  </si>
  <si>
    <t>Paradigma Aplicación/Dominio de Aplicación</t>
  </si>
  <si>
    <t>Negocios</t>
  </si>
  <si>
    <t>Entorno de Aplicación/Tipo de Aplicación</t>
  </si>
  <si>
    <t>Entorno Abierto</t>
  </si>
  <si>
    <t>Entorno Cerrado</t>
  </si>
  <si>
    <t>Entorno de Aplicación/Dominio de Aplicación</t>
  </si>
  <si>
    <t>Tipo de Aplicación/Dominio de Aplicación</t>
  </si>
  <si>
    <t>Plataforma de Implementación/Dominio de aplicación</t>
  </si>
  <si>
    <t>Cloud</t>
  </si>
  <si>
    <t>Fog</t>
  </si>
  <si>
    <t>Edge</t>
  </si>
  <si>
    <t>On Premise</t>
  </si>
  <si>
    <t>Plataforma de Implementación/Tareas de nivel Bajo VA</t>
  </si>
  <si>
    <t>Manejo de Efectos de imagen y escala</t>
  </si>
  <si>
    <t>Remoción de Ruido</t>
  </si>
  <si>
    <t>Remoción de sombras</t>
  </si>
  <si>
    <t>Substracción de fondo</t>
  </si>
  <si>
    <t>Plataforma de Implementación/Tareas de nivel medio VA</t>
  </si>
  <si>
    <t>Extracción de características biométricas</t>
  </si>
  <si>
    <t>Extracción de Características Espacio temporales</t>
  </si>
  <si>
    <t>Plataforma de Implementación/Tareas de nivel alto VA</t>
  </si>
  <si>
    <t>Detección de regiones o puntos de interés</t>
  </si>
  <si>
    <t>Reconocimiento de objetos</t>
  </si>
  <si>
    <t>Detección de Anomalías</t>
  </si>
  <si>
    <t>Reconocimiento de poses</t>
  </si>
  <si>
    <t>Aspectos Legales y de privacidad/Dominio de aplicación</t>
  </si>
  <si>
    <t>Protección de identidad</t>
  </si>
  <si>
    <t>Protección de datos personales</t>
  </si>
  <si>
    <t>Aspectos Legales y de privacidad/Tipos de aplicación</t>
  </si>
  <si>
    <t>Entorno de Aplicación/Tareas de nivel alto VA</t>
  </si>
  <si>
    <t>Tareas de nivel medio VA/Métodos de aprendizaje</t>
  </si>
  <si>
    <t>Probabilísticos</t>
  </si>
  <si>
    <t>Evolutivos</t>
  </si>
  <si>
    <t>Adaptativos</t>
  </si>
  <si>
    <t>Basados en lógica difusa</t>
  </si>
  <si>
    <t>Híbridos</t>
  </si>
  <si>
    <t>Extracción de regiones o puntos de interés</t>
  </si>
  <si>
    <t>Tareas de nivel alto VA/Métodos de aprendizaje</t>
  </si>
  <si>
    <t>Nivel</t>
  </si>
  <si>
    <t>Criterio</t>
  </si>
  <si>
    <t>Descripción criterio</t>
  </si>
  <si>
    <t>Opciones de respuesta</t>
  </si>
  <si>
    <t>significado de respuestas</t>
  </si>
  <si>
    <t>Modo de Evaluación</t>
  </si>
  <si>
    <t>Valor Deseable</t>
  </si>
  <si>
    <t>Umbral de aceptación/Modo de evaluación</t>
  </si>
  <si>
    <t>Obligatorio / No obligatorio</t>
  </si>
  <si>
    <t>Ponderación</t>
  </si>
  <si>
    <t>Cálculo del Criterio</t>
  </si>
  <si>
    <t>NIVEL 1</t>
  </si>
  <si>
    <t xml:space="preserve">Criterio 1
AFINIDAD CON EL INVESTIGADOR
</t>
  </si>
  <si>
    <t>Calificación subjetiva de las preferencias y afinidades del estudiante o investigador con los temas relacionados en el proyecto.</t>
  </si>
  <si>
    <t>¿El tema, la problemática,  el negocio o las reglas del escenario del proyecto, son de interés del estudiante o investigador?</t>
  </si>
  <si>
    <t>SI/NO</t>
  </si>
  <si>
    <r>
      <rPr>
        <b/>
        <sz val="11"/>
        <color rgb="FF000000"/>
        <rFont val="Calibri"/>
        <family val="2"/>
        <charset val="1"/>
      </rPr>
      <t xml:space="preserve">SI: </t>
    </r>
    <r>
      <rPr>
        <sz val="11"/>
        <color rgb="FF000000"/>
        <rFont val="Calibri"/>
        <family val="2"/>
        <charset val="1"/>
      </rPr>
      <t xml:space="preserve">El estudiante o investigador está interesado en desarrollar el tema, la problemática,  el negocio o las reglas del escenario del proyecto.
</t>
    </r>
    <r>
      <rPr>
        <b/>
        <sz val="11"/>
        <color rgb="FF000000"/>
        <rFont val="Calibri"/>
        <family val="2"/>
        <charset val="1"/>
      </rPr>
      <t>NO:</t>
    </r>
    <r>
      <rPr>
        <sz val="11"/>
        <color rgb="FF000000"/>
        <rFont val="Calibri"/>
        <family val="2"/>
        <charset val="1"/>
      </rPr>
      <t xml:space="preserve"> El estudiante o investigador NO está interesado en desarrollar el tema, la problemática,  el negocio o las reglas del escenario del proyecto.</t>
    </r>
  </si>
  <si>
    <t>Si = 1
NO=0</t>
  </si>
  <si>
    <t>&gt;= 2</t>
  </si>
  <si>
    <t>Obligatorio</t>
  </si>
  <si>
    <t>Las preguntas que no superen el umbral, se dejará en 0 en su calificación. Posteriormente, se tiene en cuenta la sumatoria de las calificaciones y se multiplica por el porcentaje de aporte</t>
  </si>
  <si>
    <t>¿El tema del proyecto tiene potencial de inclusión de métodos y/o tecnologías de interés del estudiante o investigador?</t>
  </si>
  <si>
    <r>
      <rPr>
        <b/>
        <sz val="11"/>
        <color rgb="FF000000"/>
        <rFont val="Calibri"/>
        <family val="2"/>
        <charset val="1"/>
      </rPr>
      <t xml:space="preserve">SI: </t>
    </r>
    <r>
      <rPr>
        <sz val="11"/>
        <color rgb="FF000000"/>
        <rFont val="Calibri"/>
        <family val="2"/>
        <charset val="1"/>
      </rPr>
      <t xml:space="preserve">El tema posse uno o varios aspectos que pueden ser abordados con métodos o tecnologías de interés del estudiante o investigador.
</t>
    </r>
    <r>
      <rPr>
        <b/>
        <sz val="11"/>
        <color rgb="FF000000"/>
        <rFont val="Calibri"/>
        <family val="2"/>
        <charset val="1"/>
      </rPr>
      <t xml:space="preserve">NO: </t>
    </r>
    <r>
      <rPr>
        <sz val="11"/>
        <color rgb="FF000000"/>
        <rFont val="Calibri"/>
        <family val="2"/>
        <charset val="1"/>
      </rPr>
      <t>El tema  no tiene indicios, precedentes o no tiene sentido su acercamiento con métodos o tecnologías de interés del estudiante o investigador.</t>
    </r>
  </si>
  <si>
    <t>¿El tema del proyecto está relacionado de alguna forma o favorece  la actividad laboral actual del estudiante o el investigador?</t>
  </si>
  <si>
    <t>MUCHO/POCO</t>
  </si>
  <si>
    <r>
      <rPr>
        <b/>
        <sz val="11"/>
        <color rgb="FF000000"/>
        <rFont val="Calibri"/>
        <family val="2"/>
        <charset val="1"/>
      </rPr>
      <t xml:space="preserve">MUCHO: </t>
    </r>
    <r>
      <rPr>
        <sz val="11"/>
        <color rgb="FF000000"/>
        <rFont val="Calibri"/>
        <family val="2"/>
        <charset val="1"/>
      </rPr>
      <t xml:space="preserve">El estudiante o investigador tiene injerencia directa o está relacionado en aspectos laborales donde se desarrolla el tema del proyecto.
</t>
    </r>
    <r>
      <rPr>
        <b/>
        <sz val="11"/>
        <color rgb="FF000000"/>
        <rFont val="Calibri"/>
        <family val="2"/>
        <charset val="1"/>
      </rPr>
      <t xml:space="preserve">POCO: </t>
    </r>
    <r>
      <rPr>
        <sz val="11"/>
        <color rgb="FF000000"/>
        <rFont val="Calibri"/>
        <family val="2"/>
        <charset val="1"/>
      </rPr>
      <t>El estudiante o investigador tiene injerencia parcial o está levemente relacionado de forma laboral  en el escenario donde se desarrolla el tema del proyecto.</t>
    </r>
  </si>
  <si>
    <t>¿El investigador está familiarizado con la problemática, el negocio o las reglas del escenario donde se desarrollará el proyecto?</t>
  </si>
  <si>
    <r>
      <rPr>
        <b/>
        <sz val="11"/>
        <color rgb="FF000000"/>
        <rFont val="Calibri"/>
        <family val="2"/>
        <charset val="1"/>
      </rPr>
      <t>Mucho:</t>
    </r>
    <r>
      <rPr>
        <sz val="11"/>
        <color rgb="FF000000"/>
        <rFont val="Calibri"/>
        <family val="2"/>
        <charset val="1"/>
      </rPr>
      <t xml:space="preserve"> El investigador tiene conocimientos sólidos de la problemática, el negocio o las reglas del escenario donde se desarrollará el proyecto.
</t>
    </r>
    <r>
      <rPr>
        <b/>
        <sz val="11"/>
        <color rgb="FF000000"/>
        <rFont val="Calibri"/>
        <family val="2"/>
        <charset val="1"/>
      </rPr>
      <t xml:space="preserve">Poco: </t>
    </r>
    <r>
      <rPr>
        <sz val="11"/>
        <color rgb="FF000000"/>
        <rFont val="Calibri"/>
        <family val="2"/>
        <charset val="1"/>
      </rPr>
      <t>El investigador conoce parcialmente la problemática, el negocio o las reglas del escenario donde se desarrollará el proyecto.</t>
    </r>
  </si>
  <si>
    <t>Mucho = 1
Poco = 0</t>
  </si>
  <si>
    <t>Mucho</t>
  </si>
  <si>
    <t>&gt;=1</t>
  </si>
  <si>
    <t>¿El investigador está familiarizado con la teoría que sustenta la solución dentro del proyecto?</t>
  </si>
  <si>
    <r>
      <rPr>
        <b/>
        <sz val="11"/>
        <color rgb="FF000000"/>
        <rFont val="Calibri"/>
        <family val="2"/>
        <charset val="1"/>
      </rPr>
      <t>Mucho:</t>
    </r>
    <r>
      <rPr>
        <sz val="11"/>
        <color rgb="FF000000"/>
        <rFont val="Calibri"/>
        <family val="2"/>
        <charset val="1"/>
      </rPr>
      <t xml:space="preserve"> El investigador tiene conocimientos sólidos de la teoría que sustenta la solución dentro del proyecto.
</t>
    </r>
    <r>
      <rPr>
        <b/>
        <sz val="11"/>
        <color rgb="FF000000"/>
        <rFont val="Calibri"/>
        <family val="2"/>
        <charset val="1"/>
      </rPr>
      <t>Poco:</t>
    </r>
    <r>
      <rPr>
        <sz val="11"/>
        <color rgb="FF000000"/>
        <rFont val="Calibri"/>
        <family val="2"/>
        <charset val="1"/>
      </rPr>
      <t xml:space="preserve"> El investigador tiene conocimientos sólidos de la teoría que sustenta la solución dentro del proyecto.</t>
    </r>
  </si>
  <si>
    <t>¿El investigador  posee conocimientos en tecnologías que pueden ser utilizadas  para abordar el tema del proyecto?</t>
  </si>
  <si>
    <r>
      <rPr>
        <b/>
        <sz val="11"/>
        <color rgb="FF000000"/>
        <rFont val="Calibri"/>
        <family val="2"/>
        <charset val="1"/>
      </rPr>
      <t>SI:</t>
    </r>
    <r>
      <rPr>
        <sz val="11"/>
        <color rgb="FF000000"/>
        <rFont val="Calibri"/>
        <family val="2"/>
        <charset val="1"/>
      </rPr>
      <t xml:space="preserve"> El investigador tiene conocimientos en al menos una tecnología para abordar el tema del proyecto.
</t>
    </r>
    <r>
      <rPr>
        <b/>
        <sz val="11"/>
        <color rgb="FF000000"/>
        <rFont val="Calibri"/>
        <family val="2"/>
        <charset val="1"/>
      </rPr>
      <t>NO:</t>
    </r>
    <r>
      <rPr>
        <sz val="11"/>
        <color rgb="FF000000"/>
        <rFont val="Calibri"/>
        <family val="2"/>
        <charset val="1"/>
      </rPr>
      <t xml:space="preserve"> El investigador NO tiene conocimientos  tecnologías para abordar el tema del proyecto.</t>
    </r>
  </si>
  <si>
    <t xml:space="preserve">Criterio 2
AFINIDAD CON EL ÉNFASIS O LOS TEMAS DE LAS MAESTRÍAS
</t>
  </si>
  <si>
    <t>Calificación de relevancia y pertinencia a los temas principales del énfasis de la maestría en curso</t>
  </si>
  <si>
    <t>¿El tema del proyecto involucra métodos o tecnologías relacionadas con el énfasis de sistemas inteligentes?</t>
  </si>
  <si>
    <r>
      <rPr>
        <b/>
        <sz val="11"/>
        <color rgb="FF000000"/>
        <rFont val="Calibri"/>
        <family val="2"/>
        <charset val="1"/>
      </rPr>
      <t>SI:</t>
    </r>
    <r>
      <rPr>
        <sz val="11"/>
        <color rgb="FF000000"/>
        <rFont val="Calibri"/>
        <family val="2"/>
        <charset val="1"/>
      </rPr>
      <t xml:space="preserve"> El tema del proyecto involucra al menos un método o tecnología abordado en la asignatura relacionadas con Sistemas Inteligentes.
</t>
    </r>
    <r>
      <rPr>
        <b/>
        <sz val="11"/>
        <color rgb="FF000000"/>
        <rFont val="Calibri"/>
        <family val="2"/>
        <charset val="1"/>
      </rPr>
      <t>NO:</t>
    </r>
    <r>
      <rPr>
        <sz val="11"/>
        <color rgb="FF000000"/>
        <rFont val="Calibri"/>
        <family val="2"/>
        <charset val="1"/>
      </rPr>
      <t xml:space="preserve"> El tema del proyecto no involucra métodos o tecnología abordado en la asignaturas relacionadas con  Sistemas Inteligentes.</t>
    </r>
  </si>
  <si>
    <t>¿El tema del proyecto involucra métodos o tecnologías relacionadas con analítica para la inteligencia de negocios?</t>
  </si>
  <si>
    <r>
      <rPr>
        <b/>
        <sz val="11"/>
        <color rgb="FF000000"/>
        <rFont val="Calibri"/>
        <family val="2"/>
        <charset val="1"/>
      </rPr>
      <t>SI:</t>
    </r>
    <r>
      <rPr>
        <sz val="11"/>
        <color rgb="FF000000"/>
        <rFont val="Calibri"/>
        <family val="2"/>
        <charset val="1"/>
      </rPr>
      <t xml:space="preserve"> El tema del proyecto involucra al menos un método o tecnología abordado en las asignaturas de analítica para la inteligencia de negocios.
</t>
    </r>
    <r>
      <rPr>
        <b/>
        <sz val="11"/>
        <color rgb="FF000000"/>
        <rFont val="Calibri"/>
        <family val="2"/>
        <charset val="1"/>
      </rPr>
      <t>NO:</t>
    </r>
    <r>
      <rPr>
        <sz val="11"/>
        <color rgb="FF000000"/>
        <rFont val="Calibri"/>
        <family val="2"/>
        <charset val="1"/>
      </rPr>
      <t xml:space="preserve"> El tema del proyecto no involucra métodos o tecnología abordado en la asignaturas de analítica para la inteligencia de negocios.</t>
    </r>
  </si>
  <si>
    <t>Criterio 3
AFINIDAD CON LA VISIÓN DE SMART CAMPUS (U OFFICES)</t>
  </si>
  <si>
    <t>Calificación de relevancia y pertinencia a los paradigmas y a los propósitos relacionados con los mismos</t>
  </si>
  <si>
    <t>¿El tema del proyecto está relacionado directa con las recomendaciones por localización, el seguimiento de salud, nutrición o actividad fisica para propiciar el  bienestar (WellBeing) de las persionas?</t>
  </si>
  <si>
    <r>
      <rPr>
        <b/>
        <sz val="11"/>
        <color rgb="FF000000"/>
        <rFont val="Calibri"/>
        <family val="2"/>
        <charset val="1"/>
      </rPr>
      <t>SI:</t>
    </r>
    <r>
      <rPr>
        <sz val="11"/>
        <color rgb="FF000000"/>
        <rFont val="Calibri"/>
        <family val="2"/>
        <charset val="1"/>
      </rPr>
      <t xml:space="preserve"> El tema del proyecto involucra aspectos relacionados con el bienestar (WellBeing)
</t>
    </r>
    <r>
      <rPr>
        <b/>
        <sz val="11"/>
        <color rgb="FF000000"/>
        <rFont val="Calibri"/>
        <family val="2"/>
        <charset val="1"/>
      </rPr>
      <t>NO:</t>
    </r>
    <r>
      <rPr>
        <sz val="11"/>
        <color rgb="FF000000"/>
        <rFont val="Calibri"/>
        <family val="2"/>
        <charset val="1"/>
      </rPr>
      <t xml:space="preserve"> El tema del proyecto NO involucra aspectos relacionados con el bienestar (WellBeing)</t>
    </r>
  </si>
  <si>
    <t xml:space="preserve">¿El tema del proyecto está relacionado directa con las facilitación de recursos de desarrollo o investigación o la evaluación en tiempo real para propiciar el  aprendizaje, la creación y la innovación (Knowledge) en las persionas? </t>
  </si>
  <si>
    <r>
      <rPr>
        <b/>
        <sz val="11"/>
        <color rgb="FF000000"/>
        <rFont val="Calibri"/>
        <family val="2"/>
        <charset val="1"/>
      </rPr>
      <t>SI:</t>
    </r>
    <r>
      <rPr>
        <sz val="11"/>
        <color rgb="FF000000"/>
        <rFont val="Calibri"/>
        <family val="2"/>
        <charset val="1"/>
      </rPr>
      <t xml:space="preserve"> El tema del proyecto involucra aspectos relacionados con el conocimiento (Knowledge)
</t>
    </r>
    <r>
      <rPr>
        <b/>
        <sz val="11"/>
        <color rgb="FF000000"/>
        <rFont val="Calibri"/>
        <family val="2"/>
        <charset val="1"/>
      </rPr>
      <t>NO:</t>
    </r>
    <r>
      <rPr>
        <sz val="11"/>
        <color rgb="FF000000"/>
        <rFont val="Calibri"/>
        <family val="2"/>
        <charset val="1"/>
      </rPr>
      <t xml:space="preserve"> El tema del proyecto NO involucra aspectos relacionados con el bienestar (Knowledge)</t>
    </r>
  </si>
  <si>
    <t xml:space="preserve">¿El tema del proyecto está relacionado directa con las reducción de consumo de recursos no renovables o el monitoreo ambiental (Environment) para su conservación? </t>
  </si>
  <si>
    <r>
      <rPr>
        <b/>
        <sz val="11"/>
        <color rgb="FF000000"/>
        <rFont val="Calibri"/>
        <family val="2"/>
        <charset val="1"/>
      </rPr>
      <t>SI:</t>
    </r>
    <r>
      <rPr>
        <sz val="11"/>
        <color rgb="FF000000"/>
        <rFont val="Calibri"/>
        <family val="2"/>
        <charset val="1"/>
      </rPr>
      <t xml:space="preserve"> El tema del proyecto involucra aspectos relacionados con el medio ambiente (Environment)
</t>
    </r>
    <r>
      <rPr>
        <b/>
        <sz val="11"/>
        <color rgb="FF000000"/>
        <rFont val="Calibri"/>
        <family val="2"/>
        <charset val="1"/>
      </rPr>
      <t>NO:</t>
    </r>
    <r>
      <rPr>
        <sz val="11"/>
        <color rgb="FF000000"/>
        <rFont val="Calibri"/>
        <family val="2"/>
        <charset val="1"/>
      </rPr>
      <t xml:space="preserve"> El tema del proyecto NO involucra aspectos relacionados con el medio ambiente (Environment)</t>
    </r>
  </si>
  <si>
    <t xml:space="preserve">¿El tema del proyecto está relacionado con la gestión de emergencias por localización, frecuencia de lugares visitados y tiempos de espera para servicios (Governance)? </t>
  </si>
  <si>
    <r>
      <rPr>
        <b/>
        <sz val="11"/>
        <color rgb="FF000000"/>
        <rFont val="Calibri"/>
        <family val="2"/>
        <charset val="1"/>
      </rPr>
      <t>SI:</t>
    </r>
    <r>
      <rPr>
        <sz val="11"/>
        <color rgb="FF000000"/>
        <rFont val="Calibri"/>
        <family val="2"/>
        <charset val="1"/>
      </rPr>
      <t xml:space="preserve"> El tema del proyecto involucra aspectos relacionados con el gobierno de datos (Governance)
</t>
    </r>
    <r>
      <rPr>
        <b/>
        <sz val="11"/>
        <color rgb="FF000000"/>
        <rFont val="Calibri"/>
        <family val="2"/>
        <charset val="1"/>
      </rPr>
      <t>NO:</t>
    </r>
    <r>
      <rPr>
        <sz val="11"/>
        <color rgb="FF000000"/>
        <rFont val="Calibri"/>
        <family val="2"/>
        <charset val="1"/>
      </rPr>
      <t xml:space="preserve"> El tema del proyecto NO involucra aspectos relacionados con el gobierno de datos (Governance)</t>
    </r>
  </si>
  <si>
    <t xml:space="preserve">¿El tema del proyecto está orientado a brindar oportunidades de transformación o proyección social (Society)? </t>
  </si>
  <si>
    <r>
      <rPr>
        <b/>
        <sz val="11"/>
        <color rgb="FF000000"/>
        <rFont val="Calibri"/>
        <family val="2"/>
        <charset val="1"/>
      </rPr>
      <t>SI:</t>
    </r>
    <r>
      <rPr>
        <sz val="11"/>
        <color rgb="FF000000"/>
        <rFont val="Calibri"/>
        <family val="2"/>
        <charset val="1"/>
      </rPr>
      <t xml:space="preserve"> El tema del proyecto involucra aspectos relacionados con proyección social (Society)
</t>
    </r>
    <r>
      <rPr>
        <b/>
        <sz val="11"/>
        <color rgb="FF000000"/>
        <rFont val="Calibri"/>
        <family val="2"/>
        <charset val="1"/>
      </rPr>
      <t>NO:</t>
    </r>
    <r>
      <rPr>
        <sz val="11"/>
        <color rgb="FF000000"/>
        <rFont val="Calibri"/>
        <family val="2"/>
        <charset val="1"/>
      </rPr>
      <t xml:space="preserve"> El tema del proyecto NO involucra aspectos relacionados con proyección social (Society)</t>
    </r>
  </si>
  <si>
    <t>Criterio 4
SOPORTE BIBLIOGRÁFICO, ACOMPAÑAMIENTO Y CAPACITACIÓN</t>
  </si>
  <si>
    <t>Factibilidad en el acceso a información como libros,artículos, datos estadísticos y asesoría de expertos para la investigación.</t>
  </si>
  <si>
    <t>¿El estudiante o investigador tiene acceso a la información o a los escenarios relacionados para documentarse en el tema del proyecto y/o las tecnologías que lo pueden soportar?</t>
  </si>
  <si>
    <r>
      <rPr>
        <b/>
        <sz val="11"/>
        <color rgb="FF000000"/>
        <rFont val="Calibri"/>
        <family val="2"/>
        <charset val="1"/>
      </rPr>
      <t>SI:</t>
    </r>
    <r>
      <rPr>
        <sz val="11"/>
        <color rgb="FF000000"/>
        <rFont val="Calibri"/>
        <family val="2"/>
        <charset val="1"/>
      </rPr>
      <t xml:space="preserve"> El investigador tiene acceso gratuito o auspicado a la información para su capacitación.
</t>
    </r>
    <r>
      <rPr>
        <b/>
        <sz val="11"/>
        <color rgb="FF000000"/>
        <rFont val="Calibri"/>
        <family val="2"/>
        <charset val="1"/>
      </rPr>
      <t>NO:</t>
    </r>
    <r>
      <rPr>
        <sz val="11"/>
        <color rgb="FF000000"/>
        <rFont val="Calibri"/>
        <family val="2"/>
        <charset val="1"/>
      </rPr>
      <t xml:space="preserve"> El investigador NO tiene acceso gratuito o auspicado y no puede financiar la adquisición de la información para su capacitación.</t>
    </r>
  </si>
  <si>
    <t>&gt;=0</t>
  </si>
  <si>
    <t>No obligatorio</t>
  </si>
  <si>
    <t>¿El estudiante o investigador tiene acceso a asesorías de expertos relacionados con el tema?</t>
  </si>
  <si>
    <r>
      <rPr>
        <b/>
        <sz val="11"/>
        <color rgb="FF000000"/>
        <rFont val="Calibri"/>
        <family val="2"/>
        <charset val="1"/>
      </rPr>
      <t>SI:</t>
    </r>
    <r>
      <rPr>
        <sz val="11"/>
        <color rgb="FF000000"/>
        <rFont val="Calibri"/>
        <family val="2"/>
        <charset val="1"/>
      </rPr>
      <t xml:space="preserve"> El investigador tiene acceso a asesorias por expertos o profesionales especializados en temas relacionados con el proyecto.
</t>
    </r>
    <r>
      <rPr>
        <b/>
        <sz val="11"/>
        <color rgb="FF000000"/>
        <rFont val="Calibri"/>
        <family val="2"/>
        <charset val="1"/>
      </rPr>
      <t>NO:</t>
    </r>
    <r>
      <rPr>
        <sz val="11"/>
        <color rgb="FF000000"/>
        <rFont val="Calibri"/>
        <family val="2"/>
        <charset val="1"/>
      </rPr>
      <t xml:space="preserve"> El investigador NO tiene acceso a asesorias por expertos o profesionales especializados en temas relacionados con el proyecto.</t>
    </r>
  </si>
  <si>
    <t>¿El estudiante o investigador tiene acceso a la información para capacitarse en el tema del proyecto y las tecnologías que lo pueden soportar?</t>
  </si>
  <si>
    <r>
      <rPr>
        <b/>
        <sz val="11"/>
        <color rgb="FF000000"/>
        <rFont val="Calibri"/>
        <family val="2"/>
        <charset val="1"/>
      </rPr>
      <t>SI:</t>
    </r>
    <r>
      <rPr>
        <sz val="11"/>
        <color rgb="FF000000"/>
        <rFont val="Calibri"/>
        <family val="2"/>
        <charset val="1"/>
      </rPr>
      <t xml:space="preserve"> El investigador tiene acceso a bases de datos, videos o textos para ejecutar su capacitación, prácticas y/o experimentación relacionada con el tema del proyecto
</t>
    </r>
    <r>
      <rPr>
        <b/>
        <sz val="11"/>
        <color rgb="FF000000"/>
        <rFont val="Calibri"/>
        <family val="2"/>
        <charset val="1"/>
      </rPr>
      <t>NO:</t>
    </r>
    <r>
      <rPr>
        <sz val="11"/>
        <color rgb="FF000000"/>
        <rFont val="Calibri"/>
        <family val="2"/>
        <charset val="1"/>
      </rPr>
      <t xml:space="preserve"> El investigador NO tiene acceso a bases de datos, videos o textos para ejecutar su capacitación, prácticas y/o experimentación relacionada con el tema del proyecto</t>
    </r>
  </si>
  <si>
    <t>¿El estudiante o investigador tiene acceso a bases de datos para su capacitación y/o experimentación en el tema del proyecto?</t>
  </si>
  <si>
    <t>NIVEL 2</t>
  </si>
  <si>
    <t>Criterio 5
VIABILIDAD DEL PROYECTO</t>
  </si>
  <si>
    <r>
      <rPr>
        <b/>
        <sz val="11"/>
        <color rgb="FF000000"/>
        <rFont val="Calibri"/>
        <family val="2"/>
        <charset val="1"/>
      </rPr>
      <t xml:space="preserve">RESTRICCIONES DE EJECUCIÓN
</t>
    </r>
    <r>
      <rPr>
        <sz val="11"/>
        <color rgb="FF000000"/>
        <rFont val="Calibri"/>
        <family val="2"/>
        <charset val="1"/>
      </rPr>
      <t>Calificación subjetiva de las restricciones que pueden presentarse en la ejecucución del proyecto</t>
    </r>
  </si>
  <si>
    <t>¿Cuál es nivel de auspicio de espacio para la experimentación?</t>
  </si>
  <si>
    <t>NULO/BAJA/MEDIA/ALTA</t>
  </si>
  <si>
    <r>
      <rPr>
        <b/>
        <sz val="11"/>
        <color rgb="FF000000"/>
        <rFont val="Calibri"/>
        <family val="2"/>
        <charset val="1"/>
      </rPr>
      <t xml:space="preserve">ALTO: </t>
    </r>
    <r>
      <rPr>
        <sz val="11"/>
        <color rgb="FF000000"/>
        <rFont val="Calibri"/>
        <family val="2"/>
        <charset val="1"/>
      </rPr>
      <t xml:space="preserve">El estudiante o investigador tiene un auspicio completo para instalar o acceder a la infraestructura necesaria para ejecutar los experimentos.
</t>
    </r>
    <r>
      <rPr>
        <b/>
        <sz val="11"/>
        <color rgb="FF000000"/>
        <rFont val="Calibri"/>
        <family val="2"/>
        <charset val="1"/>
      </rPr>
      <t xml:space="preserve">MEDIO: </t>
    </r>
    <r>
      <rPr>
        <sz val="11"/>
        <color rgb="FF000000"/>
        <rFont val="Calibri"/>
        <family val="2"/>
        <charset val="1"/>
      </rPr>
      <t xml:space="preserve">El estudiante o investigador tiene un auspicio  para instalar o acceder a la infraestructura necesaria para ejecutar los experimentos bajo algunas restricciones de tiempo.
</t>
    </r>
    <r>
      <rPr>
        <b/>
        <sz val="11"/>
        <color rgb="FF000000"/>
        <rFont val="Calibri"/>
        <family val="2"/>
        <charset val="1"/>
      </rPr>
      <t xml:space="preserve">BAJO: </t>
    </r>
    <r>
      <rPr>
        <sz val="11"/>
        <color rgb="FF000000"/>
        <rFont val="Calibri"/>
        <family val="2"/>
        <charset val="1"/>
      </rPr>
      <t xml:space="preserve">El estudiante o investigador tiene espacio muy limitado y con altas restricciones de tiempo.
</t>
    </r>
    <r>
      <rPr>
        <b/>
        <sz val="11"/>
        <color rgb="FF000000"/>
        <rFont val="Calibri"/>
        <family val="2"/>
        <charset val="1"/>
      </rPr>
      <t>NULO:</t>
    </r>
    <r>
      <rPr>
        <sz val="11"/>
        <color rgb="FF000000"/>
        <rFont val="Calibri"/>
        <family val="2"/>
        <charset val="1"/>
      </rPr>
      <t xml:space="preserve"> El estudiante o investigador no posee auspicio para </t>
    </r>
  </si>
  <si>
    <t>ALTO = 3
MEDIO = 2 
BAJO = 1
NULO = 0</t>
  </si>
  <si>
    <t>ALTO</t>
  </si>
  <si>
    <t>¿Cuál es la posibilidad que el proyecto se desarrolle sin restricciones técnicas o tecnológicas?</t>
  </si>
  <si>
    <r>
      <rPr>
        <b/>
        <sz val="11"/>
        <color rgb="FF000000"/>
        <rFont val="Calibri"/>
        <family val="2"/>
        <charset val="1"/>
      </rPr>
      <t xml:space="preserve">ALTO: </t>
    </r>
    <r>
      <rPr>
        <sz val="11"/>
        <color rgb="FF000000"/>
        <rFont val="Calibri"/>
        <family val="2"/>
        <charset val="1"/>
      </rPr>
      <t xml:space="preserve">El proyecto  no tiene restricciones técnicas.
</t>
    </r>
    <r>
      <rPr>
        <b/>
        <sz val="11"/>
        <color rgb="FF000000"/>
        <rFont val="Calibri"/>
        <family val="2"/>
        <charset val="1"/>
      </rPr>
      <t xml:space="preserve">MEDIO: </t>
    </r>
    <r>
      <rPr>
        <sz val="11"/>
        <color rgb="FF000000"/>
        <rFont val="Calibri"/>
        <family val="2"/>
        <charset val="1"/>
      </rPr>
      <t xml:space="preserve">El proyecto tiene restricciones técnicas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técnicas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</si>
  <si>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t>ALTO = 100
MEDIO = 50 
BAJO = 25
NULO = 0</t>
  </si>
  <si>
    <t>&gt;=50</t>
  </si>
  <si>
    <t>¿Cúal es la posibilidad que el proyecto se desarrolle sin restricciones ambientales?</t>
  </si>
  <si>
    <r>
      <rPr>
        <b/>
        <sz val="11"/>
        <color rgb="FF000000"/>
        <rFont val="Calibri"/>
        <family val="2"/>
        <charset val="1"/>
      </rPr>
      <t xml:space="preserve">ALTO: </t>
    </r>
    <r>
      <rPr>
        <sz val="11"/>
        <color rgb="FF000000"/>
        <rFont val="Calibri"/>
        <family val="2"/>
        <charset val="1"/>
      </rPr>
      <t xml:space="preserve">El proyecto  no tiene implicaciones ambientales.
</t>
    </r>
    <r>
      <rPr>
        <b/>
        <sz val="11"/>
        <color rgb="FF000000"/>
        <rFont val="Calibri"/>
        <family val="2"/>
        <charset val="1"/>
      </rPr>
      <t xml:space="preserve">MEDIO: </t>
    </r>
    <r>
      <rPr>
        <sz val="11"/>
        <color rgb="FF000000"/>
        <rFont val="Calibri"/>
        <family val="2"/>
        <charset val="1"/>
      </rPr>
      <t xml:space="preserve">El proyecto tiene restricciones ambientales  que requieren un esfuerzo  moderado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ambientales que requieren un gran esfuerzo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ambientales que no pueden ser superadas por el estudiante o el investigador
</t>
    </r>
  </si>
  <si>
    <t>¿Cuál es la posibilidad que el proyecto se desarrolle sin restricciones juridicas o regulatorias?</t>
  </si>
  <si>
    <r>
      <rPr>
        <b/>
        <sz val="11"/>
        <color rgb="FF000000"/>
        <rFont val="Calibri"/>
        <family val="2"/>
        <charset val="1"/>
      </rPr>
      <t xml:space="preserve">ALTO: </t>
    </r>
    <r>
      <rPr>
        <sz val="11"/>
        <color rgb="FF000000"/>
        <rFont val="Calibri"/>
        <family val="2"/>
        <charset val="1"/>
      </rPr>
      <t xml:space="preserve">El proyecto  no tiene restricciones jurídicas o regulatorias.
</t>
    </r>
    <r>
      <rPr>
        <b/>
        <sz val="11"/>
        <color rgb="FF000000"/>
        <rFont val="Calibri"/>
        <family val="2"/>
        <charset val="1"/>
      </rPr>
      <t xml:space="preserve">MEDIO: </t>
    </r>
    <r>
      <rPr>
        <sz val="11"/>
        <color rgb="FF000000"/>
        <rFont val="Calibri"/>
        <family val="2"/>
        <charset val="1"/>
      </rPr>
      <t xml:space="preserve">El proyecto tiene restricciones jurídicas que requieren una gestión moderada para ser superadas por el estudiante o el investigador
</t>
    </r>
    <r>
      <rPr>
        <b/>
        <sz val="11"/>
        <color rgb="FF000000"/>
        <rFont val="Calibri"/>
        <family val="2"/>
        <charset val="1"/>
      </rPr>
      <t xml:space="preserve">BAJO: </t>
    </r>
    <r>
      <rPr>
        <sz val="11"/>
        <color rgb="FF000000"/>
        <rFont val="Calibri"/>
        <family val="2"/>
        <charset val="1"/>
      </rPr>
      <t xml:space="preserve">El proyecto tiene restricciones jurídicas que requieren un gran apoyo para ser superadas por el estudiante o el investigador
</t>
    </r>
    <r>
      <rPr>
        <b/>
        <sz val="11"/>
        <color rgb="FF000000"/>
        <rFont val="Calibri"/>
        <family val="2"/>
        <charset val="1"/>
      </rPr>
      <t>NULO:</t>
    </r>
    <r>
      <rPr>
        <sz val="11"/>
        <color rgb="FF000000"/>
        <rFont val="Calibri"/>
        <family val="2"/>
        <charset val="1"/>
      </rPr>
      <t xml:space="preserve">  El proyecto tiene restricciones técnicas que no pueden ser superadas por el estudiante o el investigador
</t>
    </r>
  </si>
  <si>
    <r>
      <rPr>
        <b/>
        <sz val="11"/>
        <color rgb="FF000000"/>
        <rFont val="Calibri"/>
        <family val="2"/>
        <charset val="1"/>
      </rPr>
      <t xml:space="preserve">CONSIDERACIONES FINANCIERAS
</t>
    </r>
    <r>
      <rPr>
        <sz val="11"/>
        <color rgb="FF000000"/>
        <rFont val="Calibri"/>
        <family val="2"/>
        <charset val="1"/>
      </rPr>
      <t>Calificación de los aspectos financieros o económicos a los que puede estar sujeto el proyecto</t>
    </r>
  </si>
  <si>
    <t>¿Cuál es nivel del monto de inversión obligatorio para el recurso tecnológico del proyecto?</t>
  </si>
  <si>
    <r>
      <rPr>
        <b/>
        <sz val="11"/>
        <color rgb="FF000000"/>
        <rFont val="Calibri"/>
        <family val="2"/>
        <charset val="1"/>
      </rPr>
      <t xml:space="preserve">ALTO: </t>
    </r>
    <r>
      <rPr>
        <sz val="11"/>
        <color rgb="FF000000"/>
        <rFont val="Calibri"/>
        <family val="2"/>
        <charset val="1"/>
      </rPr>
      <t xml:space="preserve">El monto es mayor 4'500.000
</t>
    </r>
    <r>
      <rPr>
        <b/>
        <sz val="11"/>
        <color rgb="FF000000"/>
        <rFont val="Calibri"/>
        <family val="2"/>
        <charset val="1"/>
      </rPr>
      <t xml:space="preserve">MEDIO: </t>
    </r>
    <r>
      <rPr>
        <sz val="11"/>
        <color rgb="FF000000"/>
        <rFont val="Calibri"/>
        <family val="2"/>
        <charset val="1"/>
      </rPr>
      <t xml:space="preserve">El monto está entre $ 3'500.000  y 4'500,000 en todo el proyecto 
</t>
    </r>
    <r>
      <rPr>
        <b/>
        <sz val="11"/>
        <color rgb="FF000000"/>
        <rFont val="Calibri"/>
        <family val="2"/>
        <charset val="1"/>
      </rPr>
      <t>BAJO:</t>
    </r>
    <r>
      <rPr>
        <sz val="11"/>
        <color rgb="FF000000"/>
        <rFont val="Calibri"/>
        <family val="2"/>
        <charset val="1"/>
      </rPr>
      <t>El monto es menor a $ 3'500.000 en todo el proyecto.</t>
    </r>
  </si>
  <si>
    <t>ALTO = 1
MEDIO = 2 
BAJO = 3</t>
  </si>
  <si>
    <t>NULO</t>
  </si>
  <si>
    <t>&gt;=2</t>
  </si>
  <si>
    <t>¿Cuál es nivel del monto de inversión obligatorio para el material de apoyo (Libros, videos, artículos, matrícula)?</t>
  </si>
  <si>
    <r>
      <rPr>
        <b/>
        <sz val="11"/>
        <color rgb="FF000000"/>
        <rFont val="Calibri"/>
        <family val="2"/>
        <charset val="1"/>
      </rPr>
      <t xml:space="preserve">ALTO: </t>
    </r>
    <r>
      <rPr>
        <sz val="11"/>
        <color rgb="FF000000"/>
        <rFont val="Calibri"/>
        <family val="2"/>
        <charset val="1"/>
      </rPr>
      <t xml:space="preserve">El monto de contratación es mayor a $ 25'000.000 en todo el proyecto.
</t>
    </r>
    <r>
      <rPr>
        <b/>
        <sz val="11"/>
        <color rgb="FF000000"/>
        <rFont val="Calibri"/>
        <family val="2"/>
        <charset val="1"/>
      </rPr>
      <t xml:space="preserve">MEDIO: </t>
    </r>
    <r>
      <rPr>
        <sz val="11"/>
        <color rgb="FF000000"/>
        <rFont val="Calibri"/>
        <family val="2"/>
        <charset val="1"/>
      </rPr>
      <t xml:space="preserve">El monto de contratación es mayor a $19'500.000 y menor o igual a $25'000.000 en todo el proyecto.
</t>
    </r>
    <r>
      <rPr>
        <b/>
        <sz val="11"/>
        <color rgb="FF000000"/>
        <rFont val="Calibri"/>
        <family val="2"/>
        <charset val="1"/>
      </rPr>
      <t>BAJO:</t>
    </r>
    <r>
      <rPr>
        <sz val="11"/>
        <color rgb="FF000000"/>
        <rFont val="Calibri"/>
        <family val="2"/>
        <charset val="1"/>
      </rPr>
      <t xml:space="preserve"> El monto es igual a $19'500.000 en todo el proyecto.
</t>
    </r>
    <r>
      <rPr>
        <b/>
        <sz val="11"/>
        <color rgb="FF000000"/>
        <rFont val="Calibri"/>
        <family val="2"/>
        <charset val="1"/>
      </rPr>
      <t xml:space="preserve">NULO: </t>
    </r>
    <r>
      <rPr>
        <sz val="11"/>
        <color rgb="FF000000"/>
        <rFont val="Calibri"/>
        <family val="2"/>
        <charset val="1"/>
      </rPr>
      <t>El monto de inversión es $0 debido a que no se requiere personal o es proporcionado de forma gratuita.</t>
    </r>
  </si>
  <si>
    <t>ALTO = 1
MEDIO = 2 
BAJO = 3
NULO = 4</t>
  </si>
  <si>
    <t>&gt;=3</t>
  </si>
  <si>
    <t>¿Cuál es el nivel del monto para contratación de personas?</t>
  </si>
  <si>
    <r>
      <rPr>
        <b/>
        <sz val="11"/>
        <color rgb="FF000000"/>
        <rFont val="Calibri"/>
        <family val="2"/>
        <charset val="1"/>
      </rPr>
      <t xml:space="preserve">ALTO: </t>
    </r>
    <r>
      <rPr>
        <sz val="11"/>
        <color rgb="FF000000"/>
        <rFont val="Calibri"/>
        <family val="2"/>
        <charset val="1"/>
      </rPr>
      <t xml:space="preserve">El monto de contratación es  mayor a $ 1'600.000 en todo el proyecto.
</t>
    </r>
    <r>
      <rPr>
        <b/>
        <sz val="11"/>
        <color rgb="FF000000"/>
        <rFont val="Calibri"/>
        <family val="2"/>
        <charset val="1"/>
      </rPr>
      <t xml:space="preserve">MEDIO: </t>
    </r>
    <r>
      <rPr>
        <sz val="11"/>
        <color rgb="FF000000"/>
        <rFont val="Calibri"/>
        <family val="2"/>
        <charset val="1"/>
      </rPr>
      <t xml:space="preserve">El monto de contratación es mayor a $800.000  y menor o igual $ 1'600.000 en todo el proyecto.
</t>
    </r>
    <r>
      <rPr>
        <b/>
        <sz val="11"/>
        <color rgb="FF000000"/>
        <rFont val="Calibri"/>
        <family val="2"/>
        <charset val="1"/>
      </rPr>
      <t>BAJO:</t>
    </r>
    <r>
      <rPr>
        <sz val="11"/>
        <color rgb="FF000000"/>
        <rFont val="Calibri"/>
        <family val="2"/>
        <charset val="1"/>
      </rPr>
      <t xml:space="preserve"> El monto de contratación es menor o  igual a $ 800.000 en todo el proyecto.
</t>
    </r>
    <r>
      <rPr>
        <b/>
        <sz val="11"/>
        <color rgb="FF000000"/>
        <rFont val="Calibri"/>
        <family val="2"/>
        <charset val="1"/>
      </rPr>
      <t xml:space="preserve">NULO: </t>
    </r>
    <r>
      <rPr>
        <sz val="11"/>
        <color rgb="FF000000"/>
        <rFont val="Calibri"/>
        <family val="2"/>
        <charset val="1"/>
      </rPr>
      <t>El monto de contratación es $0 debido a que no se requiere personal o es proporcionado de forma gratuita.</t>
    </r>
  </si>
  <si>
    <r>
      <rPr>
        <b/>
        <sz val="11"/>
        <color rgb="FF000000"/>
        <rFont val="Calibri"/>
        <family val="2"/>
        <charset val="1"/>
      </rPr>
      <t xml:space="preserve">GAP DE CONOCIMIENTO
</t>
    </r>
    <r>
      <rPr>
        <sz val="11"/>
        <color rgb="FF000000"/>
        <rFont val="Calibri"/>
        <family val="2"/>
        <charset val="1"/>
      </rPr>
      <t xml:space="preserve">
Calificación subjetiva de la deuda técnica del estudiante o investigador en la problemática o las herramientas para abordarla</t>
    </r>
  </si>
  <si>
    <t>¿Cúal es nivel de conocimiento de la problemática tratada en el proyecto?</t>
  </si>
  <si>
    <t>NULO/BAJO/MEDIO/ALTO</t>
  </si>
  <si>
    <r>
      <rPr>
        <b/>
        <sz val="11"/>
        <color rgb="FF000000"/>
        <rFont val="Calibri"/>
        <family val="2"/>
        <charset val="1"/>
      </rPr>
      <t xml:space="preserve">ALTO: </t>
    </r>
    <r>
      <rPr>
        <sz val="11"/>
        <color rgb="FF000000"/>
        <rFont val="Calibri"/>
        <family val="2"/>
        <charset val="1"/>
      </rPr>
      <t xml:space="preserve">El estudiante o investigador tiene conocimientos sólidos de la problemática del proyecto
</t>
    </r>
    <r>
      <rPr>
        <b/>
        <sz val="11"/>
        <color rgb="FF000000"/>
        <rFont val="Calibri"/>
        <family val="2"/>
        <charset val="1"/>
      </rPr>
      <t xml:space="preserve">MEDIO: </t>
    </r>
    <r>
      <rPr>
        <sz val="11"/>
        <color rgb="FF000000"/>
        <rFont val="Calibri"/>
        <family val="2"/>
        <charset val="1"/>
      </rPr>
      <t xml:space="preserve">El estudiante o investigador tiene conocimientos  de la problemática pero requiere conocer algunos conceptos  para establecer la hipótesis o la solución del problema.
</t>
    </r>
    <r>
      <rPr>
        <b/>
        <sz val="11"/>
        <color rgb="FF000000"/>
        <rFont val="Calibri"/>
        <family val="2"/>
        <charset val="1"/>
      </rPr>
      <t xml:space="preserve">BAJO: </t>
    </r>
    <r>
      <rPr>
        <sz val="11"/>
        <color rgb="FF000000"/>
        <rFont val="Calibri"/>
        <family val="2"/>
        <charset val="1"/>
      </rPr>
      <t>El estudiante o investigador tiene conocimientos parciales o nulos de la problemática y requiere una amplia revisión bibliográfica</t>
    </r>
  </si>
  <si>
    <t xml:space="preserve">ALTO = 3
MEDIO = 2 
BAJO = 1
</t>
  </si>
  <si>
    <t>¿Cúal es la capacidad de adquirir el conocimiento de la problemática tratada en el proyecto?</t>
  </si>
  <si>
    <t>BAJO/MEDIO/ALTO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</si>
  <si>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</si>
  <si>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ALTO = 2,25
MEDIO = 1,5
BAJO = 0,75</t>
  </si>
  <si>
    <t>¿Cúal es nivel de conocimiento de conceptos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</si>
  <si>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los conceptos de visión de computadora necesarios.
</t>
    </r>
    <r>
      <rPr>
        <b/>
        <sz val="11"/>
        <color rgb="FF000000"/>
        <rFont val="Calibri"/>
        <family val="2"/>
        <charset val="1"/>
      </rPr>
      <t xml:space="preserve">MEDIO: </t>
    </r>
    <r>
      <rPr>
        <sz val="11"/>
        <color rgb="FF000000"/>
        <rFont val="Calibri"/>
        <family val="2"/>
        <charset val="1"/>
      </rPr>
      <t xml:space="preserve">El estudiante o investigador tiene conocimientos  de los conceptos necesario,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</si>
  <si>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de vision de computadora enfocados  a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</si>
  <si>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facilidad de aprendizaje en corto tiempo y con posibilidades generar críticas o alternativoas de solución.
</t>
    </r>
    <r>
      <rPr>
        <b/>
        <sz val="11"/>
        <color rgb="FF000000"/>
        <rFont val="Calibri"/>
        <family val="2"/>
        <charset val="1"/>
      </rPr>
      <t xml:space="preserve">MEDIO: </t>
    </r>
    <r>
      <rPr>
        <sz val="11"/>
        <color rgb="FF000000"/>
        <rFont val="Calibri"/>
        <family val="2"/>
        <charset val="1"/>
      </rPr>
      <t xml:space="preserve">El estudiante o investigador tiene facilidad de aprendizaje en tiempo moderado 
</t>
    </r>
    <r>
      <rPr>
        <b/>
        <sz val="11"/>
        <color rgb="FF000000"/>
        <rFont val="Calibri"/>
        <family val="2"/>
        <charset val="1"/>
      </rPr>
      <t xml:space="preserve">BAJO: </t>
    </r>
    <r>
      <rPr>
        <sz val="11"/>
        <color rgb="FF000000"/>
        <rFont val="Calibri"/>
        <family val="2"/>
        <charset val="1"/>
      </rPr>
      <t xml:space="preserve">El estudiante o investigador requiere tiempo para el aprendizaje y puede necesitar de un tutor.
</t>
    </r>
    <r>
      <rPr>
        <b/>
        <sz val="11"/>
        <color rgb="FF000000"/>
        <rFont val="Calibri"/>
        <family val="2"/>
        <charset val="1"/>
      </rPr>
      <t>La presente calificación deroga a la anterior si la calificación es BAJO.</t>
    </r>
  </si>
  <si>
    <t>¿Cúal es nivel de conocimiento en herramientas de implementación para abordar la problemática tratada en el proyecto?</t>
  </si>
  <si>
    <r>
      <rPr>
        <b/>
        <sz val="11"/>
        <color rgb="FF000000"/>
        <rFont val="Calibri"/>
        <family val="2"/>
        <charset val="1"/>
      </rPr>
      <t xml:space="preserve">ALTO: </t>
    </r>
    <r>
      <rPr>
        <sz val="11"/>
        <color rgb="FF000000"/>
        <rFont val="Calibri"/>
        <family val="2"/>
        <charset val="1"/>
      </rPr>
      <t xml:space="preserve">El estudiante o investigador tiene conocimientos sólidos de lo herramientas disponibles para abordar el problema.
</t>
    </r>
    <r>
      <rPr>
        <b/>
        <sz val="11"/>
        <color rgb="FF000000"/>
        <rFont val="Calibri"/>
        <family val="2"/>
        <charset val="1"/>
      </rPr>
      <t xml:space="preserve">MEDIO: </t>
    </r>
    <r>
      <rPr>
        <sz val="11"/>
        <color rgb="FF000000"/>
        <rFont val="Calibri"/>
        <family val="2"/>
        <charset val="1"/>
      </rPr>
      <t xml:space="preserve">El estudiante o investigador tiene conocimientos  de algunas herramientas, pero requiere conocer algunos conceptos  para establecer las estrategias para la solución
</t>
    </r>
    <r>
      <rPr>
        <b/>
        <sz val="11"/>
        <color rgb="FF000000"/>
        <rFont val="Calibri"/>
        <family val="2"/>
        <charset val="1"/>
      </rPr>
      <t xml:space="preserve">BAJO: </t>
    </r>
    <r>
      <rPr>
        <sz val="11"/>
        <color rgb="FF000000"/>
        <rFont val="Calibri"/>
        <family val="2"/>
        <charset val="1"/>
      </rPr>
      <t>El estudiante o investigador tiene conocimientos parciales o nulos de los conceptos necesarios y requiere una amplia revisión bibliográfica</t>
    </r>
  </si>
  <si>
    <t>¿Cúal es la capacidad de adquirir el conocimientos  en herramientas de implementación para abordar la problemática tratada en el proyecto?</t>
  </si>
  <si>
    <t>NIVEL 3</t>
  </si>
  <si>
    <t>Criterio 6
 POTENCIAL DE CONTRIBUCIÓN A NUEVOS CONOCIMIENTOS</t>
  </si>
  <si>
    <t>Calificación del proyecto teniendo en cuenta las publicaciones relacionadas con el tema</t>
  </si>
  <si>
    <t>¿Cantidad publicaciones relacionadas con métodos o soluciones para el tema del proyecto?</t>
  </si>
  <si>
    <t>BAJA/MEDIA/ALTA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</si>
  <si>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directamente relacionadas con el tema de forma:
</t>
    </r>
    <r>
      <rPr>
        <b/>
        <sz val="11"/>
        <color rgb="FF000000"/>
        <rFont val="Calibri"/>
        <family val="2"/>
        <charset val="1"/>
      </rPr>
      <t>ALTA:</t>
    </r>
    <r>
      <rPr>
        <sz val="11"/>
        <color rgb="FF000000"/>
        <rFont val="Calibri"/>
        <family val="2"/>
        <charset val="1"/>
      </rPr>
      <t xml:space="preserve">  más de 40 publicaciones 
</t>
    </r>
    <r>
      <rPr>
        <b/>
        <sz val="11"/>
        <color rgb="FF000000"/>
        <rFont val="Calibri"/>
        <family val="2"/>
        <charset val="1"/>
      </rPr>
      <t>MEDIA:</t>
    </r>
    <r>
      <rPr>
        <sz val="11"/>
        <color rgb="FF000000"/>
        <rFont val="Calibri"/>
        <family val="2"/>
        <charset val="1"/>
      </rPr>
      <t xml:space="preserve">  entre 15 y 40 publicaciones.
</t>
    </r>
    <r>
      <rPr>
        <b/>
        <sz val="11"/>
        <color rgb="FF000000"/>
        <rFont val="Calibri"/>
        <family val="2"/>
        <charset val="1"/>
      </rPr>
      <t>BAJA:</t>
    </r>
    <r>
      <rPr>
        <sz val="11"/>
        <color rgb="FF000000"/>
        <rFont val="Calibri"/>
        <family val="2"/>
        <charset val="1"/>
      </rPr>
      <t xml:space="preserve"> menos de 15 publicaciones</t>
    </r>
  </si>
  <si>
    <t>ALTA = 1
MEDIA = 2 
BAJA = 3</t>
  </si>
  <si>
    <t>BAJA</t>
  </si>
  <si>
    <t>&gt;=7</t>
  </si>
  <si>
    <t>¿Cúal es el nivel de antigüedad de la mayor concentración de publicaciones que tratan problematicas iguales o muy similares al tratado en  el tema del proyecto?</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</si>
  <si>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concentraciones publicaciones directamente relacionadas con el tema y con antiguedad:
</t>
    </r>
    <r>
      <rPr>
        <b/>
        <sz val="11"/>
        <color rgb="FF000000"/>
        <rFont val="Calibri"/>
        <family val="2"/>
        <charset val="1"/>
      </rPr>
      <t>ALTA:</t>
    </r>
    <r>
      <rPr>
        <sz val="11"/>
        <color rgb="FF000000"/>
        <rFont val="Calibri"/>
        <family val="2"/>
        <charset val="1"/>
      </rPr>
      <t xml:space="preserve"> más de 6 años
</t>
    </r>
    <r>
      <rPr>
        <b/>
        <sz val="11"/>
        <color rgb="FF000000"/>
        <rFont val="Calibri"/>
        <family val="2"/>
        <charset val="1"/>
      </rPr>
      <t>MEDIA:</t>
    </r>
    <r>
      <rPr>
        <sz val="11"/>
        <color rgb="FF000000"/>
        <rFont val="Calibri"/>
        <family val="2"/>
        <charset val="1"/>
      </rPr>
      <t xml:space="preserve"> entre 4 y 6 años
</t>
    </r>
    <r>
      <rPr>
        <b/>
        <sz val="11"/>
        <color rgb="FF000000"/>
        <rFont val="Calibri"/>
        <family val="2"/>
        <charset val="1"/>
      </rPr>
      <t>BAJA:</t>
    </r>
    <r>
      <rPr>
        <sz val="11"/>
        <color rgb="FF000000"/>
        <rFont val="Calibri"/>
        <family val="2"/>
        <charset val="1"/>
      </rPr>
      <t xml:space="preserve"> entre  0 y 3 años</t>
    </r>
  </si>
  <si>
    <t>¿Cúal es la cantidad de métodos con los cuales se ha abordado el problema?</t>
  </si>
  <si>
    <r>
      <rPr>
        <sz val="11"/>
        <color rgb="FF000000"/>
        <rFont val="Calibri"/>
        <family val="2"/>
        <charset val="1"/>
      </rPr>
      <t xml:space="preserve">Los siguientes intervalos se aplican a consultas sobre las bases de datos de la PUJ y con las ecuaciones de búsqueda apropiadas (palabras clave relacionadas con el tema del proyecto a manera de conjunción), Dentro del conjunto de publicaciones que arroja la ecuación se, encuentran publicaciones relacionando métodos abordando el tema. La sumatoria de los métodos en la consulta es :
</t>
    </r>
    <r>
      <rPr>
        <b/>
        <sz val="11"/>
        <color rgb="FF000000"/>
        <rFont val="Calibri"/>
        <family val="2"/>
        <charset val="1"/>
      </rPr>
      <t>ALTA:</t>
    </r>
    <r>
      <rPr>
        <sz val="11"/>
        <color rgb="FF000000"/>
        <rFont val="Calibri"/>
        <family val="2"/>
        <charset val="1"/>
      </rPr>
      <t xml:space="preserve"> más de 7 métodos
</t>
    </r>
    <r>
      <rPr>
        <b/>
        <sz val="11"/>
        <color rgb="FF000000"/>
        <rFont val="Calibri"/>
        <family val="2"/>
        <charset val="1"/>
      </rPr>
      <t>MEDIA:</t>
    </r>
    <r>
      <rPr>
        <sz val="11"/>
        <color rgb="FF000000"/>
        <rFont val="Calibri"/>
        <family val="2"/>
        <charset val="1"/>
      </rPr>
      <t xml:space="preserve"> entre 4 y 7
</t>
    </r>
    <r>
      <rPr>
        <b/>
        <sz val="11"/>
        <color rgb="FF000000"/>
        <rFont val="Calibri"/>
        <family val="2"/>
        <charset val="1"/>
      </rPr>
      <t>BAJA:</t>
    </r>
    <r>
      <rPr>
        <sz val="11"/>
        <color rgb="FF000000"/>
        <rFont val="Calibri"/>
        <family val="2"/>
        <charset val="1"/>
      </rPr>
      <t xml:space="preserve"> entre 1 y 3 métodos</t>
    </r>
  </si>
  <si>
    <t>Estrategas de prevención</t>
  </si>
  <si>
    <t>Criterio 7
 POTENCIAL DE PATROCINIO</t>
  </si>
  <si>
    <t>¿Cuál es el nivel de patrocinio económico que puede tener el tema del proyecto?</t>
  </si>
  <si>
    <r>
      <rPr>
        <b/>
        <sz val="11"/>
        <color rgb="FF000000"/>
        <rFont val="Calibri"/>
        <family val="2"/>
        <charset val="1"/>
      </rPr>
      <t xml:space="preserve">ALTO: </t>
    </r>
    <r>
      <rPr>
        <sz val="11"/>
        <color rgb="FF000000"/>
        <rFont val="Calibri"/>
        <family val="2"/>
        <charset val="1"/>
      </rPr>
      <t xml:space="preserve">El monto del patrocinio es del 100% del valor del proyecto.
</t>
    </r>
    <r>
      <rPr>
        <b/>
        <sz val="11"/>
        <color rgb="FF000000"/>
        <rFont val="Calibri"/>
        <family val="2"/>
        <charset val="1"/>
      </rPr>
      <t xml:space="preserve">MEDIO: </t>
    </r>
    <r>
      <rPr>
        <sz val="11"/>
        <color rgb="FF000000"/>
        <rFont val="Calibri"/>
        <family val="2"/>
        <charset val="1"/>
      </rPr>
      <t xml:space="preserve">El monto del patrocinio es del 50% del valor del proyecto.
</t>
    </r>
    <r>
      <rPr>
        <b/>
        <sz val="11"/>
        <color rgb="FF000000"/>
        <rFont val="Calibri"/>
        <family val="2"/>
        <charset val="1"/>
      </rPr>
      <t>BAJO:</t>
    </r>
    <r>
      <rPr>
        <sz val="11"/>
        <color rgb="FF000000"/>
        <rFont val="Calibri"/>
        <family val="2"/>
        <charset val="1"/>
      </rPr>
      <t xml:space="preserve"> El monto del patrocinio es del 25% del valor del proyecto.
</t>
    </r>
    <r>
      <rPr>
        <b/>
        <sz val="11"/>
        <color rgb="FF000000"/>
        <rFont val="Calibri"/>
        <family val="2"/>
        <charset val="1"/>
      </rPr>
      <t xml:space="preserve">NULO: </t>
    </r>
    <r>
      <rPr>
        <sz val="11"/>
        <color rgb="FF000000"/>
        <rFont val="Calibri"/>
        <family val="2"/>
        <charset val="1"/>
      </rPr>
      <t>El monto del patrocinio es del 0% del valor del proyecto.</t>
    </r>
  </si>
  <si>
    <t>PLUS</t>
  </si>
  <si>
    <t>Nivel 1</t>
  </si>
  <si>
    <t>Nivel 2</t>
  </si>
  <si>
    <t>Nivel 3</t>
  </si>
  <si>
    <t>Criterio 1</t>
  </si>
  <si>
    <t>Criterio 2</t>
  </si>
  <si>
    <t>Criterio 3</t>
  </si>
  <si>
    <t>Criterio 4</t>
  </si>
  <si>
    <t>Criterio 5</t>
  </si>
  <si>
    <t>Criterio 6</t>
  </si>
  <si>
    <t>Criterio 7</t>
  </si>
  <si>
    <t>Criterio 8</t>
  </si>
  <si>
    <t>C1</t>
  </si>
  <si>
    <t>C2</t>
  </si>
  <si>
    <t>C3</t>
  </si>
  <si>
    <t>C4</t>
  </si>
  <si>
    <t>C5</t>
  </si>
  <si>
    <t>C6</t>
  </si>
  <si>
    <t>C7</t>
  </si>
  <si>
    <t>C8</t>
  </si>
  <si>
    <t>Oportunidades</t>
  </si>
  <si>
    <t>¿El tema del proyecto está relacionado de alguna forma con la actividad laboral actual del estudiante o el investigador?</t>
  </si>
  <si>
    <t>RESULTADO</t>
  </si>
  <si>
    <t>RESULTADO Criterio 1</t>
  </si>
  <si>
    <t>RESULTADO Criterio 2</t>
  </si>
  <si>
    <t>RESULTADO Criterio 3</t>
  </si>
  <si>
    <t>RESULTADO OBLIGATORIOS</t>
  </si>
  <si>
    <t>¿El estudiante o investigador tiene acceso a la información para documentarse y capacitarse en el tema del proyecto y las tecnologías que lo pueden soportar?</t>
  </si>
  <si>
    <t>RESULTADO Criterio 4</t>
  </si>
  <si>
    <t>RESULTADO Criterio 5</t>
  </si>
  <si>
    <t>RESULTADO C6-1</t>
  </si>
  <si>
    <t>RESULTADO C6-2</t>
  </si>
  <si>
    <t>RESULTADO C6-3</t>
  </si>
  <si>
    <t>RESULTADO Criterio 6</t>
  </si>
  <si>
    <t>RESULTADO C7-1</t>
  </si>
  <si>
    <t>RESULTADO C7-2</t>
  </si>
  <si>
    <t>RESULTADO C7</t>
  </si>
  <si>
    <t>RESULTADO Criterio 7</t>
  </si>
  <si>
    <t>RESULTADO C8-1</t>
  </si>
  <si>
    <t>RESULTADO C8-2</t>
  </si>
  <si>
    <t>RESULTADO Criterio 8</t>
  </si>
  <si>
    <t>RESULTADO PLUS</t>
  </si>
  <si>
    <t>RESULTADO FINAL PROYECTO</t>
  </si>
  <si>
    <t>Smart Offices + Identificación y acceso</t>
  </si>
  <si>
    <t>POCO</t>
  </si>
  <si>
    <t>ALTA</t>
  </si>
  <si>
    <t>BAJO</t>
  </si>
  <si>
    <t>Smart Campus + Identificación y acceso</t>
  </si>
  <si>
    <t>Smart Campus + Rastreo y conteo de múltiples objetos</t>
  </si>
  <si>
    <t>Smart Offices + Detección de comportamientos</t>
  </si>
  <si>
    <t>Smart Campus + Detección de comportamientos</t>
  </si>
  <si>
    <t>Smart Offices + Bienestar y salud</t>
  </si>
  <si>
    <t>Smart Campus + Bienestar y salud</t>
  </si>
  <si>
    <t>Smart Campus + Seguridad</t>
  </si>
  <si>
    <t>Smart Campus + Modelamiento espacial</t>
  </si>
  <si>
    <t>Smart Campus + Negocios</t>
  </si>
  <si>
    <t>Entorno Cerrado + Identificación y acceso</t>
  </si>
  <si>
    <t>Entorno Abierto + Rastreo y conteo de múltiples objetos</t>
  </si>
  <si>
    <t>Entorno Cerrado + Rastreo y conteo de múltiples objetos</t>
  </si>
  <si>
    <t>Entorno Abierto + Detección de comportamientos</t>
  </si>
  <si>
    <t>Entorno Cerrado + Detección de comportamientos</t>
  </si>
  <si>
    <t>Entorno Cerrado + Minería y análisis</t>
  </si>
  <si>
    <t>Entorno Cerrado + Bienestar y salud</t>
  </si>
  <si>
    <t>Entorno Abierto + Seguridad</t>
  </si>
  <si>
    <t>Entorno Cerrado + Seguridad</t>
  </si>
  <si>
    <t>Entorno Cerrado + Negocios</t>
  </si>
  <si>
    <t>Detección de comportamientos + Bienestar y salud</t>
  </si>
  <si>
    <t>Minería y análisis + Bienestar y salud</t>
  </si>
  <si>
    <t>Minería y análisis + Seguridad</t>
  </si>
  <si>
    <t>Rastreo y conteo de múltiples objetos + Seguridad</t>
  </si>
  <si>
    <t>Detección de comportamientos + Seguridad</t>
  </si>
  <si>
    <t>Detección de comportamientos + Negocios</t>
  </si>
  <si>
    <t>Minería y análisis + Negocios</t>
  </si>
  <si>
    <t>Fog + Bienestar y salud</t>
  </si>
  <si>
    <t>On Premise + Bienestar y salud</t>
  </si>
  <si>
    <t>Fog + Seguridad</t>
  </si>
  <si>
    <t>On Premise + Seguridad</t>
  </si>
  <si>
    <t>Fog + Extracción de características biométricas</t>
  </si>
  <si>
    <t>Fog + Extracción de Características Espacio temporales</t>
  </si>
  <si>
    <t>Fog + Detección de regiones o puntos de interés</t>
  </si>
  <si>
    <t>Fog + Reconocimiento de objetos</t>
  </si>
  <si>
    <t>Fog + Detección de patrones de movimiento</t>
  </si>
  <si>
    <t>Fog + Detección de Anomalías</t>
  </si>
  <si>
    <t>Fog + Reconocimiento de poses</t>
  </si>
  <si>
    <t>Protección de identidad + Bienestar y salud</t>
  </si>
  <si>
    <t>Protección de datos personales + Bienestar y salud</t>
  </si>
  <si>
    <t>Protección de identidad + Seguridad</t>
  </si>
  <si>
    <t>Protección de datos personales + Seguridad</t>
  </si>
  <si>
    <t>Protección de identidad + Negocios</t>
  </si>
  <si>
    <t>Protección de datos personales + Negocios</t>
  </si>
  <si>
    <t>Protección de identidad + Identificación y acceso</t>
  </si>
  <si>
    <t>Protección de datos personales + Identificación y acceso</t>
  </si>
  <si>
    <t>Protección de identidad + Detección de comportamientos</t>
  </si>
  <si>
    <t>Protección de datos personales + Detección de comportamientos</t>
  </si>
  <si>
    <t>Protección de identidad + Minería y análisis</t>
  </si>
  <si>
    <t>Protección de datos personales + Minería y análisis</t>
  </si>
  <si>
    <t>Entorno Abierto + Detección de regiones o puntos de interés</t>
  </si>
  <si>
    <t>Entorno Cerrado + Detección de regiones o puntos de interés</t>
  </si>
  <si>
    <t>Entorno Abierto + Reconocimiento de objetos</t>
  </si>
  <si>
    <t>Entorno Cerrado + Reconocimiento de objetos</t>
  </si>
  <si>
    <t>Entorno Abierto + Detección de patrones de movimiento</t>
  </si>
  <si>
    <t>Entorno Cerrado + Detección de patrones de movimiento</t>
  </si>
  <si>
    <t>Entorno Abierto + Detección de Anomalías</t>
  </si>
  <si>
    <t>Entorno Cerrado + Detección de Anomalías</t>
  </si>
  <si>
    <t>Entorno Abierto + Reconocimiento de poses</t>
  </si>
  <si>
    <t>Entorno Cerrado + Reconocimiento de poses</t>
  </si>
  <si>
    <t>Identificación y acceso + Detección de regiones o puntos de interés</t>
  </si>
  <si>
    <t>Rastreo y conteo de múltiples objetos + Detección de regiones o puntos de interés</t>
  </si>
  <si>
    <t>Detección de comportamientos + Detección de regiones o puntos de interés</t>
  </si>
  <si>
    <t>Minería y análisis + Detección de regiones o puntos de interés</t>
  </si>
  <si>
    <t>Rastreo y conteo de múltiples objetos + Reconocimiento de objetos</t>
  </si>
  <si>
    <t>Detección de comportamientos + Detección de patrones de movimiento</t>
  </si>
  <si>
    <t>Minería y análisis + Detección de patrones de movimiento</t>
  </si>
  <si>
    <t>Identificación y acceso + Detección de Anomalías</t>
  </si>
  <si>
    <t>Rastreo y conteo de múltiples objetos + Detección de Anomalías</t>
  </si>
  <si>
    <t>Detección de comportamientos + Detección de Anomalías</t>
  </si>
  <si>
    <t>Minería y análisis + Detección de Anomalías</t>
  </si>
  <si>
    <t>Detección de comportamientos + Reconocimiento de poses</t>
  </si>
  <si>
    <t>Minería y análisis + Reconocimiento de poses</t>
  </si>
  <si>
    <t>Extracción de características biométricas + Híbridos</t>
  </si>
  <si>
    <t>Extracción de Características Espacio temporales + Híbridos</t>
  </si>
  <si>
    <t>Extracción de regiones o puntos de interés + Híbridos</t>
  </si>
  <si>
    <t>Detección de regiones o puntos de interés + Híbridos</t>
  </si>
  <si>
    <t>Reconocimiento de objetos + Híbridos</t>
  </si>
  <si>
    <t>Detección de patrones de movimiento + Híbridos</t>
  </si>
  <si>
    <t>Detección de Anomalías + Híbridos</t>
  </si>
  <si>
    <t>Reconocimiento de poses + Híbridos</t>
  </si>
  <si>
    <r>
      <rPr>
        <b/>
        <sz val="8"/>
        <color rgb="FF000000"/>
        <rFont val="Calibri"/>
        <family val="2"/>
        <charset val="1"/>
      </rPr>
      <t xml:space="preserve">Specific
</t>
    </r>
    <r>
      <rPr>
        <sz val="8"/>
        <color rgb="FF000000"/>
        <rFont val="Calibri"/>
        <family val="2"/>
        <charset val="1"/>
      </rPr>
      <t xml:space="preserve">debe ser claro y puntual → evitar ambigüedad 
</t>
    </r>
    <r>
      <rPr>
        <b/>
        <sz val="8"/>
        <color rgb="FF000000"/>
        <rFont val="Calibri"/>
        <family val="2"/>
        <charset val="1"/>
      </rPr>
      <t xml:space="preserve">Mesurable
</t>
    </r>
    <r>
      <rPr>
        <sz val="8"/>
        <color rgb="FF000000"/>
        <rFont val="Calibri"/>
        <family val="2"/>
        <charset val="1"/>
      </rPr>
      <t>indicador verificable → identificar y evaluar éxito  =</t>
    </r>
    <r>
      <rPr>
        <sz val="8"/>
        <color rgb="FFFF0000"/>
        <rFont val="Calibri"/>
        <family val="2"/>
        <charset val="1"/>
      </rPr>
      <t xml:space="preserve"> Precisión del modelo?
</t>
    </r>
    <r>
      <rPr>
        <b/>
        <sz val="8"/>
        <color rgb="FF000000"/>
        <rFont val="Calibri"/>
        <family val="2"/>
        <charset val="1"/>
      </rPr>
      <t xml:space="preserve">Attainable → Actionable
</t>
    </r>
    <r>
      <rPr>
        <sz val="8"/>
        <color rgb="FF000000"/>
        <rFont val="Calibri"/>
        <family val="2"/>
        <charset val="1"/>
      </rPr>
      <t xml:space="preserve">recursos y capacidades disponibles → asegurar viabilidad
</t>
    </r>
    <r>
      <rPr>
        <b/>
        <sz val="8"/>
        <color rgb="FF000000"/>
        <rFont val="Calibri"/>
        <family val="2"/>
        <charset val="1"/>
      </rPr>
      <t xml:space="preserve">Relevant
</t>
    </r>
    <r>
      <rPr>
        <sz val="8"/>
        <color rgb="FF000000"/>
        <rFont val="Calibri"/>
        <family val="2"/>
        <charset val="1"/>
      </rPr>
      <t xml:space="preserve">motivación y utilidad → persistencia y disidencia
</t>
    </r>
    <r>
      <rPr>
        <b/>
        <sz val="8"/>
        <color rgb="FF000000"/>
        <rFont val="Calibri"/>
        <family val="2"/>
        <charset val="1"/>
      </rPr>
      <t xml:space="preserve">Time-bound
</t>
    </r>
    <r>
      <rPr>
        <sz val="8"/>
        <color rgb="FF000000"/>
        <rFont val="Calibri"/>
        <family val="2"/>
        <charset val="1"/>
      </rPr>
      <t xml:space="preserve">fijar plazo → plan y operatividad
</t>
    </r>
  </si>
  <si>
    <r>
      <rPr>
        <b/>
        <sz val="11"/>
        <color rgb="FF385724"/>
        <rFont val="Calibri"/>
        <family val="2"/>
        <charset val="1"/>
      </rPr>
      <t xml:space="preserve">Que?
</t>
    </r>
    <r>
      <rPr>
        <b/>
        <sz val="11"/>
        <color rgb="FF843C0B"/>
        <rFont val="Calibri"/>
        <family val="2"/>
        <charset val="1"/>
      </rPr>
      <t xml:space="preserve">Dónde?
</t>
    </r>
    <r>
      <rPr>
        <b/>
        <sz val="11"/>
        <color rgb="FFFF0000"/>
        <rFont val="Calibri"/>
        <family val="2"/>
        <charset val="1"/>
      </rPr>
      <t xml:space="preserve">Cómo?
</t>
    </r>
    <r>
      <rPr>
        <b/>
        <sz val="11"/>
        <color rgb="FF1F4E79"/>
        <rFont val="Calibri"/>
        <family val="2"/>
        <charset val="1"/>
      </rPr>
      <t xml:space="preserve">Para qué?
</t>
    </r>
    <r>
      <rPr>
        <b/>
        <sz val="11"/>
        <color rgb="FF806000"/>
        <rFont val="Calibri"/>
        <family val="2"/>
        <charset val="1"/>
      </rPr>
      <t xml:space="preserve">Cuándo?
</t>
    </r>
    <r>
      <rPr>
        <b/>
        <sz val="11"/>
        <color rgb="FF7030A0"/>
        <rFont val="Calibri"/>
        <family val="2"/>
        <charset val="1"/>
      </rPr>
      <t>Para quién?</t>
    </r>
  </si>
  <si>
    <t>C7 PLUS</t>
  </si>
  <si>
    <t>Proyecto</t>
  </si>
  <si>
    <t>Objetivo General</t>
  </si>
  <si>
    <t>Objetivos Específicos</t>
  </si>
  <si>
    <t>Pregunta de investigación</t>
  </si>
  <si>
    <t>Hipótesis</t>
  </si>
  <si>
    <t>Tipo de Investigación</t>
  </si>
  <si>
    <t>Metodología (bases)</t>
  </si>
  <si>
    <t xml:space="preserve">¿El tema del proyecto está relacionado con la gestión de emergencias por localización, frecuencia de lugares visitados o tiempos de espera para servicios (Governance)? </t>
  </si>
  <si>
    <t>¿El estudiante o investigador tiene acceso a la información en el o los escenarios relacionados para documentarse en el tema del proyecto y/o las tecnologías que lo pueden soportar?</t>
  </si>
  <si>
    <t>RESULTADO C5.1-1</t>
  </si>
  <si>
    <t>RESULTADO C5.1-2</t>
  </si>
  <si>
    <t>RESULTADO C5.1</t>
  </si>
  <si>
    <t>RESULTADO  Sub Criterio 5.1</t>
  </si>
  <si>
    <t>RESULTADO C5.2-1</t>
  </si>
  <si>
    <t>RESULTADO C5.2-2</t>
  </si>
  <si>
    <t xml:space="preserve">RESULTADO  Sub Criterio
5.2 </t>
  </si>
  <si>
    <t>RESULTADO  Sub Criterio 5.3</t>
  </si>
  <si>
    <t>RESULTADO Criterio 8
PLUS</t>
  </si>
  <si>
    <t>C5.1</t>
  </si>
  <si>
    <t>C5.2</t>
  </si>
  <si>
    <t>C5.3</t>
  </si>
  <si>
    <t>Sistema automático de reconocimiento facial para el acceso a instalaciones de oficina</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</si>
  <si>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reconocimiento </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acceso y permanecia</t>
    </r>
    <r>
      <rPr>
        <sz val="9"/>
        <color rgb="FF000000"/>
        <rFont val="Calibri"/>
        <family val="2"/>
        <charset val="1"/>
      </rPr>
      <t xml:space="preserve"> dentro de las instalaciones.</t>
    </r>
  </si>
  <si>
    <t>Abolido</t>
  </si>
  <si>
    <t>Sistema automatico de detección de comportamientos frecuentes y anomalías en áreas cerradas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</si>
  <si>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t>
    </r>
    <r>
      <rPr>
        <b/>
        <sz val="9"/>
        <color rgb="FF385724"/>
        <rFont val="Calibri"/>
        <family val="2"/>
        <charset val="1"/>
      </rPr>
      <t xml:space="preserve"> sistema de actividades habituales y extrañas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 y que permita </t>
    </r>
    <r>
      <rPr>
        <b/>
        <sz val="9"/>
        <color rgb="FF1F4E79"/>
        <rFont val="Calibri"/>
        <family val="2"/>
        <charset val="1"/>
      </rPr>
      <t>establecer estadísticas de comportamientos frecuentes</t>
    </r>
    <r>
      <rPr>
        <sz val="9"/>
        <color rgb="FF000000"/>
        <rFont val="Calibri"/>
        <family val="2"/>
        <charset val="1"/>
      </rPr>
      <t xml:space="preserve"> dentro de las instalaciones.</t>
    </r>
  </si>
  <si>
    <t>Sistema de análsis de stress corporal a partir de posiciones de trabajo comprometedoras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</si>
  <si>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clasificación y cálculo de carga y stress de posturas no ergonómicas</t>
    </r>
    <r>
      <rPr>
        <sz val="9"/>
        <color rgb="FF000000"/>
        <rFont val="Calibri"/>
        <family val="2"/>
        <charset val="1"/>
      </rPr>
      <t xml:space="preserve"> en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estadísticas de interés de salud ocupacional</t>
    </r>
    <r>
      <rPr>
        <sz val="9"/>
        <color rgb="FF000000"/>
        <rFont val="Calibri"/>
        <family val="2"/>
        <charset val="1"/>
      </rPr>
      <t xml:space="preserve"> para las </t>
    </r>
    <r>
      <rPr>
        <b/>
        <sz val="9"/>
        <color rgb="FF7030A0"/>
        <rFont val="Calibri"/>
        <family val="2"/>
        <charset val="1"/>
      </rPr>
      <t>administradoras de riesgos laborales y el departamento de recursos humano</t>
    </r>
    <r>
      <rPr>
        <sz val="9"/>
        <color rgb="FF000000"/>
        <rFont val="Calibri"/>
        <family val="2"/>
        <charset val="1"/>
      </rPr>
      <t>s dentro de las compañias.</t>
    </r>
  </si>
  <si>
    <t>Se combina con el proyecto 79</t>
  </si>
  <si>
    <t>Sistema de aprendizaje de actividades sospechosas captadas en video para la prevención de hurto</t>
  </si>
  <si>
    <t>Sistema de renocimiento y análisis de satisfacción de la ingesta de productos alimenticios en campus universitario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</si>
  <si>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 de personas</t>
    </r>
    <r>
      <rPr>
        <sz val="9"/>
        <color rgb="FF000000"/>
        <rFont val="Calibri"/>
        <family val="2"/>
        <charset val="1"/>
      </rPr>
      <t xml:space="preserve">  que frecuentan</t>
    </r>
    <r>
      <rPr>
        <b/>
        <sz val="9"/>
        <color rgb="FF843C0B"/>
        <rFont val="Calibri"/>
        <family val="2"/>
        <charset val="1"/>
      </rPr>
      <t xml:space="preserve"> sitios de venta de alimentos en campus universitarios</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que permitan  </t>
    </r>
    <r>
      <rPr>
        <b/>
        <sz val="9"/>
        <color rgb="FF1F4E79"/>
        <rFont val="Calibri"/>
        <family val="2"/>
        <charset val="1"/>
      </rPr>
      <t>establecer relaciones entre gestos corporales y faciales durante la ingesta de alimentos y la satisfacción producida por los alimentos que consumen</t>
    </r>
    <r>
      <rPr>
        <sz val="9"/>
        <color rgb="FF000000"/>
        <rFont val="Calibri"/>
        <family val="2"/>
        <charset val="1"/>
      </rPr>
      <t>.</t>
    </r>
  </si>
  <si>
    <t xml:space="preserve">Sistema autónomo de aprendizaje y etiquetado de nuevas actividades </t>
  </si>
  <si>
    <t>MEDIO</t>
  </si>
  <si>
    <t>MEDIA</t>
  </si>
  <si>
    <t>Sistema de enmascaramiento de imagen y datos personales para el análisis de comportamiento.</t>
  </si>
  <si>
    <t>Potencial para incluir como característica dentro de otro proyecto</t>
  </si>
  <si>
    <t>Sistema automático de reconocimiento de personas  a partir de características corporales y el cálculo de sitios de trabajo propicios para dichas personas.</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</si>
  <si>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sistema de reconocimiento de características biométricas</t>
    </r>
    <r>
      <rPr>
        <sz val="9"/>
        <color rgb="FF000000"/>
        <rFont val="Calibri"/>
        <family val="2"/>
        <charset val="1"/>
      </rPr>
      <t xml:space="preserve"> de personas que trabajan</t>
    </r>
    <r>
      <rPr>
        <b/>
        <sz val="9"/>
        <color rgb="FF843C0B"/>
        <rFont val="Calibri"/>
        <family val="2"/>
        <charset val="1"/>
      </rPr>
      <t xml:space="preserve"> en ambientes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que permita </t>
    </r>
    <r>
      <rPr>
        <b/>
        <sz val="9"/>
        <color rgb="FF1F4E79"/>
        <rFont val="Calibri"/>
        <family val="2"/>
        <charset val="1"/>
      </rPr>
      <t>establecer las dimensiones adecuadas del sitio de trabajo</t>
    </r>
    <r>
      <rPr>
        <sz val="9"/>
        <color rgb="FF000000"/>
        <rFont val="Calibri"/>
        <family val="2"/>
        <charset val="1"/>
      </rPr>
      <t>.</t>
    </r>
  </si>
  <si>
    <t>Sistema de reconocimiento de objetos descuidados en áreas comunes.</t>
  </si>
  <si>
    <t>Sistema de identificación de poses, actividades y hábitos  en las personas en areas de trabajo</t>
  </si>
  <si>
    <r>
      <rPr>
        <sz val="9"/>
        <color rgb="FF000000"/>
        <rFont val="Calibri"/>
        <family val="2"/>
        <charset val="1"/>
      </rPr>
      <t xml:space="preserve">Diseñar y construir </t>
    </r>
    <r>
      <rPr>
        <b/>
        <sz val="9"/>
        <color rgb="FF806000"/>
        <rFont val="Calibri"/>
        <family val="2"/>
        <charset val="1"/>
      </rPr>
      <t>en un periodo de año y medio</t>
    </r>
    <r>
      <rPr>
        <sz val="9"/>
        <color rgb="FF000000"/>
        <rFont val="Calibri"/>
        <family val="2"/>
        <charset val="1"/>
      </rPr>
      <t xml:space="preserve"> un </t>
    </r>
    <r>
      <rPr>
        <b/>
        <sz val="9"/>
        <color rgb="FF385724"/>
        <rFont val="Calibri"/>
        <family val="2"/>
        <charset val="1"/>
      </rPr>
      <t xml:space="preserve">sistema de reconocimiento y clasificación de características biométricas, poses, actividades y hábitos relacionadas con la salud </t>
    </r>
    <r>
      <rPr>
        <sz val="9"/>
        <color rgb="FF000000"/>
        <rFont val="Calibri"/>
        <family val="2"/>
        <charset val="1"/>
      </rPr>
      <t xml:space="preserve"> en personas que trabajan</t>
    </r>
    <r>
      <rPr>
        <b/>
        <sz val="9"/>
        <color rgb="FF843C0B"/>
        <rFont val="Calibri"/>
        <family val="2"/>
        <charset val="1"/>
      </rPr>
      <t xml:space="preserve"> en ambientes cerrados de oficina</t>
    </r>
    <r>
      <rPr>
        <sz val="9"/>
        <color rgb="FF000000"/>
        <rFont val="Calibri"/>
        <family val="2"/>
        <charset val="1"/>
      </rPr>
      <t xml:space="preserve">, a partir del </t>
    </r>
    <r>
      <rPr>
        <b/>
        <sz val="9"/>
        <color rgb="FFFF0000"/>
        <rFont val="Calibri"/>
        <family val="2"/>
        <charset val="1"/>
      </rPr>
      <t>procesamiento de imágenes de video</t>
    </r>
    <r>
      <rPr>
        <sz val="9"/>
        <color rgb="FFFF0000"/>
        <rFont val="Calibri"/>
        <family val="2"/>
        <charset val="1"/>
      </rPr>
      <t xml:space="preserve"> </t>
    </r>
    <r>
      <rPr>
        <sz val="9"/>
        <color rgb="FF000000"/>
        <rFont val="Calibri"/>
        <family val="2"/>
        <charset val="1"/>
      </rPr>
      <t xml:space="preserve">del entorno laboral y </t>
    </r>
    <r>
      <rPr>
        <b/>
        <sz val="9"/>
        <color rgb="FF1F4E79"/>
        <rFont val="Calibri"/>
        <family val="2"/>
        <charset val="1"/>
      </rPr>
      <t>que permita generar alertas de salud ocupacional</t>
    </r>
    <r>
      <rPr>
        <sz val="9"/>
        <color rgb="FF000000"/>
        <rFont val="Calibri"/>
        <family val="2"/>
        <charset val="1"/>
      </rPr>
      <t xml:space="preserve"> para el</t>
    </r>
    <r>
      <rPr>
        <b/>
        <sz val="9"/>
        <color rgb="FF7030A0"/>
        <rFont val="Calibri"/>
        <family val="2"/>
        <charset val="1"/>
      </rPr>
      <t xml:space="preserve"> departamento de recursos humano</t>
    </r>
    <r>
      <rPr>
        <sz val="9"/>
        <color rgb="FF000000"/>
        <rFont val="Calibri"/>
        <family val="2"/>
        <charset val="1"/>
      </rPr>
      <t>s dentro de una compañía.</t>
    </r>
  </si>
  <si>
    <t xml:space="preserve">Tareas
Definir el problema. Que es lo que lo podría interesar a la empresa, qué retos y problemas tiene, a nivel informatico. Debe tener referencias, </t>
  </si>
  <si>
    <t>Se combina con el proyecto 27 y 79</t>
  </si>
  <si>
    <t>Sistema de análisis de interacciones entre personas</t>
  </si>
  <si>
    <t>MUCHO</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</si>
  <si>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</si>
  <si>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TS=(speech or voice)</t>
  </si>
  <si>
    <t>(TS=("behavior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OR TI=("behavior recognition" OR "proactive behavior study" OR "behavior prediction" OR "fall detection" OR "behavior representation" OR "crowd recognition" OR "objects detection" OR "actions classification" OR "people security" OR "people safety" OR "drowsiness detection" OR "behavior threat análisis" OR "anomalous behaviour detection" OR "anomality tagging" OR "vehicle search" OR "security incidents recognition" OR "safety incidents recognition" OR "emotion recognition" OR "smart traffic" OR "device linking" OR "people counting" OR "aggresive behavior recognition" OR "depression detection" OR "human activity recognition")) NOT TS=(parkinson OR particle OR insects OR mouse OR pig OR "thermal image" OR infrared OR crops OR agricultural OR speech OR voice)</t>
  </si>
  <si>
    <t>Búsqueda por sólo títulos</t>
  </si>
  <si>
    <t>TS=("human activity recognition") OR TI=("human activity recognition")</t>
  </si>
  <si>
    <t>TS=("human activity detection") OR TI=("human activity detection")</t>
  </si>
  <si>
    <t>TS=("behavior threat analysis") OR  TI=("behavior threat analysis")</t>
  </si>
  <si>
    <t>TS=("threat analysis") OR  TI=("threat analysis")</t>
  </si>
  <si>
    <t>TS=("anomality tagging") OR TI=("anomality tagging")</t>
  </si>
  <si>
    <t>TS=("behavior recognition") OR TI=("behavior recognition")</t>
  </si>
  <si>
    <t>TS=("proactive behavior study") OR TI=("proactive behavior study")</t>
  </si>
  <si>
    <t>TS=("behavior study") OR TI=("behavior study")</t>
  </si>
  <si>
    <t>TS=("behavior prediction") OR TI=("behavior prediction")</t>
  </si>
  <si>
    <t>TS=("fall detection") OR TI=("fall detection")</t>
  </si>
  <si>
    <t>TS=("behavior representation") OR TI=("behavior representation")</t>
  </si>
  <si>
    <t>TS=("crowd recognition") OR TI=("crowd recognition")</t>
  </si>
  <si>
    <t>TS=("objects detection") OR TI=("objects detection")</t>
  </si>
  <si>
    <t>TS=("anomalous behaviour detection") OR TI=("anomalous behaviour detection")</t>
  </si>
  <si>
    <t>TS=("incident recognition") OR TI=("incident recognition")</t>
  </si>
  <si>
    <t>TS=("emotion recognition") OR TI=("emotion recognition")</t>
  </si>
  <si>
    <t>TS=("smart traffic") OR TI=("smart traffic")</t>
  </si>
  <si>
    <t>TS=("pedestrian recognition") OR TI=("pedestrian recognition")</t>
  </si>
  <si>
    <t>TS=("pedestrian detection") OR TI=("pedestrian detection")</t>
  </si>
  <si>
    <t>TS=("device linking" AND "smart campus") OR TI=("device linking" AND "smart campus")</t>
  </si>
  <si>
    <t>TS=("people counting") OR TI=("people counting")</t>
  </si>
  <si>
    <t>TS=("depression detection") OR TI=("depression detection")</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</si>
  <si>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</si>
  <si>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Computer Science, Artificial Intelligence (Informática, Inteligencia Artificial)</t>
  </si>
  <si>
    <t>(TS=("image processing" OR "video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</si>
  <si>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</si>
  <si>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OR"behavior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OR TI=("behavior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 AND WC=("Computer Science, Artificial Intelligence")</t>
  </si>
  <si>
    <t>(TI=("video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</si>
  <si>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(TI=("image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</si>
  <si>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(TS=("video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</si>
  <si>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(TS=("image processing") AND TS=("behavior recognition" OR "human activity detection" OR"behavior prediction" OR "fall detection" OR "behavior representation" OR "crowd recognition" OR "objects detection" OR "actions classification" OR "people security" OR "people safety" OR "drowsiness detection" OR "behavior threat análisis" OR "anomalous behaviour detection" OR "vehicle search" OR "emotion recognition" OR "smart traffic" OR "device linking" OR "people counting" OR "depression detection" OR "human activity recognition")) NOT TS=(parkinson OR particle OR insects OR mouse OR pig OR "thermal image" OR infrared OR crops OR agricultural OR speech OR voice OR friction OR materials OR brain OR heart OR coronary OR motor OR ultrasonic OR neuropsycho* OR psycho* OR sensor OR phone) AND SU=("Imaging Science &amp; Photographic Technology" OR Engineering OR "Computer Science") NOT SU=(Psychology)</t>
  </si>
  <si>
    <t>parkinson</t>
  </si>
  <si>
    <t>particle</t>
  </si>
  <si>
    <t>insects</t>
  </si>
  <si>
    <t>mouse</t>
  </si>
  <si>
    <t>pig</t>
  </si>
  <si>
    <t>Thermal Image</t>
  </si>
  <si>
    <t>Infrared</t>
  </si>
  <si>
    <t>crops</t>
  </si>
  <si>
    <t>agricultural</t>
  </si>
  <si>
    <t>speech</t>
  </si>
  <si>
    <t>voice</t>
  </si>
  <si>
    <t>friction</t>
  </si>
  <si>
    <t>materials</t>
  </si>
  <si>
    <t>brain</t>
  </si>
  <si>
    <t>heart</t>
  </si>
  <si>
    <t>coronary</t>
  </si>
  <si>
    <t>motor</t>
  </si>
  <si>
    <t>ultrasonic</t>
  </si>
  <si>
    <t>sensor</t>
  </si>
  <si>
    <t>phone</t>
  </si>
  <si>
    <t>bird</t>
  </si>
  <si>
    <t>EEG</t>
  </si>
  <si>
    <t>Palabras Clave</t>
  </si>
  <si>
    <t>"</t>
  </si>
  <si>
    <t>Unida Por AND</t>
  </si>
  <si>
    <t>Sin prefijo</t>
  </si>
  <si>
    <t>TS = Tema</t>
  </si>
  <si>
    <t>TI = Titulo</t>
  </si>
  <si>
    <t>("advanced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t>
  </si>
  <si>
    <t>Unida por OR</t>
  </si>
  <si>
    <t>("advanced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t>
  </si>
  <si>
    <t>(TS=( video processing OR  image processing OR computer vision) AND  TS=(act* classification OR act* detect* OR anomal* detect* OR anomal* behav* detect* OR behav* prediction OR behav* recogn OR behav* represent* OR behav* stud* OR behavior*-based safe* OR threat* analysis OR crowd recog* OR crowd detect* OR depression recog* OR depression detect* OR drowsiness recog* OR drowsiness detect* OR emotion* recog* OR emotion* detect* OR fall* recog* OR fall* detect* OR human act* recog* OR human act* detect* OR object recog* OR object detect* OR people count* OR people security OR people safety OR incident* recog* OR accident* recog* OR pedestrian recog* OR pedestrian detect*) AND WC=(Computer Science, Artificial Intelligence)  AND SU=(Imaging Science &amp; Photographic Technology OR Engineering OR Computer Science)) NOT TS=(parkinson OR particle OR insects OR mouse OR pig OR thermal image OR infrared OR crops OR agricultural OR speech OR voice OR friction OR materials OR brain OR heart OR coronary OR motor OR ultrasonic OR neuropsycho* OR psycho* OR sensor OR phone)</t>
  </si>
  <si>
    <t>Período de tiempo=Todos los años. Índices=SCI-EXPANDED, SSCI, A&amp;HCI, ESCI.</t>
  </si>
  <si>
    <t>Elementos publicados cada año</t>
  </si>
  <si>
    <t>Citas cada año</t>
  </si>
  <si>
    <t>Resultados encontrados</t>
  </si>
  <si>
    <t>Total de veces citado</t>
  </si>
  <si>
    <t>Promedio de citas por elemento</t>
  </si>
  <si>
    <t>h-index</t>
  </si>
  <si>
    <t>Cargo</t>
  </si>
  <si>
    <t>Autoría corporativa</t>
  </si>
  <si>
    <t>Editores</t>
  </si>
  <si>
    <t>Editores del libro</t>
  </si>
  <si>
    <t>Título de la fuente</t>
  </si>
  <si>
    <t>Fecha de publicación</t>
  </si>
  <si>
    <t>Año de publicación</t>
  </si>
  <si>
    <t>Volumen</t>
  </si>
  <si>
    <t>Número</t>
  </si>
  <si>
    <t>Identificador de subdivisión de publicación</t>
  </si>
  <si>
    <t>Suplemento</t>
  </si>
  <si>
    <t>Número especial</t>
  </si>
  <si>
    <t>Página de inicio</t>
  </si>
  <si>
    <t>Página final</t>
  </si>
  <si>
    <t>Número de artículo</t>
  </si>
  <si>
    <t>DOI</t>
  </si>
  <si>
    <t>Título de la conferencia</t>
  </si>
  <si>
    <t>Fecha de la conferencia</t>
  </si>
  <si>
    <t>Total de citas</t>
  </si>
  <si>
    <t>Promedio por año</t>
  </si>
  <si>
    <t>JUN 2008</t>
  </si>
  <si>
    <t>10.1016/j.cviu.2007.09.014</t>
  </si>
  <si>
    <t>DEC 2015</t>
  </si>
  <si>
    <t>10.1007/s11263-015-0816-y</t>
  </si>
  <si>
    <t>NOV-DEC 2006</t>
  </si>
  <si>
    <t>2-3</t>
  </si>
  <si>
    <t>10.1016/j.cviu.2006.08.002</t>
  </si>
  <si>
    <t>APR 2012</t>
  </si>
  <si>
    <t>10.1109/TPAMI.2011.155</t>
  </si>
  <si>
    <t>MAR 2007</t>
  </si>
  <si>
    <t>10.1109/TPAMI.2007.56</t>
  </si>
  <si>
    <t>Point Set Registration: Coherent Point Drift</t>
  </si>
  <si>
    <t>Myronenko, Andriy; Song, Xubo</t>
  </si>
  <si>
    <t>DEC 2010</t>
  </si>
  <si>
    <t>10.1109/TPAMI.2010.46</t>
  </si>
  <si>
    <t>Saliency, scale and image description</t>
  </si>
  <si>
    <t>Kadir, T; Brady, M</t>
  </si>
  <si>
    <t>NOV 2001</t>
  </si>
  <si>
    <t>10.1023/A:1012460413855</t>
  </si>
  <si>
    <t>Global Contrast Based Salient Region Detection</t>
  </si>
  <si>
    <t>Cheng, Ming-Ming; Mitra, Niloy J.; Huang, Xiaolei; Torr, Philip H. S.; Hu, Shi-Min</t>
  </si>
  <si>
    <t>MAR 2015</t>
  </si>
  <si>
    <t>10.1109/TPAMI.2014.2345401</t>
  </si>
  <si>
    <t>A sparse texture representation using local affine regions</t>
  </si>
  <si>
    <t>Lazebnik, S; Schmid, C; Ponce, J</t>
  </si>
  <si>
    <t>AUG 2005</t>
  </si>
  <si>
    <t>10.1109/TPAMI.2005.151</t>
  </si>
  <si>
    <t>Shape classification using the inner-distance</t>
  </si>
  <si>
    <t>Ling, Haibin; Jacobs, David W.</t>
  </si>
  <si>
    <t>FEB 2007</t>
  </si>
  <si>
    <t>10.1109/TPAMI.2007.41</t>
  </si>
  <si>
    <t>DEC 2009</t>
  </si>
  <si>
    <t>10.1109/TPAMI.2008.260</t>
  </si>
  <si>
    <t>SIFT Flow: Dense Correspondence across Scenes and Its Applications</t>
  </si>
  <si>
    <t>Liu, Ce; Yuen, Jenny; Torralba, Antonio</t>
  </si>
  <si>
    <t>MAY 2011</t>
  </si>
  <si>
    <t>10.1109/TPAMI.2010.147</t>
  </si>
  <si>
    <t>In the Eye of the Beholder: A Survey of Models for Eyes and Gaze</t>
  </si>
  <si>
    <t>Hansen, Dan Witzner; Ji, Qiang</t>
  </si>
  <si>
    <t>MAR 2010</t>
  </si>
  <si>
    <t>10.1109/TPAMI.2009.30</t>
  </si>
  <si>
    <t>The PASCAL Visual Object Classes Challenge: A Retrospective</t>
  </si>
  <si>
    <t>Everingham, Mark; Eslami, S. M. Ali; Van Gool, Luc; Williams, Christopher K. I.; Winn, John; Zisserman, Andrew</t>
  </si>
  <si>
    <t>JAN 2015</t>
  </si>
  <si>
    <t>10.1007/s11263-014-0733-5</t>
  </si>
  <si>
    <t>Vision-based human motion analysis: An overview</t>
  </si>
  <si>
    <t>Poppe, Ronald</t>
  </si>
  <si>
    <t>OCT-NOV 2007</t>
  </si>
  <si>
    <t>1-2</t>
  </si>
  <si>
    <t>10.1016/j.cviu.2006.10.016</t>
  </si>
  <si>
    <t>JAN 2009</t>
  </si>
  <si>
    <t>10.1007/s11263-007-0109-1</t>
  </si>
  <si>
    <t>9th European Conference on Computer Vision (ECCV 2006)</t>
  </si>
  <si>
    <t>MAY 07-13, 2006</t>
  </si>
  <si>
    <t>OCT 2002</t>
  </si>
  <si>
    <t>PII S0031-3203(01)00178-9</t>
  </si>
  <si>
    <t>10.1016/S0031-3203(01)00178-9</t>
  </si>
  <si>
    <t>Visual Word Ambiguity</t>
  </si>
  <si>
    <t>van Gemert, Jan C.; Veenman, Cor J.; Smeulders, Arnold W. M.; Geusebroek, Jan-Mark</t>
  </si>
  <si>
    <t>JUL 2010</t>
  </si>
  <si>
    <t>10.1109/TPAMI.2009.132</t>
  </si>
  <si>
    <t>Keypoint recognition using randomized trees</t>
  </si>
  <si>
    <t>Lepetit, Vincent; Fua, Pascal</t>
  </si>
  <si>
    <t>SEP 2006</t>
  </si>
  <si>
    <t>10.1109/TPAMI.2006.188</t>
  </si>
  <si>
    <t>MILES: Multiple-Instance Learning via Embedded instance Selection</t>
  </si>
  <si>
    <t>Chen, Yixin; Bi, Jinbo; Wang, James Z.</t>
  </si>
  <si>
    <t>DEC 2006</t>
  </si>
  <si>
    <t>10.1109/TPAMI.2006.248</t>
  </si>
  <si>
    <t>MPCA: Multilinear principal component analysis of tensor objects</t>
  </si>
  <si>
    <t>Lu, Haiping; Konstantinos, N. Platardotis; Venetsanopoulos, Anastasios N.</t>
  </si>
  <si>
    <t>IEEE TRANSACTIONS ON NEURAL NETWORKS</t>
  </si>
  <si>
    <t>JAN 2008</t>
  </si>
  <si>
    <t>10.1109/TNN.2007.901277</t>
  </si>
  <si>
    <t>Biometrics Symposium on Research at the Biometric Consortium Conference</t>
  </si>
  <si>
    <t>SEP 19-21, 2006</t>
  </si>
  <si>
    <t>MAY 1 2007</t>
  </si>
  <si>
    <t>10.1016/j.imavis.2006.05.012</t>
  </si>
  <si>
    <t>Efficient Additive Kernels via Explicit Feature Maps</t>
  </si>
  <si>
    <t>Vedaldi, Andrea; Zisserman, Andrew</t>
  </si>
  <si>
    <t>MAR 2012</t>
  </si>
  <si>
    <t>10.1109/TPAMI.2011.153</t>
  </si>
  <si>
    <t>10.1109/TIP.2015.2487833</t>
  </si>
  <si>
    <t>NOV 2011</t>
  </si>
  <si>
    <t>10.1109/TPAMI.2011.70</t>
  </si>
  <si>
    <t>Fast Keypoint Recognition Using Random Ferns</t>
  </si>
  <si>
    <t>Oezuysal, Mustafa; Calonder, Michael; Lepetit, Vincent; Fua, Pascal</t>
  </si>
  <si>
    <t>10.1109/TPAMI.2009.23</t>
  </si>
  <si>
    <t>MAR 2013</t>
  </si>
  <si>
    <t>10.1109/TPAMI.2012.132</t>
  </si>
  <si>
    <t>LDAHash: Improved Matching with Smaller Descriptors</t>
  </si>
  <si>
    <t>Strecha, Christoph; Bronstein, Alexander M.; Bronstein, Michael M.; Fua, Pascal</t>
  </si>
  <si>
    <t>JAN 2012</t>
  </si>
  <si>
    <t>10.1109/TPAMI.2011.103</t>
  </si>
  <si>
    <t>Computational Color Constancy: Survey and Experiments</t>
  </si>
  <si>
    <t>Gijsenij, Arjan; Gevers, Theo; van de Weijer, Joost</t>
  </si>
  <si>
    <t>SEP 2011</t>
  </si>
  <si>
    <t>10.1109/TIP.2011.2118224</t>
  </si>
  <si>
    <t>FEB 2009</t>
  </si>
  <si>
    <t>10.1109/TPAMI.2008.57</t>
  </si>
  <si>
    <t>Michaelis, B; Krell, G</t>
  </si>
  <si>
    <t>25th Pattern Recognition Symposium of the German-Association-for-Pattern-Recognition</t>
  </si>
  <si>
    <t>SEP 10-12, 2003</t>
  </si>
  <si>
    <t>FEB 2010</t>
  </si>
  <si>
    <t>10.1016/j.patcog.2009.03.004</t>
  </si>
  <si>
    <t>Attribute-Based Classification for Zero-Shot Visual Object Categorization</t>
  </si>
  <si>
    <t>Lampert, Christoph H.; Nickisch, Hannes; Harmeling, Stefan</t>
  </si>
  <si>
    <t>MAR 2014</t>
  </si>
  <si>
    <t>10.1109/TPAMI.2013.140</t>
  </si>
  <si>
    <t>APR 26 2016</t>
  </si>
  <si>
    <t>10.1016/j.neucom.2015.09.116</t>
  </si>
  <si>
    <t>SEP 1 2011</t>
  </si>
  <si>
    <t>10.1016/j.patrec.2011.01.004</t>
  </si>
  <si>
    <t>OCT 2011</t>
  </si>
  <si>
    <t>10.1109/TPAMI.2010.230</t>
  </si>
  <si>
    <t>Performance evaluation of local colour invariants</t>
  </si>
  <si>
    <t>Burghouts, Gertjan J.; Geusebroek, Jan-Mark</t>
  </si>
  <si>
    <t>10.1016/j.cviu.2008.07.003</t>
  </si>
  <si>
    <t>Invariance properties of Gabor filter-based features - Overview and applications</t>
  </si>
  <si>
    <t>Kamarainen, JK; Kyrki, V; Kalviainen, H</t>
  </si>
  <si>
    <t>MAY 2006</t>
  </si>
  <si>
    <t>10.1109/TIP.2005.864174</t>
  </si>
  <si>
    <t>Semisupervised Multiview Distance Metric Learning for Cartoon Synthesis</t>
  </si>
  <si>
    <t>Yu, Jun; Wang, Meng; Tao, Dacheng</t>
  </si>
  <si>
    <t>NOV 2012</t>
  </si>
  <si>
    <t>10.1109/TIP.2012.2207395</t>
  </si>
  <si>
    <t>10-12</t>
  </si>
  <si>
    <t>10.1016/j.neucom.2007.11.032</t>
  </si>
  <si>
    <t>FEB-MAR 2004</t>
  </si>
  <si>
    <t>10.1023/B:VISI.0000011202.85607.00</t>
  </si>
  <si>
    <t>OCT 15 2014</t>
  </si>
  <si>
    <t>10.1016/j.patrec.2014.04.011</t>
  </si>
  <si>
    <t>10.1007/s10032-005-0014-O</t>
  </si>
  <si>
    <t>Stacked Autoencoders for Unsupervised Feature Learning and Multiple Organ Detection in a Pilot Study Using 4D Patient Data</t>
  </si>
  <si>
    <t>Shin, Hoo-Chang; Orton, Matthew R.; Collins, David J.; Doran, Simon J.; Leach, Martin O.</t>
  </si>
  <si>
    <t>AUG 2013</t>
  </si>
  <si>
    <t>10.1109/TPAMI.2012.277</t>
  </si>
  <si>
    <t>APR 2016</t>
  </si>
  <si>
    <t>10.1109/TPAMI.2015.2465908</t>
  </si>
  <si>
    <t>JUN 2013</t>
  </si>
  <si>
    <t>10.1016/j.cviu.2013.01.013</t>
  </si>
  <si>
    <t>Deep Hierarchies in the Primate Visual Cortex: What Can We Learn for Computer Vision?</t>
  </si>
  <si>
    <t>Kruger, Norbert; Janssen, Peter; Kalkan, Sinan; Lappe, Markus; Leonardis, Ales; Piater, Justus; Rodriguez-Sanchez, Antonio J.; Wiskott, Laurenz</t>
  </si>
  <si>
    <t>10.1109/TPAMI.2012.272</t>
  </si>
  <si>
    <t>On incremental and robust subspace learning</t>
  </si>
  <si>
    <t>Li, YM</t>
  </si>
  <si>
    <t>JUL 2004</t>
  </si>
  <si>
    <t>10.1016/j.patcog.2003.11.010</t>
  </si>
  <si>
    <t>JUN 2010</t>
  </si>
  <si>
    <t>10.1016/j.cviu.2010.02.004</t>
  </si>
  <si>
    <t>FEB 2004</t>
  </si>
  <si>
    <t>10.1016/j.patrec.2003.10.008</t>
  </si>
  <si>
    <t>A system for person-independent hand posture recognition against complex backgrounds</t>
  </si>
  <si>
    <t>Triesch, J; von der Malsburg, C</t>
  </si>
  <si>
    <t>DEC 2001</t>
  </si>
  <si>
    <t>10.1109/34.977568</t>
  </si>
  <si>
    <t>Self-organization in vision: Stochastic clustering for image segmentation, perceptual grouping, and image database organization</t>
  </si>
  <si>
    <t>Gdalyahu, Y; Weinshall, D; Werman, M</t>
  </si>
  <si>
    <t>OCT 2001</t>
  </si>
  <si>
    <t>10.1109/34.954598</t>
  </si>
  <si>
    <t>Co-Saliency Detection via a Self-Paced Multiple-Instance Learning Framework</t>
  </si>
  <si>
    <t>Zhang, Dingwen; Meng, Deyu; Han, Junwei</t>
  </si>
  <si>
    <t>MAY 2017</t>
  </si>
  <si>
    <t>10.1109/TPAMI.2016.2567393</t>
  </si>
  <si>
    <t>FEB 2014</t>
  </si>
  <si>
    <t>10.1142/S0218001414500013</t>
  </si>
  <si>
    <t>Hierarchical classification and feature reduction for fast face detection with support vector machines</t>
  </si>
  <si>
    <t>Heisele, B; Serre, T; Prentice, S; Poggio, T</t>
  </si>
  <si>
    <t>SEP 2003</t>
  </si>
  <si>
    <t>10.1016/S0031-3203(03)00062-1</t>
  </si>
  <si>
    <t>SEP 2015</t>
  </si>
  <si>
    <t>10.1016/j.cviu.2015.03.015</t>
  </si>
  <si>
    <t>SEP-OCT 2004</t>
  </si>
  <si>
    <t>10.1023/B:VISI.0000025800.10423.1f</t>
  </si>
  <si>
    <t>Markov Random Field modeling, inference &amp; learning in computer vision &amp; image understanding: A survey</t>
  </si>
  <si>
    <t>NOV 2013</t>
  </si>
  <si>
    <t>10.1016/j.cviu.2013.07.004</t>
  </si>
  <si>
    <t>JUL 2011</t>
  </si>
  <si>
    <t>10.1109/TPAMI.2010.214</t>
  </si>
  <si>
    <t>Annotating images by mining image search results</t>
  </si>
  <si>
    <t>Wang, Xin-Jing; Zhang, Lei; Li, Xirong; Ma, Wei-Ying</t>
  </si>
  <si>
    <t>NOV 2008</t>
  </si>
  <si>
    <t>10.1109/TPAMI.2008.127</t>
  </si>
  <si>
    <t>MAR 2001</t>
  </si>
  <si>
    <t>10.1006/cviu.2000.0896</t>
  </si>
  <si>
    <t>JAN 15 2010</t>
  </si>
  <si>
    <t>10.1016/j.patrec.2009.09.019</t>
  </si>
  <si>
    <t>Detection of incomplete ellipse in images with strong noise by iterative randomized Hough transform (IRHT)</t>
  </si>
  <si>
    <t>Lu, Wei; Tan, Jinglu</t>
  </si>
  <si>
    <t>APR 2008</t>
  </si>
  <si>
    <t>10.1016/j.patcog.2007.09.006</t>
  </si>
  <si>
    <t>APR 2011</t>
  </si>
  <si>
    <t>10.1109/TPAMI.2010.135</t>
  </si>
  <si>
    <t>10.1007/s11263-007-0058-8</t>
  </si>
  <si>
    <t>Task-Dependent Visual-Codebook Compression</t>
  </si>
  <si>
    <t>Ji, Rongrong; Yao, Hongxun; Liu, Wei; Sun, Xiaoshuai; Tian, Qi</t>
  </si>
  <si>
    <t>10.1109/TIP.2011.2176950</t>
  </si>
  <si>
    <t>Esaliency (Extended Saliency): Meaningful Attention Using Stochastic Image Modeling</t>
  </si>
  <si>
    <t>Avraham, Tamar; Lindenbaum, Michael</t>
  </si>
  <si>
    <t>APR 2010</t>
  </si>
  <si>
    <t>10.1109/TPAMI/2009.53</t>
  </si>
  <si>
    <t>Color image segmentation based on adaptive local thresholds</t>
  </si>
  <si>
    <t>Navon, E; Miller, O; Averbuch, A</t>
  </si>
  <si>
    <t>JAN 1 2005</t>
  </si>
  <si>
    <t>10.1016/j.imavis.2004.05.011</t>
  </si>
  <si>
    <t>Toward Open Set Recognition</t>
  </si>
  <si>
    <t>Scheirer, Walter J.; Rocha, Anderson de Rezende; Sapkota, Archana; Boult, Terrance E.</t>
  </si>
  <si>
    <t>JUL 2013</t>
  </si>
  <si>
    <t>10.1109/TPAMI.2012.256</t>
  </si>
  <si>
    <t>A review of log-polar imaging for visual perception in robotics</t>
  </si>
  <si>
    <t>Traver, V. Javier; Bernardino, Alexandre</t>
  </si>
  <si>
    <t>APR 30 2010</t>
  </si>
  <si>
    <t>10.1016/j.robot.2009.10.002</t>
  </si>
  <si>
    <t>A new algorithm for ball recognition using circle Hough transform and neural classifier</t>
  </si>
  <si>
    <t>D'Orazio, T; Guaragnella, C; Leo, M; Distante, A</t>
  </si>
  <si>
    <t>MAR 2004</t>
  </si>
  <si>
    <t>10.1016/S0031-3203(03)00228-0</t>
  </si>
  <si>
    <t>APR 2009</t>
  </si>
  <si>
    <t>10.1007/s11263-008-0181-1</t>
  </si>
  <si>
    <t>Edge and corner detection by photometric quasi-invariants</t>
  </si>
  <si>
    <t>van de Weijer, J; Gevers, T; Geusebroek, JM</t>
  </si>
  <si>
    <t>APR 2005</t>
  </si>
  <si>
    <t>10.1109/TPAMI.2005.75</t>
  </si>
  <si>
    <t>Feature selection using Joint Mutual Information Maximisation</t>
  </si>
  <si>
    <t>Bennasar, Mohamed; Hicks, Yulia; Setchi, Rossitza</t>
  </si>
  <si>
    <t>DEC 1 2015</t>
  </si>
  <si>
    <t>10.1016/j.eswa.2015.07.007</t>
  </si>
  <si>
    <t>Indexing hierarchical structures using graph spectra</t>
  </si>
  <si>
    <t>Shokoufandeh, A; Macrini, D; Dickinson, S; Siddiqi, K; Zucker, SW</t>
  </si>
  <si>
    <t>JUL 2005</t>
  </si>
  <si>
    <t>10.1109/TPAMI.2005.142</t>
  </si>
  <si>
    <t>State of research in automatic as-built modelling</t>
  </si>
  <si>
    <t>Patraucean, Viorica; Armeni, Iro; Nahangi, Mohammad; Yeung, Jamie; Brilakis, Ioannis; Haas, Carl</t>
  </si>
  <si>
    <t>APR 2015</t>
  </si>
  <si>
    <t>10.1016/j.aei.2015.01.001</t>
  </si>
  <si>
    <t>SEP 2012</t>
  </si>
  <si>
    <t>10.1109/TPAMI.2012.67</t>
  </si>
  <si>
    <t>Accurate centerline detection and line width estimation of thick lines using the radon transform</t>
  </si>
  <si>
    <t>Zhang, Qiaoping; Couloigner, Isabelle</t>
  </si>
  <si>
    <t>10.1109/TIP.2006.887731</t>
  </si>
  <si>
    <t>Selection and fusion of color models for image feature detection</t>
  </si>
  <si>
    <t>Stokman, Harro; Gevers, Theo</t>
  </si>
  <si>
    <t>10.1109/TPAMI.2007.58</t>
  </si>
  <si>
    <t>Bag of contour fragments for robust shape classification</t>
  </si>
  <si>
    <t>Wang, Xinggang; Feng, Bin; Bai, Xiang; Liu, Wenyu; Latecki, Longin Jan</t>
  </si>
  <si>
    <t>JUN 2014</t>
  </si>
  <si>
    <t>10.1016/j.patcog.2013.12.008</t>
  </si>
  <si>
    <t>Local Difference Binary for Ultrafast and Distinctive Feature Description</t>
  </si>
  <si>
    <t>Yang, Xin; Cheng, Kwang-Ting (Tim)</t>
  </si>
  <si>
    <t>JAN 2014</t>
  </si>
  <si>
    <t>10.1109/TPAMI.2013.150</t>
  </si>
  <si>
    <t>10.1007/s11263-009-0209-1</t>
  </si>
  <si>
    <t>Conformal geometry and its applications on 3D shape matching, recognition, and stitching</t>
  </si>
  <si>
    <t>Wang, Sen; Wang, Yang; Jin, Miao; Gu, Xianfeng David; Samaras, Dimitris</t>
  </si>
  <si>
    <t>JUL 2007</t>
  </si>
  <si>
    <t>10.1109/TPAMI.2007.1050</t>
  </si>
  <si>
    <t>AUG 2011</t>
  </si>
  <si>
    <t>10.1162/NECO_a_00155</t>
  </si>
  <si>
    <t>Axon tracking in serial block-face scanning electron microscopy</t>
  </si>
  <si>
    <t>Jurrus, Elizabeth; Hardy, Melissa; Tasdizen, Tolga; Fletcher, P. Thomas; Koshevoy, Pavel; Chien, Chi-Bin; Denk, Winfried; Whitaker, Ross</t>
  </si>
  <si>
    <t>MEDICAL IMAGE ANALYSIS</t>
  </si>
  <si>
    <t>10.1016/j.media.2008.05.002</t>
  </si>
  <si>
    <t>1st International Workshop on Microscopy Image Analysis with Applications to Biology</t>
  </si>
  <si>
    <t>OCT 05, 2006</t>
  </si>
  <si>
    <t>Density-Based Multifeature Background Subtraction with Support Vector Machine</t>
  </si>
  <si>
    <t>Han, Bohyung; Davis, Larry S.</t>
  </si>
  <si>
    <t>MAY 2012</t>
  </si>
  <si>
    <t>10.1109/TPAMI.2011.243</t>
  </si>
  <si>
    <t>Generalized Transfer Subspace Learning Through Low-Rank Constraint</t>
  </si>
  <si>
    <t>Shao, Ming; Kit, Dmitry; Fu, Yun</t>
  </si>
  <si>
    <t>AUG 2014</t>
  </si>
  <si>
    <t>10.1007/s11263-014-0696-6</t>
  </si>
  <si>
    <t>10.1109/TPAMI.2010.133</t>
  </si>
  <si>
    <t>Template matching using chaotic imperialist competitive algorithm</t>
  </si>
  <si>
    <t>Duan, Haibin; Xu, Chunfang; Liu, Senqi; Shao, Shan</t>
  </si>
  <si>
    <t>OCT 1 2010</t>
  </si>
  <si>
    <t>10.1016/j.patrec.2009.12.005</t>
  </si>
  <si>
    <t>OCT 2014</t>
  </si>
  <si>
    <t>10.1016/j.patcog.2014.04.018</t>
  </si>
  <si>
    <t>Symmetry-based monocular vehicle detection system</t>
  </si>
  <si>
    <t>Teoh, Soo Siang; Braeunl, Thomas</t>
  </si>
  <si>
    <t>10.1007/s00138-011-0355-7</t>
  </si>
  <si>
    <t>A hybrid SEM algorithm for high-dimensional unsupervised learning using a finite generalized dirichlet mixture</t>
  </si>
  <si>
    <t>Bouguila, Nizar; Ziou, Djemel</t>
  </si>
  <si>
    <t>10.1109/TIP.2006.877379</t>
  </si>
  <si>
    <t>IEEE International Conference on Acoustics, Speech, and Signal Processing</t>
  </si>
  <si>
    <t>MAY 17-21, 2004</t>
  </si>
  <si>
    <t>WIN 2008</t>
  </si>
  <si>
    <t>10.1162/evco.2008.16.4.483</t>
  </si>
  <si>
    <t>Unsupervised Learning for Graph Matching</t>
  </si>
  <si>
    <t>Leordeanu, Marius; Sukthankar, Rahul; Hebert, Martial</t>
  </si>
  <si>
    <t>10.1007/s11263-011-0442-2</t>
  </si>
  <si>
    <t>Vision Based Position Control for MAVs Using One Single Circular Landmark</t>
  </si>
  <si>
    <t>Eberli, Daniel; Scaramuzza, Davide; Weiss, Stephan; Siegwart, Roland</t>
  </si>
  <si>
    <t>MAR 2011</t>
  </si>
  <si>
    <t>1-4</t>
  </si>
  <si>
    <t>10.1007/s10846-010-9494-8</t>
  </si>
  <si>
    <t>OCT 2008</t>
  </si>
  <si>
    <t>5-6</t>
  </si>
  <si>
    <t>10.1007/s00138-008-0152-0</t>
  </si>
  <si>
    <t>A new Hausdorff distance for image matching</t>
  </si>
  <si>
    <t>Zhao, CJ; Shi, WK; Deng, Y</t>
  </si>
  <si>
    <t>10.1016/j.patrec.2004.09.022</t>
  </si>
  <si>
    <t>10.1016/j.aei.2015.02.001</t>
  </si>
  <si>
    <t>Advances in matrix manifolds for computer vision</t>
  </si>
  <si>
    <t>Lui, Yui Man</t>
  </si>
  <si>
    <t>JUN 2012</t>
  </si>
  <si>
    <t>6-7</t>
  </si>
  <si>
    <t>10.1016/j.imavis.2011.08.002</t>
  </si>
  <si>
    <t>Image mining: Trends and developments</t>
  </si>
  <si>
    <t>Hsu, WM; Lee, ML; Zhang, J</t>
  </si>
  <si>
    <t>JOURNAL OF INTELLIGENT INFORMATION SYSTEMS</t>
  </si>
  <si>
    <t>JUL 2002</t>
  </si>
  <si>
    <t>10.1023/A:1015508302797</t>
  </si>
  <si>
    <t>Video based technology for ambient assisted living: A review of the literature</t>
  </si>
  <si>
    <t>Cardinaux, Fabien; Bhowmik, Deepayan; Abhayaratne, Charith; Hawley, Mark S.</t>
  </si>
  <si>
    <t>10.3233/AIS-2011-0110</t>
  </si>
  <si>
    <t>10.1016/j.eswa.2011.09.106</t>
  </si>
  <si>
    <t>JAN 1 2008</t>
  </si>
  <si>
    <t>10.1016/j.imavis.2005.07.027</t>
  </si>
  <si>
    <t>Hardware implementation of optical flow constraint equation using FPGAs</t>
  </si>
  <si>
    <t>Martin, JL; Zuloaga, A; Cuadrado, C; Lazaro, J; Bidarte, U</t>
  </si>
  <si>
    <t>JUN 2005</t>
  </si>
  <si>
    <t>10.1016/j.cviu.2004.10.002</t>
  </si>
  <si>
    <t>A hierarchical self-organizing approach for learning the patterns of motion trajectories</t>
  </si>
  <si>
    <t>Hu, WM; Xie, D; Tan, TN</t>
  </si>
  <si>
    <t>JAN 2004</t>
  </si>
  <si>
    <t>10.1109/TNN.2003.820668</t>
  </si>
  <si>
    <t>10.1109/TPAMI.2013.87</t>
  </si>
  <si>
    <t>DEC 2013</t>
  </si>
  <si>
    <t>10.1109/TSMCB.2012.2231959</t>
  </si>
  <si>
    <t>Scalable Active Learning for Multiclass Image Classification</t>
  </si>
  <si>
    <t>Joshi, Ajay J.; Porikli, Fatih; Papanikolopoulos, Nikolaos P.</t>
  </si>
  <si>
    <t>10.1109/TPAMI.2012.21</t>
  </si>
  <si>
    <t>Analysis of two-dimensional non-rigid shapes</t>
  </si>
  <si>
    <t>Bronstein, Alexander M.; Bronstein, Michael M.; Bruckstein, Alfred M.; Kimmel, Ron</t>
  </si>
  <si>
    <t>10.1007/s11263-007-0078-4</t>
  </si>
  <si>
    <t>JUN 2011</t>
  </si>
  <si>
    <t>10.1142/S012906571100281X</t>
  </si>
  <si>
    <t>Improved rooftop detection in aerial images with machine learning</t>
  </si>
  <si>
    <t>Maloof, MA; Langley, P; Binford, TO; Nevatia, R; Sage, S</t>
  </si>
  <si>
    <t>MACHINE LEARNING</t>
  </si>
  <si>
    <t>OCT-NOV 2003</t>
  </si>
  <si>
    <t>10.1023/A:1025623527461</t>
  </si>
  <si>
    <t>Circular object detection using a modified Hough transform</t>
  </si>
  <si>
    <t>Smereka, Marcin; Duleba, Ignacy</t>
  </si>
  <si>
    <t>INTERNATIONAL JOURNAL OF APPLIED MATHEMATICS AND COMPUTER SCIENCE</t>
  </si>
  <si>
    <t>10.2478/v10006-008-0008-9</t>
  </si>
  <si>
    <t>Handwritten-word spotting using biologically inspired features</t>
  </si>
  <si>
    <t>van der Zant, Tijn; Schomaker, Lambert; Haak, Koen</t>
  </si>
  <si>
    <t>10.1109/TPAMI.2008.144</t>
  </si>
  <si>
    <t>The emergence of attention by population-based inference and its role in distributed processing and cognitive control of vision</t>
  </si>
  <si>
    <t>Hamker, FH</t>
  </si>
  <si>
    <t>OCT-NOV 2005</t>
  </si>
  <si>
    <t>10.1016/j.cviu.2004.09.005</t>
  </si>
  <si>
    <t>1st International Workshop on Attention and Performance in Computer Vision</t>
  </si>
  <si>
    <t>APR 03, 2003</t>
  </si>
  <si>
    <t>Probability Models for Open Set Recognition</t>
  </si>
  <si>
    <t>Scheirer, Walter J.; Jain, Lalit P.; Boult, Terrance E.</t>
  </si>
  <si>
    <t>NOV 2014</t>
  </si>
  <si>
    <t>10.1109/TPAMI.2014.2321392</t>
  </si>
  <si>
    <t>Exemplar-Based Color Constancy and Multiple Illumination</t>
  </si>
  <si>
    <t>Joze, Hamid Reza Vaezi; Drew, Mark S.</t>
  </si>
  <si>
    <t>MAY 2014</t>
  </si>
  <si>
    <t>10.1109/TPAMI.2013.169</t>
  </si>
  <si>
    <t>Trainable COSFIRE Filters for Keypoint Detection and Pattern Recognition</t>
  </si>
  <si>
    <t>Azzopardi, George; Petkov, Nicolai</t>
  </si>
  <si>
    <t>FEB 2013</t>
  </si>
  <si>
    <t>10.1109/TPAMI.2012.106</t>
  </si>
  <si>
    <t>Chromaticity-based separation of reflection components in a single image</t>
  </si>
  <si>
    <t>Shen, Hui-Liang; Zhang, Hong-Gang; Shao, Si-Jie; Xin, John H.</t>
  </si>
  <si>
    <t>AUG 2008</t>
  </si>
  <si>
    <t>10.1016/j.patcog.2008.01.026</t>
  </si>
  <si>
    <t>Graph Kernels from the Jensen-Shannon Divergence</t>
  </si>
  <si>
    <t>Bai, Lu; Hancock, Edwin R.</t>
  </si>
  <si>
    <t>SEP 2013</t>
  </si>
  <si>
    <t>10.1007/s10851-012-0383-6</t>
  </si>
  <si>
    <t>On the orientability of shapes</t>
  </si>
  <si>
    <t>Zunic, Jovisa; Rosin, Paul L.; Kopanja, Lazar</t>
  </si>
  <si>
    <t>NOV 2006</t>
  </si>
  <si>
    <t>10.1109/TIP.2006.877527</t>
  </si>
  <si>
    <t>Visual Saliency Detection Based on Multiscale Deep CNN Features</t>
  </si>
  <si>
    <t>Li, Guanbin; Yu, Yizhou</t>
  </si>
  <si>
    <t>NOV 2016</t>
  </si>
  <si>
    <t>10.1109/TIP.2016.2602079</t>
  </si>
  <si>
    <t>DISC: Deep Image Saliency Computing via Progressive Representation Learning</t>
  </si>
  <si>
    <t>Chen, Tianshui; Lin, Liang; Liu, Lingbo; Luo, Xiaonan; Li, Xuelong</t>
  </si>
  <si>
    <t>JUN 2016</t>
  </si>
  <si>
    <t>10.1109/TNNLS.2015.2506664</t>
  </si>
  <si>
    <t>Image Matching Using Generalized Scale-Space Interest Points</t>
  </si>
  <si>
    <t>Lindeberg, Tony</t>
  </si>
  <si>
    <t>MAY 2015</t>
  </si>
  <si>
    <t>10.1007/s10851-014-0541-0</t>
  </si>
  <si>
    <t>10.1109/TIP.2013.2295753</t>
  </si>
  <si>
    <t>Automatic circle detection on digital images with an adaptive bacterial foraging algorithm</t>
  </si>
  <si>
    <t>Dasgupta, Sambarta; Das, Swagatam; Biswas, Arijit; Abraham, Ajith</t>
  </si>
  <si>
    <t>SOFT COMPUTING</t>
  </si>
  <si>
    <t>SEP 2010</t>
  </si>
  <si>
    <t>10.1007/s00500-009-0508-z</t>
  </si>
  <si>
    <t>MAR 2008</t>
  </si>
  <si>
    <t>10.1007/s11263-007-0053-0</t>
  </si>
  <si>
    <t>A marked point process of rectangles and segments for automatic analysis of Digital Elevation Models</t>
  </si>
  <si>
    <t>Ortner, Mathias; Descombes, Xavier; Zerubia, Josiane</t>
  </si>
  <si>
    <t>10.1109/TPAMI.2007.1159</t>
  </si>
  <si>
    <t>ElliFit: An unconstrained, non-iterative, least squares based geometric Ellipse Fitting method</t>
  </si>
  <si>
    <t>Prasad, Dilip K.; Leung, Maylor K. H.; Quek, Chai</t>
  </si>
  <si>
    <t>MAY 2013</t>
  </si>
  <si>
    <t>10.1016/j.patcog.2012.11.007</t>
  </si>
  <si>
    <t>Geodesic matching of triangulated surfaces</t>
  </si>
  <si>
    <t>Ben Hamza, A.; Krim, Hamid</t>
  </si>
  <si>
    <t>AUG 2006</t>
  </si>
  <si>
    <t>10.1109/TIP.2006.875250</t>
  </si>
  <si>
    <t>Cellular neural networks and computational intelligence in medical image processing</t>
  </si>
  <si>
    <t>Aizenberg, I; Aizenberg, N; Hiltner, J; Moraga, C; Bexten, EMZ</t>
  </si>
  <si>
    <t>10.1016/S0262-8856(00)00066-4</t>
  </si>
  <si>
    <t>JUL 2017</t>
  </si>
  <si>
    <t>10.1109/TCYB.2016.2582918</t>
  </si>
  <si>
    <t>Robust and Accurate Shape Model Matching Using Random Forest Regression-Voting</t>
  </si>
  <si>
    <t>Lindner, Claudia; Bromiley, Paul A.; Ionita, Mircea C.; Cootes, Tim F.</t>
  </si>
  <si>
    <t>10.1109/TPAMI.2014.2382106</t>
  </si>
  <si>
    <t>10.1109/TCYB.2014.2301453</t>
  </si>
  <si>
    <t>MAY 2008</t>
  </si>
  <si>
    <t>10.1016/j.cviu.2007.06.001</t>
  </si>
  <si>
    <t>10.1016/j.neunet.2008.03.007</t>
  </si>
  <si>
    <t>10.1007/s11263-012-0560-5</t>
  </si>
  <si>
    <t>Learning and classifying actions of construction workers and equipment using Bag-of-Video-Feature-Words and Bayesian network models</t>
  </si>
  <si>
    <t>Gong, Jie; Caldas, Carlos H.; Gordon, Chris</t>
  </si>
  <si>
    <t>10.1016/j.aei.2011.06.002</t>
  </si>
  <si>
    <t>Generating Descriptive Visual Words and Visual Phrases for Large-Scale Image Applications</t>
  </si>
  <si>
    <t>Zhang, Shiliang; Tian, Qi; Hua, Gang; Huang, Qingming; Gao, Wen</t>
  </si>
  <si>
    <t>10.1109/TIP.2011.2128333</t>
  </si>
  <si>
    <t>Evolutionary-computer-assisted design of image operators that detect interest points using genetic programming</t>
  </si>
  <si>
    <t>Olague, Gustavo; Trujillo, Leonardo</t>
  </si>
  <si>
    <t>10.1016/j.imavis.2011.03.004</t>
  </si>
  <si>
    <t>MAR 2002</t>
  </si>
  <si>
    <t>10.1016/S0031-3203(01)00066-8</t>
  </si>
  <si>
    <t>International Symposium on Image/Video Communication over Fixed and Mobile Networks (ISIVC 2000)</t>
  </si>
  <si>
    <t>APR, 2000</t>
  </si>
  <si>
    <t>Learning Deep Hierarchical Visual Feature Coding</t>
  </si>
  <si>
    <t>Goh, Hanlin; Thome, Nicolas; Cord, Matthieu; Lim, Joo-Hwee</t>
  </si>
  <si>
    <t>DEC 2014</t>
  </si>
  <si>
    <t>10.1109/TNNLS.2014.2307532</t>
  </si>
  <si>
    <t>Receptive Fields Selection for Binary Feature Description</t>
  </si>
  <si>
    <t>Fan, Bin; Kong, Qingqun; Trzcinski, Tomasz; Wang, Zhiheng; Pan, Chunhong; Fua, Pascal</t>
  </si>
  <si>
    <t>10.1109/TIP.2014.2317981</t>
  </si>
  <si>
    <t>OCT 2006</t>
  </si>
  <si>
    <t>10.1007/s11263-005-3102-6</t>
  </si>
  <si>
    <t>IEEE-Computer-Society Conference on Computer Vision and Pattern Recognition</t>
  </si>
  <si>
    <t>JUN, 2004</t>
  </si>
  <si>
    <t>MAY 2010</t>
  </si>
  <si>
    <t>10.1016/j.cviu.2009.07.008</t>
  </si>
  <si>
    <t>Visual learning by evolutionary and coevolutionary feature synthesis</t>
  </si>
  <si>
    <t>Krawiec, Krzysztof; Bhanu, Bir</t>
  </si>
  <si>
    <t>IEEE TRANSACTIONS ON EVOLUTIONARY COMPUTATION</t>
  </si>
  <si>
    <t>OCT 2007</t>
  </si>
  <si>
    <t>10.1109/TEVC.2006.887351</t>
  </si>
  <si>
    <t>Equivalence of some common linear feature extraction techniques for appearance-based object recognition tasks</t>
  </si>
  <si>
    <t>Asuncion Vicente, M.; Hoyer, Patrik O.; Hyvarinen, Aapo</t>
  </si>
  <si>
    <t>MAY 2007</t>
  </si>
  <si>
    <t>10.1109/TPAMI.2007.1025</t>
  </si>
  <si>
    <t>Direct curvature scale space: Theory and corner detection</t>
  </si>
  <si>
    <t>Zhong, Baojiang; Liao, Wenhe</t>
  </si>
  <si>
    <t>10.1109/TPAMI.2007.50</t>
  </si>
  <si>
    <t>Salient Region Detection via Integrating Diffusion-Based Compactness and Local Contrast</t>
  </si>
  <si>
    <t>Zhou, Li; Yang, Zhaohui; Yuan, Qing; Zhou, Zongtan; Hu, Dewen</t>
  </si>
  <si>
    <t>NOV 2015</t>
  </si>
  <si>
    <t>10.1109/TIP.2015.2438546</t>
  </si>
  <si>
    <t>Discriminative Appearance Models for Pictorial Structures</t>
  </si>
  <si>
    <t>Andriluka, Mykhaylo; Roth, Stefan; Schiele, Bernt</t>
  </si>
  <si>
    <t>10.1007/s11263-011-0498-z</t>
  </si>
  <si>
    <t>10.1162/NECO_a_00171</t>
  </si>
  <si>
    <t>Automatic medical image annotation in ImageCLEF 2007: Overview, results, and discussion</t>
  </si>
  <si>
    <t>Deselaers, Thomas; Deserno, Thomas M.; Mueller, Henning</t>
  </si>
  <si>
    <t>NOV 1 2008</t>
  </si>
  <si>
    <t>10.1016/j.patrec.2008.03.001</t>
  </si>
  <si>
    <t>Conference on Medical Image Annotation in ImageCLEF 2007</t>
  </si>
  <si>
    <t>APR 2018</t>
  </si>
  <si>
    <t>10.1109/TNNLS.2017.2649101</t>
  </si>
  <si>
    <t>OCT 2016</t>
  </si>
  <si>
    <t>10.1109/TPAMI.2015.2502579</t>
  </si>
  <si>
    <t>Total Variation Regularized RPCA for Irregularly Moving Object Detection Under Dynamic Background</t>
  </si>
  <si>
    <t>Cao, Xiaochun; Yang, Liang; Guo, Xiaojie</t>
  </si>
  <si>
    <t>10.1109/TCYB.2015.2419737</t>
  </si>
  <si>
    <t>10.1016/j.patcog.2015.04.018</t>
  </si>
  <si>
    <t>Scale Invariant Feature Transform on the Sphere: Theory and Applications</t>
  </si>
  <si>
    <t>Cruz-Mota, Javier; Bogdanova, Iva; Paquier, Benoit; Bierlaire, Michel; Thiran, Jean-Philippe</t>
  </si>
  <si>
    <t>10.1007/s11263-011-0505-4</t>
  </si>
  <si>
    <t>10.1016/j.cviu.2007.04.006</t>
  </si>
  <si>
    <t>A wrapper-based approach to image segmentation and classification</t>
  </si>
  <si>
    <t>Farmer, ME; Jain, AK</t>
  </si>
  <si>
    <t>DEC 2005</t>
  </si>
  <si>
    <t>10.1109/TIP.2005.859374</t>
  </si>
  <si>
    <t>Efficient Recognition of Highly Similar 3D Objects in Range Images</t>
  </si>
  <si>
    <t>Chen, Hui; Bhanu, Bir</t>
  </si>
  <si>
    <t>10.1109/TPAMI.2008.176</t>
  </si>
  <si>
    <t>Boosted Landmarks of Contextual Descriptors and Forest-ECOC: A novel framework to detect and classify objects in cluttered scenes</t>
  </si>
  <si>
    <t>Escalera, Sergio; Pujol, Oriol; Radeva, Petia</t>
  </si>
  <si>
    <t>OCT 1 2007</t>
  </si>
  <si>
    <t>10.1016/j.patrec.2007.05.007</t>
  </si>
  <si>
    <t>Fast template matching with polynomials</t>
  </si>
  <si>
    <t>Omachi, Shinichiro; Omachi, Masako</t>
  </si>
  <si>
    <t>AUG 2007</t>
  </si>
  <si>
    <t>10.1109/TIP.2007.901243</t>
  </si>
  <si>
    <t>Unsupervised Object Class Discovery via Saliency-Guided Multiple Class Learning</t>
  </si>
  <si>
    <t>Zhu, Jun-Yan; Wu, Jiajun; Xu, Yan; Chang, Eric; Tu, Zhuowen</t>
  </si>
  <si>
    <t>10.1109/TPAMI.2014.2353617</t>
  </si>
  <si>
    <t>An improvement to the SIFT descriptor for image representation and matching</t>
  </si>
  <si>
    <t>Liao, Kaiyang; Liu, Guizhong; Hui, Youshi</t>
  </si>
  <si>
    <t>AUG 1 2013</t>
  </si>
  <si>
    <t>10.1016/j.patrec.2013.03.021</t>
  </si>
  <si>
    <t>Stopped Object Detection by Learning Foreground Model in Videos</t>
  </si>
  <si>
    <t>10.1109/TNNLS.2013.2242092</t>
  </si>
  <si>
    <t>Moving object detection and tracking by using annealed background subtraction method in videos: Performance optimization</t>
  </si>
  <si>
    <t>Karasulu, Bahadir; Korukoglu, Serdar</t>
  </si>
  <si>
    <t>10.1016/j.eswa.2011.06.040</t>
  </si>
  <si>
    <t>1st International Symposium on Computing in Science and Engineering</t>
  </si>
  <si>
    <t>JUN 03-05, 2010</t>
  </si>
  <si>
    <t>Intrinsic Dimensionality Predicts the Saliency of Natural Dynamic Scenes</t>
  </si>
  <si>
    <t>Vig, Eleonora; Dorr, Michael; Martinetz, Thomas; Barth, Erhardt</t>
  </si>
  <si>
    <t>10.1109/TPAMI.2011.198</t>
  </si>
  <si>
    <t>A new framework for feature descriptor based on SIFT</t>
  </si>
  <si>
    <t>Li, Canlin; Ma, Lizhuang</t>
  </si>
  <si>
    <t>APR 1 2009</t>
  </si>
  <si>
    <t>10.1016/j.patrec.2008.12.004</t>
  </si>
  <si>
    <t>Background subtraction based on logarithmic intensities</t>
  </si>
  <si>
    <t>Wu, QZ; Jeng, BS</t>
  </si>
  <si>
    <t>NOV 2002</t>
  </si>
  <si>
    <t>PII S0167-8655(02)00116-2</t>
  </si>
  <si>
    <t>10.1016/S0167-8655(02)00116-2</t>
  </si>
  <si>
    <t>Weakly Supervised Object Localization with Multi-Fold Multiple Instance Learning</t>
  </si>
  <si>
    <t>Cinbis, Ramazan Gokberk; Verbeek, Jakob; Schmid, Cordelia</t>
  </si>
  <si>
    <t>JAN 2017</t>
  </si>
  <si>
    <t>10.1109/TPAMI.2016.2535231</t>
  </si>
  <si>
    <t>FEB 12 2016</t>
  </si>
  <si>
    <t>10.1016/j.neucom.2015.11.021</t>
  </si>
  <si>
    <t>Visual privacy protection methods: A survey</t>
  </si>
  <si>
    <t>Ramon Padilla-Lopez, Jose; Andre Chaaraoui, Alexandros; Florez-Revuelta, Francisco</t>
  </si>
  <si>
    <t>JUN 1 2015</t>
  </si>
  <si>
    <t>10.1016/j.eswa.2015.01.041</t>
  </si>
  <si>
    <t>Active learning for on-road vehicle detection: a comparative study</t>
  </si>
  <si>
    <t>Sivaraman, Sayanan; Trivedi, Mohan M.</t>
  </si>
  <si>
    <t>APR 2014</t>
  </si>
  <si>
    <t>10.1007/s00138-011-0388-y</t>
  </si>
  <si>
    <t>A Real-Time Deformable Detector</t>
  </si>
  <si>
    <t>Ali, Karim; Fleuret, Francois; Hasler, David; Fua, Pascal</t>
  </si>
  <si>
    <t>FEB 2012</t>
  </si>
  <si>
    <t>10.1109/TPAMI.2011.117</t>
  </si>
  <si>
    <t>FEB 15 2011</t>
  </si>
  <si>
    <t>10.1016/j.neucom.2010.11.013</t>
  </si>
  <si>
    <t>Operator context scanning to support high segmentation rates for real time license plate recognition</t>
  </si>
  <si>
    <t>Giannoukos, Ioannis; Anagnostopoulos, Christos-Nikolaos; Loumos, Vassili; Kayafas, Eleftherios</t>
  </si>
  <si>
    <t>NOV 2010</t>
  </si>
  <si>
    <t>10.1016/j.patcog.2010.06.008</t>
  </si>
  <si>
    <t>Model-driven segmentation of articulating humans in Laplacian Eigenspace</t>
  </si>
  <si>
    <t>Sundaresan, Aravind; Chellappa, Rama</t>
  </si>
  <si>
    <t>10.1109/TPAMI.2007.70823</t>
  </si>
  <si>
    <t>IEEE Conference on Computer Vision and Pattern Recognition</t>
  </si>
  <si>
    <t>JUN 17-22, 2007</t>
  </si>
  <si>
    <t>Probabilistic subgraph matching based on convex relaxation</t>
  </si>
  <si>
    <t>Schellewald, C; Schnorr, C</t>
  </si>
  <si>
    <t>Rangarajan, A; Vemuri, B; Yuille, AL</t>
  </si>
  <si>
    <t>ENERGY MINIMIZATION METHODS IN COMPUTER VISION AND PATTERN RECOGNITION, PROCEEDINGS</t>
  </si>
  <si>
    <t>5th International Workshop on Energy Minimization Methods in Computer Vision and Pattern Recognition</t>
  </si>
  <si>
    <t>NOV 09-11, 2005</t>
  </si>
  <si>
    <t>AUG 1 2001</t>
  </si>
  <si>
    <t>9-10</t>
  </si>
  <si>
    <t>10.1016/S0262-8856(01)00040-3</t>
  </si>
  <si>
    <t>Automatic segmentation of granular objects in images: Combining local density clustering and gradient-barrier watershed</t>
  </si>
  <si>
    <t>Yang, Huiguang; Ahuja, Narendra</t>
  </si>
  <si>
    <t>10.1016/j.patcog.2013.11.004</t>
  </si>
  <si>
    <t>The Ignorant Led by the Blind: A Hybrid Human-Machine Vision System for Fine-Grained Categorization</t>
  </si>
  <si>
    <t>Branson, Steve; Van Horn, Grant; Wah, Catherine; Perona, Pietro; Belongie, Serge</t>
  </si>
  <si>
    <t>10.1007/s11263-014-0698-4</t>
  </si>
  <si>
    <t>APR 2013</t>
  </si>
  <si>
    <t>10.1109/TPAMI.2012.174</t>
  </si>
  <si>
    <t>Stationary Features and Cat Detection</t>
  </si>
  <si>
    <t>Fleuret, Francois; Geman, Donald</t>
  </si>
  <si>
    <t>JOURNAL OF MACHINE LEARNING RESEARCH</t>
  </si>
  <si>
    <t>A flexible similarity measure for 3D shapes recognition</t>
  </si>
  <si>
    <t>Adan, A; Adan, M</t>
  </si>
  <si>
    <t>NOV 2004</t>
  </si>
  <si>
    <t>10.1109/TPAMI.2004.94</t>
  </si>
  <si>
    <t>MAY 2004</t>
  </si>
  <si>
    <t>10.1016/j.asoc.2004.01.004</t>
  </si>
  <si>
    <t>Neural mechanisms for the robust representation of junctions</t>
  </si>
  <si>
    <t>Hansen, T; Neumann, H</t>
  </si>
  <si>
    <t>10.1162/089976604773135087</t>
  </si>
  <si>
    <t>Frame-rate spatial referencing based on invariant indexing and alignment with application to online retinal image registration</t>
  </si>
  <si>
    <t>Shen, H; Stewart, CV; Roysam, B; Lin, G; Tanenbaum, HL</t>
  </si>
  <si>
    <t>MAR 2003</t>
  </si>
  <si>
    <t>10.1109/TPAMI.2003.1182101</t>
  </si>
  <si>
    <t>Region-based Mixture of Gaussians modelling for foreground detection in dynamic scenes</t>
  </si>
  <si>
    <t>Varadarajan, Sriram; Miller, Paul; Zhou, Huiyu</t>
  </si>
  <si>
    <t>10.1016/j.patcog.2015.04.016</t>
  </si>
  <si>
    <t>MAR 3 2015</t>
  </si>
  <si>
    <t>10.1016/j.neucom.2014.08.080</t>
  </si>
  <si>
    <t>Adaptive 3D facial action intensity estimation and emotion recognition</t>
  </si>
  <si>
    <t>Zhang, Yang; Zhang, Li; Hossain, M. A.</t>
  </si>
  <si>
    <t>FEB 15 2015</t>
  </si>
  <si>
    <t>10.1016/j.eswa.2014.08.042</t>
  </si>
  <si>
    <t>Face recognition with lattice independent component analysis and extreme learning machines</t>
  </si>
  <si>
    <t>Marques, Ion; Grana, Manuel</t>
  </si>
  <si>
    <t>10.1007/s00500-012-0826-4</t>
  </si>
  <si>
    <t>10.1007/s13042-011-0017-0</t>
  </si>
  <si>
    <t>DEC 2008</t>
  </si>
  <si>
    <t>10.1049/iet-cvi:20080026</t>
  </si>
  <si>
    <t>Digital Image Computing Technology and Applications Conference 2007</t>
  </si>
  <si>
    <t>A multiscale approach to connectivity</t>
  </si>
  <si>
    <t>Braga-Neto, U; Goutsias, J</t>
  </si>
  <si>
    <t>JAN 2003</t>
  </si>
  <si>
    <t>10.1016/S1077-3142(03)00014-6</t>
  </si>
  <si>
    <t>Lateral interaction in accumulative computation: a model for motion detection</t>
  </si>
  <si>
    <t>Fernandez-Caballero, A; Mira, JM; Delgado, AE; Graciani, MAF</t>
  </si>
  <si>
    <t>PII S0925-2312(02)00571-4</t>
  </si>
  <si>
    <t>10.1016/S0925-2312(02)00571-4</t>
  </si>
  <si>
    <t>Face recognition using component-based SVM classification and morphable models</t>
  </si>
  <si>
    <t>Huang, J; Blanz, V; Heisele, B</t>
  </si>
  <si>
    <t>Lee, SE; Verri, A</t>
  </si>
  <si>
    <t>PATTERN RECOGNITON WITH SUPPORT VECTOR MACHINES, PROCEEDINGS</t>
  </si>
  <si>
    <t>1st International Workshop on Pattern Recognition with Support Vector Machines</t>
  </si>
  <si>
    <t>AUG   10, 2002</t>
  </si>
  <si>
    <t>Compact color-texture description for texture classification</t>
  </si>
  <si>
    <t>Khan, Fahad Shahbaz; Anwer, Rao Muhammad; van de Weijer, Joost; Felsberg, Michael; Laaksonen, Jorma</t>
  </si>
  <si>
    <t>JAN 1 2015</t>
  </si>
  <si>
    <t>10.1016/j.patrec.2014.07.020</t>
  </si>
  <si>
    <t>3D Face Discriminant Analysis Using Gauss-Markov Posterior Marginals</t>
  </si>
  <si>
    <t>Ocegueda, Omar; Fang, Tianhong; Shah, Shishir K.; Kakadiaris, Ioannis A.</t>
  </si>
  <si>
    <t>10.1109/TPAMI.2012.126</t>
  </si>
  <si>
    <t>Learning Image Similarity from Flickr Groups Using Fast Kernel Machines</t>
  </si>
  <si>
    <t>Wang, Gang; Hoiem, Derek; Forsyth, David</t>
  </si>
  <si>
    <t>10.1109/TPAMI.2012.29</t>
  </si>
  <si>
    <t>A Sparsity-Enforcing Method for Learning Face Features</t>
  </si>
  <si>
    <t>10.1109/TIP.2008.2007610</t>
  </si>
  <si>
    <t>Multi-View and 3D Deformable Part Models</t>
  </si>
  <si>
    <t>Pepik, Bojan; Stark, Michael; Gehler, Peter; Schiele, Bernt</t>
  </si>
  <si>
    <t>10.1109/TPAMI.2015.2408347</t>
  </si>
  <si>
    <t>A novel evolutionary algorithm inspired by the states of matter for template matching</t>
  </si>
  <si>
    <t>Cuevas, Erik; Echavarria, Alonso; Zaldivar, Daniel; Perez-Cisneros, Marco</t>
  </si>
  <si>
    <t>NOV 15 2013</t>
  </si>
  <si>
    <t>10.1016/j.eswa.2013.05.055</t>
  </si>
  <si>
    <t>OCT 2010</t>
  </si>
  <si>
    <t>10.1109/TIP.2010.2052824</t>
  </si>
  <si>
    <t>Unsupervised Learning of Probabilistic Grammar-Markov Models for Object Categories</t>
  </si>
  <si>
    <t>Zhu, Long (Leo); Chen, Yuanhao; Yuille, Alan</t>
  </si>
  <si>
    <t>10.1109/TPAMI.2008.67</t>
  </si>
  <si>
    <t>Incremental GRLVQ: Learning relevant features for 3D object recognition</t>
  </si>
  <si>
    <t>Kietzmann, Tim C.; Lange, Sascha; Riedmiller, Martin</t>
  </si>
  <si>
    <t>13-15</t>
  </si>
  <si>
    <t>10.1016/j.neucom.2007.08.018</t>
  </si>
  <si>
    <t>Shape matching of partially occluded curves invariant under projective transformation</t>
  </si>
  <si>
    <t>Orrite, C; Herrero, JE</t>
  </si>
  <si>
    <t>10.1016/j.cviu.2003.09.005</t>
  </si>
  <si>
    <t>Traffic sign detection and recognition using fully convolutional network guided proposals</t>
  </si>
  <si>
    <t>Zhu, Yingying; Zhang, Chengquan; Zhou, Duoyou; Wang, Xinggang; Bai, Xiang; Liu, Wenyu</t>
  </si>
  <si>
    <t>NOV 19 2016</t>
  </si>
  <si>
    <t>10.1016/j.neucom.2016.07.009</t>
  </si>
  <si>
    <t>Actions in the Eye: Dynamic Gaze Datasets and Learnt Saliency Models for Visual Recognition</t>
  </si>
  <si>
    <t>Mathe, Stefan; Sminchisescu, Cristian</t>
  </si>
  <si>
    <t>JUL 2015</t>
  </si>
  <si>
    <t>10.1109/TPAMI.2014.2366154</t>
  </si>
  <si>
    <t>10.1016/j.cviu.2013.07.011</t>
  </si>
  <si>
    <t>An iterative multi-scale tensor voting scheme for perceptual grouping of natural shapes in cluttered backgrounds</t>
  </si>
  <si>
    <t>Loss, Leandro; Bebis, George; Nicolescu, Mircea; Skurikhin, Alexei</t>
  </si>
  <si>
    <t>10.1016/j.cviu.2008.07.011</t>
  </si>
  <si>
    <t>An object detection and recognition system for weld bead extraction from digital radiographs</t>
  </si>
  <si>
    <t>Felisberto, Marcelo Kleber; Lopes, Heitor Silverio; Centeno, Tania Mezzadri; Ramos de Arruda, Lucia Valeria</t>
  </si>
  <si>
    <t>JUN 2006</t>
  </si>
  <si>
    <t>10.1016/j.cviu.2006.02.004</t>
  </si>
  <si>
    <t>Object detection via feature synthesis using MDL-based genetic programming</t>
  </si>
  <si>
    <t>Lin, YQ; Bhanu, B</t>
  </si>
  <si>
    <t>10.1109/TSMCB.2005.846656</t>
  </si>
  <si>
    <t>On moment-based local operators for detecting image patterns</t>
  </si>
  <si>
    <t>Sluzek, A</t>
  </si>
  <si>
    <t>MAR 1 2005</t>
  </si>
  <si>
    <t>10.1016/j.imavis.2004.03.003</t>
  </si>
  <si>
    <t>Finding a small number of regions in an image using low-level features</t>
  </si>
  <si>
    <t>Lau, HF; Levine, MD</t>
  </si>
  <si>
    <t>PII S0031-3203(01)00230-8</t>
  </si>
  <si>
    <t>10.1016/S0031-3203(01)00230-8</t>
  </si>
  <si>
    <t>10.1016/j.imavis.2016.06.007</t>
  </si>
  <si>
    <t>FEB 2015</t>
  </si>
  <si>
    <t>10.1016/j.cviu.2014.06.015</t>
  </si>
  <si>
    <t>10.1016/j.cviu.2014.06.014</t>
  </si>
  <si>
    <t>10.1016/j.cviu.2014.01.002</t>
  </si>
  <si>
    <t>Salient object detection using content-sensitive hypergraph representation and partitioning</t>
  </si>
  <si>
    <t>Liang, Zhen; Chi, Zheru; Fu, Hong; Feng, Dagan</t>
  </si>
  <si>
    <t>10.1016/j.patcog.2012.04.017</t>
  </si>
  <si>
    <t>Sparse Color Interest Points for Image Retrieval and Object Categorization</t>
  </si>
  <si>
    <t>Stoettinger, Julian; Hanbury, Allan; Sebe, Nicu; Gevers, Theo</t>
  </si>
  <si>
    <t>10.1109/TIP.2012.2186143</t>
  </si>
  <si>
    <t>Context-Dependent Kernels for Object Classification</t>
  </si>
  <si>
    <t>Sahbi, Hichem; Audibert, Jean-Yves; Keriven, Renaud</t>
  </si>
  <si>
    <t>10.1109/TPAMI.2010.198</t>
  </si>
  <si>
    <t>Bilayer Segmentation of Webcam Videos Using Tree-Based Classifiers</t>
  </si>
  <si>
    <t>Yin, Pei; Criminisi, Antonio; Winn, John; Essa, Irfan</t>
  </si>
  <si>
    <t>JAN 2011</t>
  </si>
  <si>
    <t>10.1109/TPAMI.2010.65</t>
  </si>
  <si>
    <t>JUL 15 2010</t>
  </si>
  <si>
    <t>10.1016/j.patrec.2009.10.016</t>
  </si>
  <si>
    <t>Hybrid generative-discriminative visual categorization</t>
  </si>
  <si>
    <t>Holub, Alex D.; Welling, Max; Perona, Pietro</t>
  </si>
  <si>
    <t>1-3</t>
  </si>
  <si>
    <t>10.1007/s11263-007-0084-6</t>
  </si>
  <si>
    <t>AUG 1 2007</t>
  </si>
  <si>
    <t>10.1016/j.imavis.2006.08.007</t>
  </si>
  <si>
    <t>Single satellite image dehazing via linear intensity transformation and local property analysis</t>
  </si>
  <si>
    <t>Ni, Weiping; Gao, Xinbo; Wang, Ying</t>
  </si>
  <si>
    <t>JAN 29 2016</t>
  </si>
  <si>
    <t>A</t>
  </si>
  <si>
    <t>10.1016/j.neucom.2015.10.010</t>
  </si>
  <si>
    <t>Decremental Sparse Modeling Representative Selection for prototype selection</t>
  </si>
  <si>
    <t>Dornaika, F.; Kamal Aldine, I.</t>
  </si>
  <si>
    <t>10.1016/j.patcog.2015.05.018</t>
  </si>
  <si>
    <t>Image classification and retrieval using optimized Pulse-Coupled Neural Network</t>
  </si>
  <si>
    <t>Mohammed, Mona Mahrous; Badr, Amr; Abdelhalim, M. B.</t>
  </si>
  <si>
    <t>JUL 1 2015</t>
  </si>
  <si>
    <t>10.1016/j.eswa.2015.02.019</t>
  </si>
  <si>
    <t>10.1049/iet-cvi.2012.0032</t>
  </si>
  <si>
    <t>Activity recognition through multi-scale motion detail analysis</t>
  </si>
  <si>
    <t>Du, Youtian; Chen, Feng; Xu, Wenli; Zhang, Weidong</t>
  </si>
  <si>
    <t>16-18</t>
  </si>
  <si>
    <t>10.1016/j.neucom.2007.09.012</t>
  </si>
  <si>
    <t>SEP 2008</t>
  </si>
  <si>
    <t>10.1007/s11554-008-0073-1</t>
  </si>
  <si>
    <t>Component-based face recognition with 3D morphable models</t>
  </si>
  <si>
    <t>Huang, J; Heisele, B; Blanz, V</t>
  </si>
  <si>
    <t>Kittler, J; Nixon, MS</t>
  </si>
  <si>
    <t>AUDIO-AND VIDEO-BASED BIOMETRIC PERSON AUTHENTICATION, PROCEEDINGS</t>
  </si>
  <si>
    <t>4th International Conference on Audio- and Video-Based Biometric Person Authentication</t>
  </si>
  <si>
    <t>JUN 09-11, 2003</t>
  </si>
  <si>
    <t>3D-2D face recognition with pose and illumination normalization</t>
  </si>
  <si>
    <t>Kakadiaris, Ioannis A.; Toderici, George; Evangelopoulos, Georgios; Passalis, Georgios; Chu, Dat; Zhao, Xi; Shah, Shishir K.; Theoharis, Theoharis</t>
  </si>
  <si>
    <t>10.1016/j.cviu.2016.04.012</t>
  </si>
  <si>
    <t>Congested scene classification via efficient unsupervised feature learning and density estimation</t>
  </si>
  <si>
    <t>Yuan, Yuan; Wan, Jia; Wang, Qi</t>
  </si>
  <si>
    <t>AUG 2016</t>
  </si>
  <si>
    <t>10.1016/j.patcog.2016.03.020</t>
  </si>
  <si>
    <t>Multi-scale hybrid saliency analysis for region of interest detection in very high resolution remote sensing images</t>
  </si>
  <si>
    <t>Zhang, Libao; Qiu, Bingchang; Yu, Xianchuan; Xu, Jindong</t>
  </si>
  <si>
    <t>10.1016/j.imavis.2014.12.002</t>
  </si>
  <si>
    <t>10.1109/TIP.2012.2226899</t>
  </si>
  <si>
    <t>Interest point detection through multiobjective genetic programming</t>
  </si>
  <si>
    <t>AUG 2012</t>
  </si>
  <si>
    <t>10.1016/j.asoc.2012.03.058</t>
  </si>
  <si>
    <t>Efficiently Learning a Detection Cascade With Sparse Eigenvectors</t>
  </si>
  <si>
    <t>Shen, Chunhua; Paisitkriangkrai, Sakrapee; Zhang, Jian</t>
  </si>
  <si>
    <t>10.1109/TIP.2010.2055880</t>
  </si>
  <si>
    <t>AUG 2010</t>
  </si>
  <si>
    <t>10.1007/s10846-009-9391-1</t>
  </si>
  <si>
    <t>MToS: A Tree of Shapes for Multivariate Images</t>
  </si>
  <si>
    <t>Carlinet, Edwin; Geraud, Thierry</t>
  </si>
  <si>
    <t>10.1109/TIP.2015.2480599</t>
  </si>
  <si>
    <t>Neural shape codes for 3D model retrieval</t>
  </si>
  <si>
    <t>Bai, Song; Bai, Xiang; Liu, Wenyu; Roli, Fabio</t>
  </si>
  <si>
    <t>NOV 1 2015</t>
  </si>
  <si>
    <t>10.1016/j.patrec.2015.06.022</t>
  </si>
  <si>
    <t>Structured Labels in Random Forests for Semantic Labelling and Object Detection</t>
  </si>
  <si>
    <t>Kontschieder, Peter; Bulo, Samuel Rota; Pelillo, Marcello; Bischof, Horst</t>
  </si>
  <si>
    <t>10.1109/TPAMI.2014.2315814</t>
  </si>
  <si>
    <t>Localized Multiple Kernel Learning via Sample-wise Alternating Optimization</t>
  </si>
  <si>
    <t>Han, Yina; Yang, Kunde; Ma, Yuanliang; Liu, Guizhong</t>
  </si>
  <si>
    <t>10.1109/TCYB.2013.2248710</t>
  </si>
  <si>
    <t>DEC 1 2013</t>
  </si>
  <si>
    <t>10.1016/j.eswa.2013.06.024</t>
  </si>
  <si>
    <t>Learning a Generative Model of Images by Factoring Appearance and Shape</t>
  </si>
  <si>
    <t>Le Roux, Nicolas; Heess, Nicolas; Shotton, Jamie; Winn, John</t>
  </si>
  <si>
    <t>10.1162/NECO_a_00086</t>
  </si>
  <si>
    <t>OCT 1 2008</t>
  </si>
  <si>
    <t>10.1016/j.imavis.2008.01.001</t>
  </si>
  <si>
    <t>Image detection based on SUSAN method and integrated feature matching</t>
  </si>
  <si>
    <t>Weng, Muyun; He, Mingyi</t>
  </si>
  <si>
    <t>JUL 2001</t>
  </si>
  <si>
    <t>10.1023/A:1011135513777</t>
  </si>
  <si>
    <t>Multi-scale context for scene labeling via flexible segmentation graph</t>
  </si>
  <si>
    <t>Zhou, Quan; Zheng, Baoyu; Zhu, Weiping; Latecki, Longin Jan</t>
  </si>
  <si>
    <t>10.1016/j.patcog.2016.03.023</t>
  </si>
  <si>
    <t>Invariant multi-scale descriptor for shape representation, matching and retrieval</t>
  </si>
  <si>
    <t>Yang, Jianyu; Wang, Hongxing; Yuan, Junsong; Li, Youfu; Liu, Jianyang</t>
  </si>
  <si>
    <t>10.1016/j.cviu.2016.01.005</t>
  </si>
  <si>
    <t>NOV 30 2015</t>
  </si>
  <si>
    <t>10.1016/j.neucom.2015.05.082</t>
  </si>
  <si>
    <t>Structured sparse representation for human action recognition</t>
  </si>
  <si>
    <t>Moayedi, F.; Azimifara, Z.; Boostani, R.</t>
  </si>
  <si>
    <t>AUG 5 2015</t>
  </si>
  <si>
    <t>10.1016/j.neucom.2014.10.089</t>
  </si>
  <si>
    <t>10.1016/j.cviu.2014.06.007</t>
  </si>
  <si>
    <t>Human action recognition based on semi-supervised discriminant analysis with global constraint</t>
  </si>
  <si>
    <t>Zhao, Xin; Li, Xue; Pang, Chaoyi; Wang, Sen</t>
  </si>
  <si>
    <t>APR 1 2013</t>
  </si>
  <si>
    <t>10.1016/j.neucom.2012.04.038</t>
  </si>
  <si>
    <t>Color image segmentation using adaptive unsupervised clustering approach</t>
  </si>
  <si>
    <t>Tan, Khang Siang; Isa, Nor Ashidi Mat; Lim, Wei Hong</t>
  </si>
  <si>
    <t>10.1016/j.asoc.2012.11.038</t>
  </si>
  <si>
    <t>Hierarchical Normal Space Sampling to speed up point cloud coarse matching</t>
  </si>
  <si>
    <t>Diez, Yago; Marti, Joan; Salvi, Joaquim</t>
  </si>
  <si>
    <t>DEC 1 2012</t>
  </si>
  <si>
    <t>10.1016/j.patrec.2012.07.006</t>
  </si>
  <si>
    <t>Spatial color image segmentation based on finite non-Gaussian mixture models</t>
  </si>
  <si>
    <t>Sefidpour, Ali; Bouguila, Nizar</t>
  </si>
  <si>
    <t>10.1016/j.eswa.2012.02.024</t>
  </si>
  <si>
    <t>Real-time detection of colored objects in multiple camera streams with off-the-shelf hardware components</t>
  </si>
  <si>
    <t>Lampert, Christoph H.; Peters, Jan</t>
  </si>
  <si>
    <t>10.1007/s11554-010-0168-3</t>
  </si>
  <si>
    <t>Structured learning of local features for human action classification and localization</t>
  </si>
  <si>
    <t>Tuan Hue Thi; Cheng, Li; Zhang, Jian; Wang, Li; Satoh, Shinichi</t>
  </si>
  <si>
    <t>10.1016/j.imavis.2011.12.006</t>
  </si>
  <si>
    <t>10.1109/TPAMI.2010.33</t>
  </si>
  <si>
    <t>Algorithms for matching 3D line sets</t>
  </si>
  <si>
    <t>Kamgar-Parsi, B; Kamgar-Parsi, B</t>
  </si>
  <si>
    <t>10.1109/TPAMI.2004.1273930</t>
  </si>
  <si>
    <t>Video-based road detection via online structural learning</t>
  </si>
  <si>
    <t>Yuan, Yuan; Jiang, Zhiyu; Wang, Qi</t>
  </si>
  <si>
    <t>10.1016/j.neucom.2015.05.092</t>
  </si>
  <si>
    <t>10.1016/j.patcog.2015.05.017</t>
  </si>
  <si>
    <t>Salient region detection via simple local and global contrast representation</t>
  </si>
  <si>
    <t>Liu, Jie; Wang, Shengjin</t>
  </si>
  <si>
    <t>JAN 5 2015</t>
  </si>
  <si>
    <t>10.1016/j.neucom.2014.06.041</t>
  </si>
  <si>
    <t>Flowing on Riemannian Manifold: Domain Adaptation by Shifting Covariance</t>
  </si>
  <si>
    <t>Cui, Zhen; Li, Wen; Xu, Dong; Shan, Shiguang; Chen, Xilin; Li, Xuelong</t>
  </si>
  <si>
    <t>10.1109/TCYB.2014.2305701</t>
  </si>
  <si>
    <t>10.1016/j.robot.2011.07.005</t>
  </si>
  <si>
    <t>Layered Graphical Models for Tracking Partially Occluded Objects</t>
  </si>
  <si>
    <t>Ablavsky, Vitaly; Sclaroff, Stan</t>
  </si>
  <si>
    <t>10.1109/TPAMI.2011.43</t>
  </si>
  <si>
    <t>Variable silhouette energy image representations for recognizing human actions</t>
  </si>
  <si>
    <t>Ahmad, Mohiuddin; Lee, Seong-Whan</t>
  </si>
  <si>
    <t>10.1016/j.imavis.2009.09.018</t>
  </si>
  <si>
    <t>SEP 2 2009</t>
  </si>
  <si>
    <t>10.1016/j.imavis.2008.04.006</t>
  </si>
  <si>
    <t>AUG 2009</t>
  </si>
  <si>
    <t>10.1007/s11263-009-0228-y</t>
  </si>
  <si>
    <t>Estimating 3D hand pose using hierarchical multi-label classification</t>
  </si>
  <si>
    <t>Stenger, B.; Thayananthan, A.; Torr, P. H. S.; Cipolla, R.</t>
  </si>
  <si>
    <t>DEC 3 2007</t>
  </si>
  <si>
    <t>10.1016/j.imavis.2005.12.018</t>
  </si>
  <si>
    <t>A new wavelets image fusion strategy</t>
  </si>
  <si>
    <t>Santos, M; Pajares, G; Portela, M; de la Cruz, JM</t>
  </si>
  <si>
    <t>Perales, FJ</t>
  </si>
  <si>
    <t>PATTERN RECOGNITION AND IMAGE ANALYSIS, PROCEEDINGS</t>
  </si>
  <si>
    <t>1st Iberian Conference on Pattern Recognition and Image Analysis</t>
  </si>
  <si>
    <t>JUN 04-06, 2003</t>
  </si>
  <si>
    <t>Automatically Evolving Rotation-Invariant Texture Image Descriptors by Genetic Programming</t>
  </si>
  <si>
    <t>Al-Sahaf, Harith; Al-Sahaf, Ausama; Xue, Bing; johnston, Mark; Zhang, Mengjie</t>
  </si>
  <si>
    <t>FEB 2017</t>
  </si>
  <si>
    <t>10.1109/TEVC.2016.2577548</t>
  </si>
  <si>
    <t>10.1007/s11263-016-0890-9</t>
  </si>
  <si>
    <t>10.1109/TIP.2015.2465147</t>
  </si>
  <si>
    <t>DERF: Distinctive Efficient Robust Features From the Biological Modeling of the P Ganglion Cells</t>
  </si>
  <si>
    <t>Weng, Dawei; Wang, Yunhong; Gong, Mingming; Tao, Dacheng; Wei, Hui; Huang, Di</t>
  </si>
  <si>
    <t>AUG 2015</t>
  </si>
  <si>
    <t>10.1109/TIP.2015.2409739</t>
  </si>
  <si>
    <t>A generative restricted Boltzmann machine based method for high-dimensional motion data modeling</t>
  </si>
  <si>
    <t>Nie, Siqi; Wang, Ziheng; Ji, Qiang</t>
  </si>
  <si>
    <t>10.1016/j.cviu.2014.12.005</t>
  </si>
  <si>
    <t>Codebook hardware implementation on FPGA for background subtraction</t>
  </si>
  <si>
    <t>Rodriguez-Gomez, Rafael; Fernandez-Sanchez, Enrique J.; Diaz, Javier; Ros, Eduardo</t>
  </si>
  <si>
    <t>10.1007/s11554-012-0249-6</t>
  </si>
  <si>
    <t>Structural Laplacian Eigenmaps for Modeling Sets of Multivariate Sequences</t>
  </si>
  <si>
    <t>Lewandowski, Michal; Makris, Dimitrios; Velastin, Sergio A.; Nebel, Jean-Christophe</t>
  </si>
  <si>
    <t>10.1109/TCYB.2013.2277664</t>
  </si>
  <si>
    <t>Contextual object category recognition for RGB-D scene labeling</t>
  </si>
  <si>
    <t>Ali, Haider; Shafait, Faisal; Giannakidou, Eirini; Vakali, Athena; Figueroa, Nadia; Varvadoukas, Theodoros; Mavridis, Nikolaos</t>
  </si>
  <si>
    <t>10.1016/j.robot.2013.10.001</t>
  </si>
  <si>
    <t>Lateral Inhibition Pyramidal Neural Network for Image Classification</t>
  </si>
  <si>
    <t>Fernandes, Bruno Jose Torres; Cavalcanti, George D. C.; Ren, Tsang Ing</t>
  </si>
  <si>
    <t>10.1109/TCYB.2013.2240295</t>
  </si>
  <si>
    <t>Salient Region Detection Improved by Principle Component Analysis and Boundary Information</t>
  </si>
  <si>
    <t>Wu, Po-Hung; Chen, Chien-Chi; Ding, Jian-Jiun; Hsu, Chi-Yu; Huang, Ying-Wun</t>
  </si>
  <si>
    <t>10.1109/TIP.2013.2266099</t>
  </si>
  <si>
    <t>LF-EME: Local features with elastic manifold embedding for human action recognition</t>
  </si>
  <si>
    <t>Deng, Xiaoyu; Liu, Xiao; Song, Mingli; Cheng, Jun; Bu, Jiajun; Chen, Chun</t>
  </si>
  <si>
    <t>JAN 1 2013</t>
  </si>
  <si>
    <t>10.1016/j.neucom.2012.06.011</t>
  </si>
  <si>
    <t>10.1109/TSMCB.2012.2194701</t>
  </si>
  <si>
    <t>Incremental discriminant-analysis of canonical correlations for action recognition</t>
  </si>
  <si>
    <t>Wu, Xinxiao; Jia, Yunde; Liang, Wei</t>
  </si>
  <si>
    <t>10.1016/j.patcog.2010.07.012</t>
  </si>
  <si>
    <t>10.1016/j.cviu.2010.03.005</t>
  </si>
  <si>
    <t>Geometry-Based Ensembles: Toward a Structural Characterization of the Classification Boundary</t>
  </si>
  <si>
    <t>Pujol, Oriol; Masip, David</t>
  </si>
  <si>
    <t>JUN 2009</t>
  </si>
  <si>
    <t>10.1109/TPAMI.2009.31</t>
  </si>
  <si>
    <t>Narayanan, PJ; Nayar, SK; Shum, HY</t>
  </si>
  <si>
    <t>7th Asian Conference on Computer Vision</t>
  </si>
  <si>
    <t>JAN 13-15, 2006</t>
  </si>
  <si>
    <t>10.1007/s00138-003-0124-3</t>
  </si>
  <si>
    <t>Parallel vision for perception and understanding of complex scenes: methods, framework, and perspectives</t>
  </si>
  <si>
    <t>Wang, Kunfeng; Gou, Chao; Zheng, Nanning; Rehg, James M.; Wang, Fei-Yue</t>
  </si>
  <si>
    <t>OCT 2017</t>
  </si>
  <si>
    <t>10.1007/s10462-017-9569-z</t>
  </si>
  <si>
    <t>Hierarchical projective invariant contexts for shape recognition</t>
  </si>
  <si>
    <t>Jia, Qi; Fan, Xin; Liu, Yu; Li, Haojie; Luo, Zhongxuan; Guo, He</t>
  </si>
  <si>
    <t>10.1016/j.patcog.2015.11.003</t>
  </si>
  <si>
    <t>Visual orientation inhomogeneity based scale-invariant feature transform</t>
  </si>
  <si>
    <t>Zhong, Sheng-hua; Liu, Yan; Chen, Qing-cai</t>
  </si>
  <si>
    <t>AUG 1 2015</t>
  </si>
  <si>
    <t>10.1016/j.eswa.2015.01.012</t>
  </si>
  <si>
    <t>A Self-adaptive CodeBook (SACB) model for real-time background subtraction</t>
  </si>
  <si>
    <t>Shah, Munir; Deng, Jeremiah D.; Woodford, Brendon J.</t>
  </si>
  <si>
    <t>JUN 2015</t>
  </si>
  <si>
    <t>10.1016/j.imavis.2015.02.001</t>
  </si>
  <si>
    <t>Nonlocal center-surround reconstruction-based bottom-up saliency estimation</t>
  </si>
  <si>
    <t>Xia, Chen; Qi, Fei; Shi, Guangming; Wang, Pengjin</t>
  </si>
  <si>
    <t>10.1016/j.patcog.2014.10.007</t>
  </si>
  <si>
    <t>Detection of Dynamic Background Due to Swaying Movements From Motion Features</t>
  </si>
  <si>
    <t>Duc-Son Pham; Arandjelovic, Ognjen; Venkatesh, Svetha</t>
  </si>
  <si>
    <t>10.1109/TIP.2014.2378034</t>
  </si>
  <si>
    <t>On the development of a robust, fast and lightweight keypoint descriptor</t>
  </si>
  <si>
    <t>do Nascimento, Erickson R.; Oliveira, Gabriel L.; Vieira, Antonio W.; Campos, Mario F. M.</t>
  </si>
  <si>
    <t>NOV 23 2013</t>
  </si>
  <si>
    <t>10.1016/j.neucom.2012.08.064</t>
  </si>
  <si>
    <t>Scaling Up Spike-and-Slab Models for Unsupervised Feature Learning</t>
  </si>
  <si>
    <t>Goodfellow, Ian J.; Courville, Aaron; Bengio, Yoshua</t>
  </si>
  <si>
    <t>10.1109/TPAMI.2012.273</t>
  </si>
  <si>
    <t>10.1007/s10851-012-0330-6</t>
  </si>
  <si>
    <t>10.1016/j.cviu.2011.12.003</t>
  </si>
  <si>
    <t>Invariance analysis of modified C2 features: case study-handwritten digit recognition</t>
  </si>
  <si>
    <t>Hamidi, Mandana; Borji, Ali</t>
  </si>
  <si>
    <t>10.1007/s00138-009-0216-9</t>
  </si>
  <si>
    <t>Rasmussen, CE; Bulthoff, HH; Giese, MA; Scholkopf, B</t>
  </si>
  <si>
    <t>26th Annual Pattern Recognition of the German-Association-for-Pattern-Recognition</t>
  </si>
  <si>
    <t>AUG 30-SEP 01, 2004</t>
  </si>
  <si>
    <t>Moments of superellipsoids and their application to range image registration</t>
  </si>
  <si>
    <t>Jaklic, A; Solina, F</t>
  </si>
  <si>
    <t>AUG 2003</t>
  </si>
  <si>
    <t>10.1109/TSMCB.2003.814299</t>
  </si>
  <si>
    <t>Model-based detection, segmentation, and classification for image analysis using on-line shape learning</t>
  </si>
  <si>
    <t>Lee, KM; Street, WN</t>
  </si>
  <si>
    <t>FEB 2003</t>
  </si>
  <si>
    <t>10.1007/s00138-002-0061-6</t>
  </si>
  <si>
    <t>A Review of Co-Saliency Detection Algorithms: Fundamentals, Applications, and Challenges</t>
  </si>
  <si>
    <t>Zhang, Dingwen; Fu, Huazhu; Han, Junwei; Borji, Ali; Li, Xuelong</t>
  </si>
  <si>
    <t>ACM TRANSACTIONS ON INTELLIGENT SYSTEMS AND TECHNOLOGY</t>
  </si>
  <si>
    <t>FEB 2018</t>
  </si>
  <si>
    <t>10.1145/3158674</t>
  </si>
  <si>
    <t>Robust Regression</t>
  </si>
  <si>
    <t>Huang, Dong; Cabral, Ricardo; De la Torre, Fernando</t>
  </si>
  <si>
    <t>FEB 2016</t>
  </si>
  <si>
    <t>10.1109/TPAMI.2015.2448091</t>
  </si>
  <si>
    <t>A Feature Point Matching Based on Spatial Order Constraints Bilateral-Neighbor Vote</t>
  </si>
  <si>
    <t>Meng, Fanyang; Li, Xia; Pei, Jihong</t>
  </si>
  <si>
    <t>10.1109/TIP.2015.2456633</t>
  </si>
  <si>
    <t>JUL 2014</t>
  </si>
  <si>
    <t>10.1109/TPAMI.2014.17</t>
  </si>
  <si>
    <t>A new proposal for graph-based image classification using frequent approximate subgraphs</t>
  </si>
  <si>
    <t>Morales-Gonzalez, Annette; Acosta-Mendoza, Niusvel; Gago-Alonso, Andres; Garcia-Reyes, Edel B.; Medina-Pagola, Jose E.</t>
  </si>
  <si>
    <t>10.1016/j.patcog.2013.07.004</t>
  </si>
  <si>
    <t>A Branch-and-Bound Approach to Correspondence and Grouping Problems</t>
  </si>
  <si>
    <t>Bazin, Jean-Charles; Li, Hongdong; Kweon, In So; Demonceaux, Cedric; Vasseur, Pascal; Ikeuchi, Katsushi</t>
  </si>
  <si>
    <t>10.1109/TPAMI.2012.264</t>
  </si>
  <si>
    <t>10.1109/TPAMI.2012.100</t>
  </si>
  <si>
    <t>A probabilistic, discriminative and distributed system for the recognition of human actions from multiple views</t>
  </si>
  <si>
    <t>Cilla, Rodrigo; Patricio, Miguel A.; Berlanga, Antonio; Molina, Jose M.</t>
  </si>
  <si>
    <t>JAN 1 2012</t>
  </si>
  <si>
    <t>10.1016/j.neucom.2011.03.051</t>
  </si>
  <si>
    <t>Real-time visual attention on a massively parallel SIMD architecture</t>
  </si>
  <si>
    <t>Ouerhani, N; Hugli, H</t>
  </si>
  <si>
    <t>REAL-TIME IMAGING</t>
  </si>
  <si>
    <t>JUN 2003</t>
  </si>
  <si>
    <t>10.1016/S1077-2014(03)00036-6</t>
  </si>
  <si>
    <t>DeepFix: A Fully Convolutional Neural Network for Predicting Human Eye Fixations</t>
  </si>
  <si>
    <t>Kruthiventi, Srinivas S. S.; Ayush, Kumar; Babu, R. Venkatesh</t>
  </si>
  <si>
    <t>SEP 2017</t>
  </si>
  <si>
    <t>10.1109/TIP.2017.2710620</t>
  </si>
  <si>
    <t>TOLDI: An effective and robust approach for 3D local shape description</t>
  </si>
  <si>
    <t>Yang, Jiaqi; Zhang, Qian; Xiao, Yang; Cao, Zhiguo</t>
  </si>
  <si>
    <t>10.1016/j.patcog.2016.11.019</t>
  </si>
  <si>
    <t>A SVM-based model-transferring method for heterogeneous domain adaptation</t>
  </si>
  <si>
    <t>10.1016/j.patcog.2016.03.009</t>
  </si>
  <si>
    <t>Feature matching in stereo images encouraging uniform spatial distribution</t>
  </si>
  <si>
    <t>Tan, Xiao; Sun, Changming; Sirault, Xavier; Furbank, Robert; Pham, Tuan D.</t>
  </si>
  <si>
    <t>10.1016/j.patcog.2015.02.026</t>
  </si>
  <si>
    <t>Shape Description and Matching Using Integral Invariants on Eccentricity Transformed Images</t>
  </si>
  <si>
    <t>Janan, Faraz; Brady, Michael</t>
  </si>
  <si>
    <t>10.1007/s11263-014-0773-x</t>
  </si>
  <si>
    <t>Transfer Learning of Structured Representation for Face Recognition</t>
  </si>
  <si>
    <t>Ren, Chuan-Xian; Dai, Dao-Qing; Huang, Ke-Kun; Lai, Zhao-Rong</t>
  </si>
  <si>
    <t>10.1109/TIP.2014.2365725</t>
  </si>
  <si>
    <t>Learning Optimal Embedded Cascades</t>
  </si>
  <si>
    <t>Saberian, Mohammad Javad; Vasconcelos, Nuno</t>
  </si>
  <si>
    <t>OCT 2012</t>
  </si>
  <si>
    <t>10.1109/TPAMI.2011.281</t>
  </si>
  <si>
    <t>Recursive Compositional Models for Vision: Description and Review of Recent Work</t>
  </si>
  <si>
    <t>10.1007/s10851-011-0282-2</t>
  </si>
  <si>
    <t>Variable-Source Shading Analysis</t>
  </si>
  <si>
    <t>Forsyth, D. A.</t>
  </si>
  <si>
    <t>FEB 2011</t>
  </si>
  <si>
    <t>10.1007/s11263-010-0396-9</t>
  </si>
  <si>
    <t>An adaptive, real-time, traffic monitoring system</t>
  </si>
  <si>
    <t>Rodriguez, Tomas; Garcia, Narciso</t>
  </si>
  <si>
    <t>10.1007/s00138-009-0185-z</t>
  </si>
  <si>
    <t>10.1007/s11263-008-0180-2</t>
  </si>
  <si>
    <t>FEB 2008</t>
  </si>
  <si>
    <t>10.1109/TIP.2007.914218</t>
  </si>
  <si>
    <t>Registration of 3D points using geometric algebra and tensor voting</t>
  </si>
  <si>
    <t>Reyes, Leo; Medioni, Gerard; Bayro, Eduardo</t>
  </si>
  <si>
    <t>DEC 2007</t>
  </si>
  <si>
    <t>10.1007/s11263-007-0038-z</t>
  </si>
  <si>
    <t>Using the low-resolution properties of correlated images to improve the computational efficiency of eigenspace decomposition</t>
  </si>
  <si>
    <t>Saitwal, Kishor; Maciejewski, Anthony A.; Roberts, Rodney G.; Draper, Bruce A.</t>
  </si>
  <si>
    <t>10.1109/TIP.2006.875231</t>
  </si>
  <si>
    <t>IEEE/RSJ International Conference on Intelligent Robots and Systems</t>
  </si>
  <si>
    <t>SEP 28-OCT 02, 2004</t>
  </si>
  <si>
    <t>Implicitization of parametric curves by matrix annihilation</t>
  </si>
  <si>
    <t>Yalcin, H; Unel, M; Wolovich, W</t>
  </si>
  <si>
    <t>AUG-SEP 2003</t>
  </si>
  <si>
    <t>10.1023/A:1023757417916</t>
  </si>
  <si>
    <t>The connected-component labeling problem: A review of state-of-the-art algorithms</t>
  </si>
  <si>
    <t>He, Lifeng; Ren, Xiwei; Gao, Qihang; Zhao, Xiao; Yao, Bin; Chao, Yuyan</t>
  </si>
  <si>
    <t>10.1016/j.patcog.2017.04.018</t>
  </si>
  <si>
    <t>10.1016/j.cviu.2016.03.014</t>
  </si>
  <si>
    <t>Multiple instance subspace learning via partial random projection tree for local reflection symmetry in natural images</t>
  </si>
  <si>
    <t>Shen, Wei; Bai, Xiang; Hu, Zihao; Zhang, Zhijiang</t>
  </si>
  <si>
    <t>10.1016/j.patcog.2015.10.015</t>
  </si>
  <si>
    <t>Visual Saliency Detection Using Group Lasso Regularization in Videos of Natural Scenes</t>
  </si>
  <si>
    <t>Souly, Nasim; Shah, Mubarak</t>
  </si>
  <si>
    <t>MAR 2016</t>
  </si>
  <si>
    <t>10.1007/s11263-015-0853-6</t>
  </si>
  <si>
    <t>10.1016/j.cviu.2015.08.010</t>
  </si>
  <si>
    <t>Detection of moving objects in roundabouts based on a monocular system</t>
  </si>
  <si>
    <t>Hassannejad, Hamid; Medici, Paolo; Cardarelli, Elena; Cerri, Pietro</t>
  </si>
  <si>
    <t>10.1016/j.eswa.2015.01.032</t>
  </si>
  <si>
    <t>PQ kernel: A rank correlation kernel for visual word histograms</t>
  </si>
  <si>
    <t>Ionescu, Radu Tudor; Popescu, Marius</t>
  </si>
  <si>
    <t>APR 1 2015</t>
  </si>
  <si>
    <t>10.1016/j.patrec.2014.06.003</t>
  </si>
  <si>
    <t>10.1016/j.cviu.2014.06.011</t>
  </si>
  <si>
    <t>Improving invariance in visual classification with biologically inspired mechanism</t>
  </si>
  <si>
    <t>Tang, Tang; Qiao, Hong</t>
  </si>
  <si>
    <t>JUN 10 2014</t>
  </si>
  <si>
    <t>10.1016/j.neucom.2013.11.003</t>
  </si>
  <si>
    <t>Perceptually motivated shape context which uses shape interiors</t>
  </si>
  <si>
    <t>Premachandran, Vittal; Kakarala, Ramakrishna</t>
  </si>
  <si>
    <t>10.1016/j.patcog.2013.01.030</t>
  </si>
  <si>
    <t>Homological spanning forest framework for 2D image analysis</t>
  </si>
  <si>
    <t>Molina-Abril, Helena; Real, Pedro</t>
  </si>
  <si>
    <t>ANNALS OF MATHEMATICS AND ARTIFICIAL INTELLIGENCE</t>
  </si>
  <si>
    <t>10.1007/s10472-012-9297-7</t>
  </si>
  <si>
    <t>Subspace learning-based dimensionality reduction in building recognition</t>
  </si>
  <si>
    <t>10.1016/j.neucom.2009.08.016</t>
  </si>
  <si>
    <t>A novel approach to color normalization using neural network</t>
  </si>
  <si>
    <t>Cheng, H. D.; Cai, Xiaopeng; Min, Rui</t>
  </si>
  <si>
    <t>10.1007/s00521-008-0176-4</t>
  </si>
  <si>
    <t>Nonlinear prediction for Gaussian mixture image models</t>
  </si>
  <si>
    <t>Zhang, J; Ma, DH</t>
  </si>
  <si>
    <t>JUN 2004</t>
  </si>
  <si>
    <t>10.1109/TIP.2004.828197</t>
  </si>
  <si>
    <t>Vector ordering and morphological operations for colour image processing: Fundamentals and applications</t>
  </si>
  <si>
    <t>Vardavoulia, MI; Andreadis, I; Tsalides, P</t>
  </si>
  <si>
    <t>JUN 2002</t>
  </si>
  <si>
    <t>Statistical modeling of colour data</t>
  </si>
  <si>
    <t>Alexander, DC; Buxton, BF</t>
  </si>
  <si>
    <t>SEP 2001</t>
  </si>
  <si>
    <t>10.1023/A:1011870913626</t>
  </si>
  <si>
    <t>NOV 30 2016</t>
  </si>
  <si>
    <t>10.1016/j.eswa.2016.06.011</t>
  </si>
  <si>
    <t>Detection-Free Multiobject Tracking by Reconfigurable Inference With Bundle Representations</t>
  </si>
  <si>
    <t>Lin, Liang; Lu, Yongyi; Li, Chenglong; Cheng, Hui; Zuo, Wangmeng</t>
  </si>
  <si>
    <t>10.1109/TCYB.2015.2478515</t>
  </si>
  <si>
    <t>A Robust Approach for the Background Subtraction Based on Multi-Layered Self-Organizing Maps</t>
  </si>
  <si>
    <t>Gemignani, Giorgio; Rozza, Alessandro</t>
  </si>
  <si>
    <t>10.1109/TIP.2016.2605004</t>
  </si>
  <si>
    <t>10.1109/TIP.2015.2483376</t>
  </si>
  <si>
    <t>Saliency detection using hierarchical manifold learning</t>
  </si>
  <si>
    <t>Qiu, Youhai; Sun, Xiangping; She, Mary Fenghua</t>
  </si>
  <si>
    <t>10.1016/j.neucom.2015.05.073</t>
  </si>
  <si>
    <t>A review of facial gender recognition</t>
  </si>
  <si>
    <t>Ng, Choon-Boon; Tay, Yong-Haur; Goi, Bok-Min</t>
  </si>
  <si>
    <t>10.1007/s10044-015-0499-6</t>
  </si>
  <si>
    <t>Semi-supervised learning and feature evaluation for RGB-D object recognition</t>
  </si>
  <si>
    <t>Cheng, Yanhua; Zhao, Xin; Huang, Kaiqi; Tan, Tieniu</t>
  </si>
  <si>
    <t>OCT 2015</t>
  </si>
  <si>
    <t>10.1016/j.cviu.2015.05.007</t>
  </si>
  <si>
    <t>10.1142/S0218001415550010</t>
  </si>
  <si>
    <t>RX architectures for real-time anomaly detection in hyperspectral images</t>
  </si>
  <si>
    <t>Rossi, A.; Acito, N.; Diani, M.; Corsini, G.</t>
  </si>
  <si>
    <t>SEP 2014</t>
  </si>
  <si>
    <t>10.1007/s11554-012-0292-3</t>
  </si>
  <si>
    <t>Abnormal behavior detection using dominant sets</t>
  </si>
  <si>
    <t>Alvar, Manuel; Torsello, Andrea; Sanchez-Miralles, Alvaro; Maria Armingol, Jose</t>
  </si>
  <si>
    <t>10.1007/s00138-014-0615-4</t>
  </si>
  <si>
    <t>Hierarchical kernel-based rotation and scale invariant similarity</t>
  </si>
  <si>
    <t>Tang, Y. Y.; Xia, Tian; Wei, Yantao; Li, Hong; Li, Luoqing</t>
  </si>
  <si>
    <t>10.1016/j.patcog.2013.10.008</t>
  </si>
  <si>
    <t>Automatic registration for 3D shapes using hybrid dimensionality-reduction shape descriptions</t>
  </si>
  <si>
    <t>Li, Wen-long; Yin, Zhou-ping; Huang, Yong-an; Xiong, You-lun</t>
  </si>
  <si>
    <t>DEC 2011</t>
  </si>
  <si>
    <t>10.1016/j.patcog.2011.02.005</t>
  </si>
  <si>
    <t>Incremental Training of a Detector Using Online Sparse Eigendecomposition</t>
  </si>
  <si>
    <t>Paisitkriangkrai, Sakrapee; Shen, Chunhua; Zhang, Jian</t>
  </si>
  <si>
    <t>10.1109/TIP.2010.2053548</t>
  </si>
  <si>
    <t>Portable real time emotion detection system for the disabled</t>
  </si>
  <si>
    <t>Lau, Bee Theng</t>
  </si>
  <si>
    <t>10.1016/j.eswa.2010.02.130</t>
  </si>
  <si>
    <t>Gabor feature constrained statistical model for efficient landmark localization and face recognition</t>
  </si>
  <si>
    <t>Zhao, Sanqiang; Gao, Yongsheng; Zhang, Baochang</t>
  </si>
  <si>
    <t>JUL 15 2009</t>
  </si>
  <si>
    <t>10.1016/j.patrec.2009.03.007</t>
  </si>
  <si>
    <t>A SUPPORT VECTOR DATA DESCRIPTION APPROACH FOR BACKGROUND MODELING IN VIDEOS WITH QUASI-STATIONARY BACKGROUNDS</t>
  </si>
  <si>
    <t>Tavakkoli, Alireza; Nicolescu, Mircea; Bebis, George; Nicolescu, Monica</t>
  </si>
  <si>
    <t>10.1142/S0218213008004084</t>
  </si>
  <si>
    <t>Deep Reinforcement Learning With Visual Attention for Vehicle Classification</t>
  </si>
  <si>
    <t>Zhao, Dongbin; Chen, Yaran; Lv, Le</t>
  </si>
  <si>
    <t>IEEE TRANSACTIONS ON COGNITIVE AND DEVELOPMENTAL SYSTEMS</t>
  </si>
  <si>
    <t>DEC 2017</t>
  </si>
  <si>
    <t>10.1109/TCDS.2016.2614675</t>
  </si>
  <si>
    <t>A robot calligraphy system: From simple to complex writing by human gestures</t>
  </si>
  <si>
    <t>Chao, Fei; Huang, Yuxuan; Zhang, Xin; Shang, Changjing; Yang, Longzhi; Zhou, Changle; Hu, Huosheng; Lin, Chih-Min</t>
  </si>
  <si>
    <t>MAR 2017</t>
  </si>
  <si>
    <t>10.1016/j.engappai.2016.12.006</t>
  </si>
  <si>
    <t>Robust least squares twin support vector machine for human activity recognition</t>
  </si>
  <si>
    <t>Khemchandani, Reshma; Sharma, Sweta</t>
  </si>
  <si>
    <t>10.1016/j.asoc.2016.05.025</t>
  </si>
  <si>
    <t>Perceptual modeling in the problem of active object recognition in visual scenes</t>
  </si>
  <si>
    <t>Gonzalez-Diaz, Ivan; Buso, Vincent; Benois-Pineau, Jenny</t>
  </si>
  <si>
    <t>10.1016/j.patcog.2016.03.007</t>
  </si>
  <si>
    <t>JAN 2016</t>
  </si>
  <si>
    <t>10.1007/s11554-012-0310-5</t>
  </si>
  <si>
    <t>Multiscale Superpixels and Supervoxels Based on Hierarchical Edge-Weighted Centroidal Voronoi Tessellation</t>
  </si>
  <si>
    <t>Zhou, Youjie; Ju, Lili; Wang, Song</t>
  </si>
  <si>
    <t>10.1109/TIP.2015.2449552</t>
  </si>
  <si>
    <t>10.1109/TIP.2015.2421437</t>
  </si>
  <si>
    <t>A unified framework for local visual descriptors evaluation</t>
  </si>
  <si>
    <t>Kihl, Olivier; Picard, David; Gosselin, Philippe-Henri</t>
  </si>
  <si>
    <t>10.1016/j.patcog.2014.11.013</t>
  </si>
  <si>
    <t>Good recognition is non-metric</t>
  </si>
  <si>
    <t>Scheirer, Walter J.; Wilber, Michael J.; Eckmann, Michael; Boult, Terrance E.</t>
  </si>
  <si>
    <t>10.1016/j.patcog.2014.02.018</t>
  </si>
  <si>
    <t>Space-time spectral model for object detection in dynamic textured background</t>
  </si>
  <si>
    <t>Ali, Imtiaz; Mille, Julien; Tougne, Laure</t>
  </si>
  <si>
    <t>OCT 1 2012</t>
  </si>
  <si>
    <t>10.1016/j.patrec.2012.06.011</t>
  </si>
  <si>
    <t>Unsupervised Learning of Categorical Segments in Image Collections</t>
  </si>
  <si>
    <t>Andreetto, Marco; Zelnik-Manor, Lihi; Perona, Pietro</t>
  </si>
  <si>
    <t>10.1109/TPAMI.2011.268</t>
  </si>
  <si>
    <t>Semi-supervised facial landmark annotation</t>
  </si>
  <si>
    <t>Tong, Yan; Liu, Xiaoming; Wheeler, Frederick W.; Tu, Peter H.</t>
  </si>
  <si>
    <t>10.1016/j.cviu.2012.03.008</t>
  </si>
  <si>
    <t>Max-margin Non-negative Matrix Factorization</t>
  </si>
  <si>
    <t>Kumar, B. G. Vijay; Kotsia, Irene; Patras, Ioannis</t>
  </si>
  <si>
    <t>4-5</t>
  </si>
  <si>
    <t>10.1016/j.imavis.2012.02.010</t>
  </si>
  <si>
    <t>C-4: Exploring Multiple Solutions in Graphical Models by Cluster Sampling</t>
  </si>
  <si>
    <t>Porway, Jake; Zhu, Song-Chun</t>
  </si>
  <si>
    <t>10.1109/TPAMI.2011.27</t>
  </si>
  <si>
    <t>Cascaded online boosting</t>
  </si>
  <si>
    <t>Visentini, Ingrid; Snidaro, Lauro; Foresti, Gian Luca</t>
  </si>
  <si>
    <t>10.1007/s11554-010-0154-9</t>
  </si>
  <si>
    <t>Eigendecomposition of Images Correlated on S-1, S-2, and SO(3) Using Spectral Theory</t>
  </si>
  <si>
    <t>Hoover, Randy C.; Maciejewski, Anthony A.; Roberts, Rodney G.</t>
  </si>
  <si>
    <t>NOV 2009</t>
  </si>
  <si>
    <t>10.1109/TIP.2009.2026622</t>
  </si>
  <si>
    <t>Real-time object recognition using local features on a DSP-based embedded system</t>
  </si>
  <si>
    <t>Arth, Clemens; Bischof, Horst</t>
  </si>
  <si>
    <t>10.1007/s11554-008-0083-z</t>
  </si>
  <si>
    <t>10.1016/j.neucom.2007.07.011</t>
  </si>
  <si>
    <t>JUN 1 2006</t>
  </si>
  <si>
    <t>10.1016/j.imavis.2005.09.008</t>
  </si>
  <si>
    <t>Attention-based dynamic visual search using inner-scene similarity: Algorithms and bounds</t>
  </si>
  <si>
    <t>Avraham, T; Lindenbaum, M</t>
  </si>
  <si>
    <t>FEB 2006</t>
  </si>
  <si>
    <t>10.1109/TPAMI.2006.28</t>
  </si>
  <si>
    <t>Interactive image data labeling using self-organizing maps in an augmented reality scenario</t>
  </si>
  <si>
    <t>Bekel, H; Heidemann, G; Ritter, H</t>
  </si>
  <si>
    <t>JUN-JUL 2005</t>
  </si>
  <si>
    <t>10.1016/j.neunet.2005.06.040</t>
  </si>
  <si>
    <t>International Joint Conference on Neural Networks</t>
  </si>
  <si>
    <t>JUL 31-AUG 04, 2005</t>
  </si>
  <si>
    <t>Case-based object recognition</t>
  </si>
  <si>
    <t>Perner, P; Buhring, A</t>
  </si>
  <si>
    <t>Funk, P; Calero, PAG</t>
  </si>
  <si>
    <t>ADVANCES IN CASE-BASED REASONING, PROCEEDINGS</t>
  </si>
  <si>
    <t>7th European Conference on Case-Based Reasoning</t>
  </si>
  <si>
    <t>AUG 30-SEP 02, 2004</t>
  </si>
  <si>
    <t>Co-Saliency Detection for RGBD Images Based on Multi-Constraint Feature Matching and Cross Label Propagation</t>
  </si>
  <si>
    <t>Cong, Runmin; Lei, Jianjun; Fu, Huazhu; Huang, Qingming; Cao, Xiaochun; Hou, Chunping</t>
  </si>
  <si>
    <t>10.1109/TIP.2017.2763819</t>
  </si>
  <si>
    <t>10.1016/j.imavis.2017.08.003</t>
  </si>
  <si>
    <t>Background estimation by weightless neural networks</t>
  </si>
  <si>
    <t>De Gregorio, Massimo; Giordano, Maurizio</t>
  </si>
  <si>
    <t>SEP 1 2017</t>
  </si>
  <si>
    <t>10.1016/j.patrec.2017.05.029</t>
  </si>
  <si>
    <t>Hierarchical Adaptive Structural SVM for Domain Adaptation</t>
  </si>
  <si>
    <t>Xu, Jiaolong; Ramos, Sebastian; Vazquez, David; Lopez, Antonio M.</t>
  </si>
  <si>
    <t>SEP 2016</t>
  </si>
  <si>
    <t>10.1007/s11263-016-0885-6</t>
  </si>
  <si>
    <t>Multi-modal emotion analysis from facial expressions and electroencephalogram</t>
  </si>
  <si>
    <t>Huang, Xiaohua; Kortelainen, Jukka; Zhao, Guoying; Li, Xiaobai; Moilanen, Antti; Seppanen, Tapio; Pietikainen, Matti</t>
  </si>
  <si>
    <t>10.1016/j.cviu.2015.09.015</t>
  </si>
  <si>
    <t>Incorporating visual adjectives for image classification</t>
  </si>
  <si>
    <t>Xie, Lingxi; Wang, Jingdong; Zhang, Bo; Tian, Qi</t>
  </si>
  <si>
    <t>MAR 19 2016</t>
  </si>
  <si>
    <t>10.1016/j.neucom.2015.12.008</t>
  </si>
  <si>
    <t>Binary Image Classification: A Genetic Programming Approach to the Problem of Limited Training Instances</t>
  </si>
  <si>
    <t>Al-Sahaf, Harith; Zhang, Mengjie; Johnston, Mark</t>
  </si>
  <si>
    <t>SPR 2016</t>
  </si>
  <si>
    <t>10.1162/EVCO_a_00146</t>
  </si>
  <si>
    <t>Multimodal image matching based on Multimodality Robust Line Segment Descriptor</t>
  </si>
  <si>
    <t>Zhao, Chunyang; Zhao, Huaici; Lv, Jinfeng; Sun, Shijie; Li, Bo</t>
  </si>
  <si>
    <t>10.1016/j.neucom.2015.11.025</t>
  </si>
  <si>
    <t>Moments and moment invariants in the Radon space</t>
  </si>
  <si>
    <t>Xiao, Bin; Cui, Jiang-Tao; Qin, Hong-Xing; Li, Wei-Sheng; Wang, Guo-Yin</t>
  </si>
  <si>
    <t>10.1016/j.patcog.2015.04.007</t>
  </si>
  <si>
    <t>BIMP: A real-time biological model of multi-scale keypoint detection in V1</t>
  </si>
  <si>
    <t>Terzic, Kasim; Rodrigues, Joao M. F.; Hans du Buf, J. M.</t>
  </si>
  <si>
    <t>FEB 20 2015</t>
  </si>
  <si>
    <t>10.1016/j.neucom.2014.09.054</t>
  </si>
  <si>
    <t>6th Iberian Conference on Pattern Recognition and Image Analysis (IbPRIA)</t>
  </si>
  <si>
    <t>JUN 05-07, 2013</t>
  </si>
  <si>
    <t>Dynamic scene understanding using temporal association rules</t>
  </si>
  <si>
    <t>Talha, Ayesha M.; Junejo, Imran N.</t>
  </si>
  <si>
    <t>10.1016/j.imavis.2014.08.010</t>
  </si>
  <si>
    <t>OBJECT RECOGNITION BASED ON BAG OF FEATURES AND A NEW LOCAL PATTERN DESCRIPTOR</t>
  </si>
  <si>
    <t>Ferraz, Carolina Toledo; Pereira Junior, Osmando; Rosa, Marcos Verdini; Gonzaga, Adilson</t>
  </si>
  <si>
    <t>10.1142/S0218001414550106</t>
  </si>
  <si>
    <t>Vision-Based Pose Estimation From Points With Unknown Correspondences</t>
  </si>
  <si>
    <t>Zhou, Haoyin; Zhang, Tao; Lu, Weining</t>
  </si>
  <si>
    <t>10.1109/TIP.2014.2329765</t>
  </si>
  <si>
    <t>Learning group-based dictionaries for discriminative image representation</t>
  </si>
  <si>
    <t>Lei, Hao; Mei, Kuizhi; Zheng, Nanning; Dong, Peixiang; Zhou, Ning; Fan, Jianping</t>
  </si>
  <si>
    <t>10.1016/j.patcog.2013.07.016</t>
  </si>
  <si>
    <t>Generalizing the Majority Voting Scheme to Spatially Constrained Voting</t>
  </si>
  <si>
    <t>Hajdu, Andras; Hajdu, Lajos; Jonas, Agnes; Kovacs, Laszlo; Toman, Henrietta</t>
  </si>
  <si>
    <t>10.1109/TIP.2013.2271116</t>
  </si>
  <si>
    <t>Common-sense reasoning for human action recognition</t>
  </si>
  <si>
    <t>del Rincon, Jesus Martinez; Santofimia, Maria J.; Nebel, Jean-Christophe</t>
  </si>
  <si>
    <t>NOV 1 2013</t>
  </si>
  <si>
    <t>10.1016/j.patrec.2012.10.020</t>
  </si>
  <si>
    <t>Recognize objects with three kinds of information in landmarks</t>
  </si>
  <si>
    <t>Han, Yuexing</t>
  </si>
  <si>
    <t>10.1016/j.patcog.2013.04.010</t>
  </si>
  <si>
    <t>Part-based object detection into a hierarchy of image segmentations combining color and topology</t>
  </si>
  <si>
    <t>Antunez, Esther; Marfil, Rebeca; Bandera, Juan P.; Bandera, Antonio</t>
  </si>
  <si>
    <t>MAY 1 2013</t>
  </si>
  <si>
    <t>10.1016/j.patrec.2013.01.012</t>
  </si>
  <si>
    <t>JUL 2012</t>
  </si>
  <si>
    <t>10.1049/iet-cvi.2011.0138</t>
  </si>
  <si>
    <t>An experimental study of four variants of pose clustering from dense range data</t>
  </si>
  <si>
    <t>Hillenbrand, Ulrich; Fuchs, Alexander</t>
  </si>
  <si>
    <t>10.1016/j.cviu.2011.06.007</t>
  </si>
  <si>
    <t>Approximation-free running SVD and its application to motion detection</t>
  </si>
  <si>
    <t>Chetverikov, Dmitry; Axt, Attila</t>
  </si>
  <si>
    <t>JUL 1 2010</t>
  </si>
  <si>
    <t>10.1016/j.patrec.2009.12.031</t>
  </si>
  <si>
    <t>Developing nonstationary noise estimation for application in edge and corner detection</t>
  </si>
  <si>
    <t>Wyatt, Paul; Nakai, Hiroaki</t>
  </si>
  <si>
    <t>10.1109/TIP.2007.894251</t>
  </si>
  <si>
    <t>Identifying similar surface patches on proteins using a spin-image surface representation</t>
  </si>
  <si>
    <t>Bock, ME; Cortelazzo, GM; Ferrari, C; Guerra, C</t>
  </si>
  <si>
    <t>Apostolico, A; Crochemore, M; Park, K</t>
  </si>
  <si>
    <t>COMBINATORIAL PATTERN MATCHING, PROCEEDINGS</t>
  </si>
  <si>
    <t>16th Annual Symposium on Combinatorial Pattern Matching</t>
  </si>
  <si>
    <t>JUN 19-22, 2005</t>
  </si>
  <si>
    <t>DEC 2004</t>
  </si>
  <si>
    <t>10.1007/s00138-004-0143-8</t>
  </si>
  <si>
    <t>17th International Conference on Pattern Recognition (ICPR)</t>
  </si>
  <si>
    <t>AUG 23-26, 2004</t>
  </si>
  <si>
    <t>Affine invariant flows in the Beltrami framework</t>
  </si>
  <si>
    <t>Sochen, N</t>
  </si>
  <si>
    <t>JAN-MAR 2004</t>
  </si>
  <si>
    <t>10.1023/B:JMIV.0000011323.32914.f3</t>
  </si>
  <si>
    <t>4th Conference on Mathematics and Image Analysis</t>
  </si>
  <si>
    <t>SEP 10-13, 2002</t>
  </si>
  <si>
    <t>Astronomical image segmentation by self-organizing neural networks and wavelets</t>
  </si>
  <si>
    <t>Nunez, J; Llacer, J</t>
  </si>
  <si>
    <t>APR-MAY 2003</t>
  </si>
  <si>
    <t>3-4</t>
  </si>
  <si>
    <t>10.1016/S0893-6080(03)00011-X</t>
  </si>
  <si>
    <t>Using relaxation technique for region-based object recognition</t>
  </si>
  <si>
    <t>Ahmadyfard, AR; Kittler, J</t>
  </si>
  <si>
    <t>SEP 1 2002</t>
  </si>
  <si>
    <t>PII S0262-8856(02)00040-9</t>
  </si>
  <si>
    <t>10.1016/S0262-8856(02)00040-9</t>
  </si>
  <si>
    <t>A vision system for object verification and localization based on local features</t>
  </si>
  <si>
    <t>Baerveldt, AJ</t>
  </si>
  <si>
    <t>FEB 28 2001</t>
  </si>
  <si>
    <t>10.1016/S0921-8890(00)00113-5</t>
  </si>
  <si>
    <t>EUROBOT 99 Workshop</t>
  </si>
  <si>
    <t>SEP 06-08, 1999</t>
  </si>
  <si>
    <t>Appearance based pedestrians' head pose and body orientation estimation using deep learning</t>
  </si>
  <si>
    <t>Raza, Mudassar; Chen, Zonghai; Rehman, Saeed-Ur; Wang, Peng; Bao, Peng</t>
  </si>
  <si>
    <t>JAN 10 2018</t>
  </si>
  <si>
    <t>10.1016/j.neucom.2017.07.029</t>
  </si>
  <si>
    <t>JAN 2018</t>
  </si>
  <si>
    <t>10.1016/j.eswa.2017.09.029</t>
  </si>
  <si>
    <t>Multi-Task Vehicle Detection With Region-of-Interest Voting</t>
  </si>
  <si>
    <t>Chu, Wenqing; Liu, Yao; Shen, Chen; Cai, Deng; Hua, Xian-Sheng</t>
  </si>
  <si>
    <t>10.1109/TIP.2017.2762591</t>
  </si>
  <si>
    <t>10.1007/s00138-017-0830-x</t>
  </si>
  <si>
    <t>Saliency detection via joint modeling global shape and local consistency</t>
  </si>
  <si>
    <t>Qi, Jinqing; Dong, Shijing; Huang, Fang; Lu, Huchuan</t>
  </si>
  <si>
    <t>JAN 26 2017</t>
  </si>
  <si>
    <t>10.1016/j.neucom.2016.10.007</t>
  </si>
  <si>
    <t>10.1016/j.asoc.2015.11.007</t>
  </si>
  <si>
    <t>A scalable pattern spotting system for historical documents</t>
  </si>
  <si>
    <t>En, Sovann; Petitjean, Caroline; Nicolas, Stephane; Heutte, Laurent</t>
  </si>
  <si>
    <t>10.1016/j.patcog.2016.01.014</t>
  </si>
  <si>
    <t>ROML: A Robust Feature Correspondence Approach for Matching Objects in A Set of Images</t>
  </si>
  <si>
    <t>Jia, Kui; Chan, Tsung-Han; Zeng, Zinan; Gao, Shenghua; Wang, Gang; Zhang, Tianzhu; Ma, Yi</t>
  </si>
  <si>
    <t>10.1007/s11263-015-0858-1</t>
  </si>
  <si>
    <t>Recognition Using Hybrid Classifiers</t>
  </si>
  <si>
    <t>Osadchy, Margarita; Keren, Daniel; Raviv, Dolev</t>
  </si>
  <si>
    <t>10.1109/TPAMI.2015.2465910</t>
  </si>
  <si>
    <t>10.1016/j.cviu.2015.11.001</t>
  </si>
  <si>
    <t>Quaternion generic Fourier descriptor for color object recognition</t>
  </si>
  <si>
    <t>Li, Heng; Liu, Zhiwen; Huang, Yali; Shi, Yonggang</t>
  </si>
  <si>
    <t>10.1016/j.patcog.2015.06.002</t>
  </si>
  <si>
    <t>Shape matching and object recognition using common base triangle area</t>
  </si>
  <si>
    <t>Hu, Dameng; Huang, Weiguo; Yang, Jianyu; Shang, Li; Zhu, Zhongkui</t>
  </si>
  <si>
    <t>10.1049/iet-cvi.2014.0409</t>
  </si>
  <si>
    <t>Fast Exact Hyper-graph Matching with Dynamic Programming for Spatio-temporal Data</t>
  </si>
  <si>
    <t>Celiktutan, Oya; Wolf, Christian; Sankur, Bulent; Lombardi, Eric</t>
  </si>
  <si>
    <t>10.1007/s10851-014-0503-6</t>
  </si>
  <si>
    <t>NATAS: Neural Activity Trace Aware Saliency</t>
  </si>
  <si>
    <t>10.1109/TCYB.2013.2279002</t>
  </si>
  <si>
    <t>Sparse Spatial Coding: A Novel Approach to Visual Recognition</t>
  </si>
  <si>
    <t>Oliveira, Gabriel Leivas; Nascimento, Erickson R.; Vieira, Antonio Wilson; Montenegro Campos, Mario Fernando</t>
  </si>
  <si>
    <t>10.1109/TIP.2014.2317988</t>
  </si>
  <si>
    <t>On the generation and pruning of skeletons using generalized Voronoi diagrams</t>
  </si>
  <si>
    <t>Liu, Hongzhi; Wu, Zhonghai; Hsu, D. Frank; Peterson, Bradley S.; Xu, Dongrong</t>
  </si>
  <si>
    <t>10.1016/j.patrec.2012.07.014</t>
  </si>
  <si>
    <t>Fast buffering for FPGA implementation of vision-based object recognition systems</t>
  </si>
  <si>
    <t>Cao, Tam P.; Elton, Darrell; Deng, Guang</t>
  </si>
  <si>
    <t>10.1007/s11554-011-0201-1</t>
  </si>
  <si>
    <t>MIFT: A framework for feature descriptors to be mirror reflection invariant</t>
  </si>
  <si>
    <t>Guo, Xiaojie; Cao, Xiaochun</t>
  </si>
  <si>
    <t>10.1016/j.imavis.2012.05.006</t>
  </si>
  <si>
    <t>Predicate Logic Based Image Grammars for Complex Pattern Recognition</t>
  </si>
  <si>
    <t>Shet, Vinay; Singh, Maneesh; Bahlmann, Claus; Ramesh, Visvanathan; Neumann, Jan; Davis, Larry</t>
  </si>
  <si>
    <t>10.1007/s11263-010-0343-9</t>
  </si>
  <si>
    <t>10.1007/s11554-010-0150-0</t>
  </si>
  <si>
    <t>10.1007/s11263-010-0336-8</t>
  </si>
  <si>
    <t>Bayesian feature evaluation for visual saliency estimation</t>
  </si>
  <si>
    <t>Hu, Xiao-Peng; Dempere-Marco, Laura; Davies, E. Roy</t>
  </si>
  <si>
    <t>10.1016/j.patcog.2008.05.002</t>
  </si>
  <si>
    <t>Recognizing simple human actions using 3D head movement</t>
  </si>
  <si>
    <t>Usabiaga, Jorge; Bebis, George; Erol, Ali; Nicolescu, Mircea; Nicolescu, Monica</t>
  </si>
  <si>
    <t>COMPUTATIONAL INTELLIGENCE</t>
  </si>
  <si>
    <t>NOV 2007</t>
  </si>
  <si>
    <t>10.1111/j.1467-8640.2007.00317.x</t>
  </si>
  <si>
    <t>Convergence of map seeking circuits</t>
  </si>
  <si>
    <t>Gedeon, Tomas; Arathorn, David</t>
  </si>
  <si>
    <t>10.1007/s10851-007-0028-3</t>
  </si>
  <si>
    <t>19th Brazilian Symposium on Computer Graphics and Image Processing (SIBGRAPI 2006)</t>
  </si>
  <si>
    <t>OCT 08-11, 2006</t>
  </si>
  <si>
    <t>The long-range saliency of edge- and corner-based salient points</t>
  </si>
  <si>
    <t>Heidemann, G</t>
  </si>
  <si>
    <t>NOV 2005</t>
  </si>
  <si>
    <t>10.1109/TIP.2005.854490</t>
  </si>
  <si>
    <t>The classical theory of invariants and object recognition using algebraic curve and surfaces</t>
  </si>
  <si>
    <t>Civi, H; Christopher, C; Ercil, A</t>
  </si>
  <si>
    <t>NOV 2003</t>
  </si>
  <si>
    <t>10.1023/A:1026233121583</t>
  </si>
  <si>
    <t>SEP 2002</t>
  </si>
  <si>
    <t>PII S0167-8655(02)00065-X</t>
  </si>
  <si>
    <t>10.1016/S0167-8655(02)00065-X</t>
  </si>
  <si>
    <t>Real-time tracking of multiple objects using fiducials for Augmented Reality</t>
  </si>
  <si>
    <t>Molineros, J; Sharma, R</t>
  </si>
  <si>
    <t>10.1006/rtim.2001.0242</t>
  </si>
  <si>
    <t>Object detection and recognition via clustered features</t>
  </si>
  <si>
    <t>Wozniak, Marcin; Polap, Dawid</t>
  </si>
  <si>
    <t>DEC 3 2018</t>
  </si>
  <si>
    <t>10.1016/j.neucom.2018.09.003</t>
  </si>
  <si>
    <t>Hierarchical Cellular Automata for Visual Saliency</t>
  </si>
  <si>
    <t>Qin, Yao; Feng, Mengyang; Lu, Huchuan; Cottrell, Garrison W.</t>
  </si>
  <si>
    <t>JUL 2018</t>
  </si>
  <si>
    <t>10.1007/s11263-017-1062-2</t>
  </si>
  <si>
    <t>Anomaly detection by robust statistics</t>
  </si>
  <si>
    <t>Rousseeuw, Peter J.; Hubert, Mia</t>
  </si>
  <si>
    <t>WILEY INTERDISCIPLINARY REVIEWS-DATA MINING AND KNOWLEDGE DISCOVERY</t>
  </si>
  <si>
    <t>MAR-APR 2018</t>
  </si>
  <si>
    <t>e1236</t>
  </si>
  <si>
    <t>10.1002/widm.1236</t>
  </si>
  <si>
    <t>A Novel perspective invariant feature transform for RGB-D images</t>
  </si>
  <si>
    <t>Yu, Qinghua; Liang, Jie; Xiao, Junhao; Lu, Huimin; Zheng, Zhiqiang</t>
  </si>
  <si>
    <t>10.1016/j.cviu.2017.12.001</t>
  </si>
  <si>
    <t>Keypoints Detection and Feature Extraction: A Dynamic Genetic Programming Approach for Evolving Rotation-Invariant Texture Image Descriptors</t>
  </si>
  <si>
    <t>Al-Sahaf, Harith; Zhang, Mengjie; Al-Sahaf, Ausama; Johnston, Mark</t>
  </si>
  <si>
    <t>10.1109/TEVC.2017.2685639</t>
  </si>
  <si>
    <t>Combination of Video Change Detection Algorithms by Genetic Programming</t>
  </si>
  <si>
    <t>Bianco, Simone; Ciocca, Gianluigi; Schettini, Raimondo</t>
  </si>
  <si>
    <t>10.1109/TEVC.2017.2694160</t>
  </si>
  <si>
    <t>Multi-class US traffic signs 3D recognition and localization via image-based point cloud model using color candidate extraction and texture-based recognition</t>
  </si>
  <si>
    <t>Balali, Vahid; Jahangiri, Arash; Machiani, Sahar Ghanipoor</t>
  </si>
  <si>
    <t>APR 2017</t>
  </si>
  <si>
    <t>10.1016/j.aei.2017.03.006</t>
  </si>
  <si>
    <t>An integrated artificial vision framework for assisting visually impaired users</t>
  </si>
  <si>
    <t>Chessa, Manuela; Noceti, Nicoletta; Odone, Francesca; Solari, Fabio; Sosa-Garcia, Joan; Zini, Luca</t>
  </si>
  <si>
    <t>10.1016/j.cviu.2015.11.007</t>
  </si>
  <si>
    <t>Salient object detection using biogeography-based optimization to combine features</t>
  </si>
  <si>
    <t>Wang, Zhicheng; Wu, Xiaobei</t>
  </si>
  <si>
    <t>APPLIED INTELLIGENCE</t>
  </si>
  <si>
    <t>JUL 2016</t>
  </si>
  <si>
    <t>10.1007/s10489-015-0739-x</t>
  </si>
  <si>
    <t>Adapting pedestrian detectors to new domains: A comprehensive review</t>
  </si>
  <si>
    <t>Htike, Kyaw Kyaw; Hogg, David</t>
  </si>
  <si>
    <t>10.1016/j.engappai.2016.01.029</t>
  </si>
  <si>
    <t>Density Maximization for Improving Graph Matching With Its Applications</t>
  </si>
  <si>
    <t>Wang, Chao; Wang, Lei; Liu, Lingqiao</t>
  </si>
  <si>
    <t>10.1109/TIP.2015.2416639</t>
  </si>
  <si>
    <t>Fuzzy split and merge for shadow detection</t>
  </si>
  <si>
    <t>Sasi, Remya K.; Govindan, V. K.</t>
  </si>
  <si>
    <t>EGYPTIAN INFORMATICS JOURNAL</t>
  </si>
  <si>
    <t>10.1016/j.eij.2014.11.003</t>
  </si>
  <si>
    <t>3DNN: 3D Nearest Neighbor Data-Driven Geometric Scene Understanding Using 3D Models</t>
  </si>
  <si>
    <t>Satkin, Scott; Rashid, Maheen; Lin, Jason; Hebert, Martial</t>
  </si>
  <si>
    <t>10.1007/s11263-014-0734-4</t>
  </si>
  <si>
    <t>Motion feature filtering for event detection in crowded scenes</t>
  </si>
  <si>
    <t>O'Gorman, Lawrence; Yin, Yafeng; Ho, Tin Kam</t>
  </si>
  <si>
    <t>JUL 15 2014</t>
  </si>
  <si>
    <t>10.1016/j.patrec.2013.08.020</t>
  </si>
  <si>
    <t>10.1016/j.patrec.2012.12.013</t>
  </si>
  <si>
    <t>Junction assisted 3D pose retrieval of untextured 3D models in monocular images</t>
  </si>
  <si>
    <t>Alvarez, Hugo; Borro, Diego</t>
  </si>
  <si>
    <t>OCT 2013</t>
  </si>
  <si>
    <t>10.1016/j.cviu.2012.08.012</t>
  </si>
  <si>
    <t>Mosaic method of side-scan sonar strip images using corresponding features</t>
  </si>
  <si>
    <t>Zhao, Jianhu; Wang, Aixue; Zhang, Hongmei; Wang, Xiao</t>
  </si>
  <si>
    <t>10.1049/iet-ipr.2012.0468</t>
  </si>
  <si>
    <t>Active Foreground Region Extraction and Tracking for Sports Video Annotation</t>
  </si>
  <si>
    <t>Mentzelopoulos, Markos; Psarrou, Alexandra; Angelopoulou, Anastassia; Garcia-Rodriguez, Jose</t>
  </si>
  <si>
    <t>NEURAL PROCESSING LETTERS</t>
  </si>
  <si>
    <t>10.1007/s11063-012-9267-4</t>
  </si>
  <si>
    <t>Evaluating a color-based active basis model for object recognition</t>
  </si>
  <si>
    <t>Bui, T. T. Quyen; Hong, Keum-Shik</t>
  </si>
  <si>
    <t>10.1016/j.cviu.2012.07.003</t>
  </si>
  <si>
    <t>A flexible edge matching technique for object detection in dynamic environment</t>
  </si>
  <si>
    <t>Hossain, M. Julius; Dewan, M. Ali Akber; Chae, Oksam</t>
  </si>
  <si>
    <t>10.1007/s10489-011-0281-4</t>
  </si>
  <si>
    <t>10.1049/iet-cvi.2009.0094</t>
  </si>
  <si>
    <t>ASOD: Arbitrary shape object detection</t>
  </si>
  <si>
    <t>Mimaroglu, Selim; Erdil, Ertunc</t>
  </si>
  <si>
    <t>10.1016/j.engappai.2011.07.005</t>
  </si>
  <si>
    <t>In Search of Perceptually Salient Groupings</t>
  </si>
  <si>
    <t>Song, Yi-Zhe; Xiao, Bai; Hall, Peter; Wang, Liang</t>
  </si>
  <si>
    <t>10.1109/TIP.2010.2087766</t>
  </si>
  <si>
    <t>Viewpoint independent object recognition in cluttered scenes exploiting ray-triangle intersection and SIFT algorithms</t>
  </si>
  <si>
    <t>Kordelas, Georgios; Daras, Petros</t>
  </si>
  <si>
    <t>10.1016/j.patcog.2010.05.030</t>
  </si>
  <si>
    <t>Shape-from-recognition: Recognition enables meta-data transfer</t>
  </si>
  <si>
    <t>Thomas, Alexander; Ferrari, Vittorio; Leibe, Bastian; Tuytelaars, Tinne; Van Gool, Luc</t>
  </si>
  <si>
    <t>10.1016/j.cviu.2009.03.010</t>
  </si>
  <si>
    <t>Decomposition of two-dimensional shapes for efficient retrieval</t>
  </si>
  <si>
    <t>Di Ruberto, Cecilia; Cinque, Luigi</t>
  </si>
  <si>
    <t>JUL 2 2009</t>
  </si>
  <si>
    <t>10.1016/j.imavis.2008.10.009</t>
  </si>
  <si>
    <t>MAR 2009</t>
  </si>
  <si>
    <t>A conceptual frame with two neural mechanisms to model selective visual attention processes</t>
  </si>
  <si>
    <t>Mira, Jose; Delgado, Ana E.; Lopez, Maria T.; Fernandez-Caballero, Antonio; Fernandez, Miguel A.</t>
  </si>
  <si>
    <t>4-6</t>
  </si>
  <si>
    <t>10.1016/j.neucom.2007.10.005</t>
  </si>
  <si>
    <t>4th International Symposium on Neural Networks (ISNN 2007)</t>
  </si>
  <si>
    <t>JUN 03-07, 2007</t>
  </si>
  <si>
    <t>Evaluation of a convex relaxation to a quadratic assignment matching approach for relational object views</t>
  </si>
  <si>
    <t>Schellewald, Christian; Roth, Stefan; Schnoerr, Christoph</t>
  </si>
  <si>
    <t>10.1016/j.imavis.2006.08.005</t>
  </si>
  <si>
    <t>Boosted algorithms for visual object detection on graphics processing units</t>
  </si>
  <si>
    <t>Ghorayeb, H; Steux, B; Laurgeau, C</t>
  </si>
  <si>
    <t>Separable linear discriminant classification</t>
  </si>
  <si>
    <t>Bauckhage, C; Tsotsos, JK</t>
  </si>
  <si>
    <t>Kropatsch, WG; Sablatnig, R; Hanbury, A</t>
  </si>
  <si>
    <t>27th Annual Meeting of the German-Association-for-Pattern-Recognition</t>
  </si>
  <si>
    <t>AUG 31-SEP 02, 2005</t>
  </si>
  <si>
    <t>Perceptual grouping of line features in 3-D space: a model-based framework</t>
  </si>
  <si>
    <t>Park, IK; Lee, KM; Lee, SU</t>
  </si>
  <si>
    <t>10.1016/S0031-3203(03)00225-5</t>
  </si>
  <si>
    <t>Evidential reasoning for object recognition</t>
  </si>
  <si>
    <t>Binford, TO; Levitt, TS</t>
  </si>
  <si>
    <t>JUL 2003</t>
  </si>
  <si>
    <t>10.1109/TPAMI.2003.1206513</t>
  </si>
  <si>
    <t>Image-based action recognition using hint-enhanced deep neural networks</t>
  </si>
  <si>
    <t>Qi, Tangquan; Xu, Yong; Quan, Yuhui; Wang, Yaodong; Ling, Haibin</t>
  </si>
  <si>
    <t>DEC 6 2017</t>
  </si>
  <si>
    <t>10.1016/j.neucom.2017.06.041</t>
  </si>
  <si>
    <t>Traffic light recognition exploiting map and localization at every stage</t>
  </si>
  <si>
    <t>Jang, Chulhoon; Cho, Sungjin; Jeong, Sangwoo; Suhr, Jae Kyu; Jung, Ho Gi; Sunwoo, Myoungho</t>
  </si>
  <si>
    <t>DEC 1 2017</t>
  </si>
  <si>
    <t>10.1016/j.eswa.2017.07.003</t>
  </si>
  <si>
    <t>A keypoint-based method for background modeling and foreground detection using a PTZ camera</t>
  </si>
  <si>
    <t>Avola, Danilo; Cinque, Luigi; Foresti, Gian Luca; Massaroni, Cristiano; Pannone, Daniele</t>
  </si>
  <si>
    <t>10.1016/j.patrec.2016.10.015</t>
  </si>
  <si>
    <t>Using line segments to train multi-stream stacked autoencoders for image classification</t>
  </si>
  <si>
    <t>Tang, Xue-song; Hao, Kuangrong; Wei, Hui; Ding, Yongsheng</t>
  </si>
  <si>
    <t>JUL 15 2017</t>
  </si>
  <si>
    <t>10.1016/j.patrec.2017.05.025</t>
  </si>
  <si>
    <t>Efficient deep network for vision-based object detection in robotic applications</t>
  </si>
  <si>
    <t>Lu, Keyu; An, Xiangjing; Li, Jian; He, Hangen</t>
  </si>
  <si>
    <t>JUL 5 2017</t>
  </si>
  <si>
    <t>10.1016/j.neucom.2017.03.050</t>
  </si>
  <si>
    <t>Diversity induced matrix decomposition model for salient object detection</t>
  </si>
  <si>
    <t>Sun, Xiaoli; He, ZhiXiang; Xu, Chen; Zhang, Xiujun; Zou, Wenbin; Baciu, George</t>
  </si>
  <si>
    <t>JUN 2017</t>
  </si>
  <si>
    <t>10.1016/j.patcog.2017.01.012</t>
  </si>
  <si>
    <t>The effect of spatial information characterization on 3D local feature descriptors: A quantitative evaluation</t>
  </si>
  <si>
    <t>Yang, Jiaqi; Zhang, Qian; Cao, Zhiguo</t>
  </si>
  <si>
    <t>10.1016/j.patcog.2017.01.017</t>
  </si>
  <si>
    <t>Combining depth-skeleton feature with sparse coding for action recognition</t>
  </si>
  <si>
    <t>Zhang, Hanling; Zhong, Ping; He, Jiale; Xia, Chenxing</t>
  </si>
  <si>
    <t>MAR 22 2017</t>
  </si>
  <si>
    <t>10.1016/j.neucom.2016.12.041</t>
  </si>
  <si>
    <t>Spatio-Temporal Closed-Loop Object Detection</t>
  </si>
  <si>
    <t>Galteri, Leonardo; Seidenari, Lorenzo; Bertini, Marco; Del Bimbo, Alberto</t>
  </si>
  <si>
    <t>10.1109/TIP.2017.2651367</t>
  </si>
  <si>
    <t>10.1016/j.imavis.2016.06.002</t>
  </si>
  <si>
    <t>Low-level features for visual attribute recognition: An evaluation</t>
  </si>
  <si>
    <t>Danaci, Emine Gul; Ikizler-Cinbis, Nazli</t>
  </si>
  <si>
    <t>DEC 1 2016</t>
  </si>
  <si>
    <t>10.1016/j.patrec.2016.09.015</t>
  </si>
  <si>
    <t>Fast prototyping of a SoC-based smart-camera: a real-time fall detection case study</t>
  </si>
  <si>
    <t>Senouci, Benaoumeur; Charfi, Imen; Heyrman, Barthelemy; Dubois, Julien; Miteran, Johel</t>
  </si>
  <si>
    <t>DEC 2016</t>
  </si>
  <si>
    <t>10.1007/s11554-014-0456-4</t>
  </si>
  <si>
    <t>Multi-dimensional human action recognition model based on image set and group sparisty</t>
  </si>
  <si>
    <t>Gao, Z.; Zhang, Y.; Zhang, H.; Xue, Y. S.; Xu, G. P.</t>
  </si>
  <si>
    <t>NOV 26 2016</t>
  </si>
  <si>
    <t>10.1016/j.neucom.2016.01.113</t>
  </si>
  <si>
    <t>10.1049/iet-cvi.2015.0215</t>
  </si>
  <si>
    <t>Learning discriminative shape statistics distribution features for pedestrian detection</t>
  </si>
  <si>
    <t>Shen, Jifeng; Zuo, Xin; Yang, Wankou; Yu, Hualong; Liu, Guohai</t>
  </si>
  <si>
    <t>APR 5 2016</t>
  </si>
  <si>
    <t>10.1016/j.neucom.2015.08.107</t>
  </si>
  <si>
    <t>MAR 1 2016</t>
  </si>
  <si>
    <t>10.1016/j.patrec.2016.01.019</t>
  </si>
  <si>
    <t>22nd International Conference on Pattern Recognition (ICPR)</t>
  </si>
  <si>
    <t>AUG 24-28, 2014</t>
  </si>
  <si>
    <t>Fusing directional wavelet local binary pattern and moments for human action recognition</t>
  </si>
  <si>
    <t>Al-Berry, Maryam Nabil; Salem, Mohammed A. -M.; Ebeid, Hala Mousher; Hussein, Ashraf S.; Tolba, Mohammed F.</t>
  </si>
  <si>
    <t>10.1049/iet-cvi.2015.0087</t>
  </si>
  <si>
    <t>Detect2Rank: Combining Object Detectors Using Learning to Rank</t>
  </si>
  <si>
    <t>Karaoglu, Sezer; Liu, Yang; Gevers, Theo</t>
  </si>
  <si>
    <t>10.1109/TIP.2015.2499702</t>
  </si>
  <si>
    <t>Salient object detection via contrast information and object vision organization cues</t>
  </si>
  <si>
    <t>Qi, Shengxiang; Yu, Jin-Gang; Ma, Jie; Li, Yansheng; Tian, Jinwen</t>
  </si>
  <si>
    <t>10.1016/j.neucom.2015.04.055</t>
  </si>
  <si>
    <t>Improving skeletal shape abstraction using multiple optimal solutions</t>
  </si>
  <si>
    <t>Akimaliev, Marlen; Demirci, M. Fatih</t>
  </si>
  <si>
    <t>10.1016/j.patcog.2015.05.010</t>
  </si>
  <si>
    <t>Object detection based on scale-invariant partial shape matching</t>
  </si>
  <si>
    <t>Fan, Huijie; Cong, Yang; Tang, Yandong</t>
  </si>
  <si>
    <t>10.1007/s00138-015-0693-y</t>
  </si>
  <si>
    <t>Image receptive fields for artificial neural networks</t>
  </si>
  <si>
    <t>Buessler, Jean-Luc; Smagghe, Philippe; Urban, Jean-Philippe</t>
  </si>
  <si>
    <t>NOV 20 2014</t>
  </si>
  <si>
    <t>10.1016/j.neucom.2014.04.045</t>
  </si>
  <si>
    <t>Mixture of Merged Gaussian Algorithm using RTDENN</t>
  </si>
  <si>
    <t>Alvar, Manuel; Rodriguez-Calvo, Andrea; Sanchez-Miralles, Alvaro; Arranz, Alvaro</t>
  </si>
  <si>
    <t>10.1007/s00138-013-0550-9</t>
  </si>
  <si>
    <t>Data-Driven Hierarchical Structure Kernel for Multiscale Part-Based Object Recognition</t>
  </si>
  <si>
    <t>Wang, Botao; Xiong, Hongkai; Jiang, Xiaoqian; Zheng, Yuan F.</t>
  </si>
  <si>
    <t>10.1109/TIP.2014.2307480</t>
  </si>
  <si>
    <t>10.1016/j.patcog.2013.11.008</t>
  </si>
  <si>
    <t>Geostatistical Entropy for Texture Analysis: An Indicator Kriging Approach</t>
  </si>
  <si>
    <t>Pham, Tuan D.</t>
  </si>
  <si>
    <t>INTERNATIONAL JOURNAL OF INTELLIGENT SYSTEMS</t>
  </si>
  <si>
    <t>10.1002/int.21639</t>
  </si>
  <si>
    <t>Hierarchical Salient Point Selection for image retrieval</t>
  </si>
  <si>
    <t>Tsai, Yao Hong</t>
  </si>
  <si>
    <t>SEP 1 2012</t>
  </si>
  <si>
    <t>10.1016/j.patrec.2012.04.019</t>
  </si>
  <si>
    <t>Weighted principal component extraction with genetic algorithms</t>
  </si>
  <si>
    <t>Liu, Nan; Wang, Han</t>
  </si>
  <si>
    <t>10.1016/j.asoc.2011.08.030</t>
  </si>
  <si>
    <t>10.3233/AIS-2011-0113</t>
  </si>
  <si>
    <t>A system for 3D texture-based probabilistic object recognition and its applications</t>
  </si>
  <si>
    <t>Grzegorzek, Marcin</t>
  </si>
  <si>
    <t>10.1007/s10044-009-0163-0</t>
  </si>
  <si>
    <t>CNN Fixations: An Unraveling Approach to Visualize the Discriminative Image Regions</t>
  </si>
  <si>
    <t>Mopuri, Konda Reddy; Garg, Utsav; Babu, R. Venkatesh</t>
  </si>
  <si>
    <t>APR 2019</t>
  </si>
  <si>
    <t>10.1109/TIP.2018.2881920</t>
  </si>
  <si>
    <t>Mirror symmetry detection in curves represented by means of the Slope Chain Code</t>
  </si>
  <si>
    <t>Alvarado-Gonzalez, Montserrat; Aguilar, Wendy; Garduno, Edgar; Velarde, Carlos; Bribiesca, Ernesto; Medina-Banuelos, Veronica</t>
  </si>
  <si>
    <t>MAR 2019</t>
  </si>
  <si>
    <t>10.1016/j.patcog.2018.10.002</t>
  </si>
  <si>
    <t>10.1016/j.inffus.2018.06.005</t>
  </si>
  <si>
    <t>Target heat-map network: An end-to-end deep network for target detection in remote sensing images</t>
  </si>
  <si>
    <t>Chen, Huai; Zhang, Libao; Ma, Jie; Zhang, Jue</t>
  </si>
  <si>
    <t>FEB 28 2019</t>
  </si>
  <si>
    <t>10.1016/j.neucom.2018.11.044</t>
  </si>
  <si>
    <t>FEB 22 2019</t>
  </si>
  <si>
    <t>10.1016/j.neucom.2018.11.048</t>
  </si>
  <si>
    <t>Deep convolutional extreme learning machines: Filters combination and error model validation</t>
  </si>
  <si>
    <t>dos Santos, Michel M.; da Silva Filho, Abel G.; dos Santos, Wellington R.</t>
  </si>
  <si>
    <t>FEB 15 2019</t>
  </si>
  <si>
    <t>10.1016/j.neucom.2018.10.063</t>
  </si>
  <si>
    <t>Multi-modal fusion network with multi-scale multi-path and cross-modal interactions for RGB-D salient object detection</t>
  </si>
  <si>
    <t>Chen, Hao; Li, Youfu; Su, Dan</t>
  </si>
  <si>
    <t>FEB 2019</t>
  </si>
  <si>
    <t>10.1016/j.patcog.2018.08.007</t>
  </si>
  <si>
    <t>Hybrid direct combination color constancy algorithm using ensemble of classifier</t>
  </si>
  <si>
    <t>Subhashdas, Shibudas Kattakkalil; Ha, Yeong-Ho; Choi, Doo-Hyun</t>
  </si>
  <si>
    <t>10.1016/j.eswa.2018.06.038</t>
  </si>
  <si>
    <t>Moving Object Detection in Complex Scene Using Spatiotemporal Structured-Sparse RPCA</t>
  </si>
  <si>
    <t>Javed, Sajid; Mahmood, Arif; Al-Maadeed, Somaya; Bouwmans, Thierry; Jung, Soon Ki</t>
  </si>
  <si>
    <t>10.1109/TIP.2018.2874289</t>
  </si>
  <si>
    <t>Kernel Distance Metric Learning Using Pairwise Constraints for Person Re-Identification</t>
  </si>
  <si>
    <t>Nguyen, Bac; De Baets, Bernard</t>
  </si>
  <si>
    <t>10.1109/TIP.2018.2870941</t>
  </si>
  <si>
    <t>Graph model-based salient object detection using objectness and multiple saliency cues</t>
  </si>
  <si>
    <t>Ji, Yuzhu; Zhang, Haijun; Tseng, Kuo-Kun; Chow, Tommy W. S.; Wu, Q. M. Jonathan</t>
  </si>
  <si>
    <t>JAN 5 2019</t>
  </si>
  <si>
    <t>10.1016/j.neucom.2018.09.081</t>
  </si>
  <si>
    <t>Salient object detection based on an efficient End-to-End Saliency Regression Network</t>
  </si>
  <si>
    <t>Xi, Xuanyang; Luo, Yongkang; Wang, Peng; Qiao, Hong</t>
  </si>
  <si>
    <t>10.1016/j.neucom.2018.10.002</t>
  </si>
  <si>
    <t>JAN 2019</t>
  </si>
  <si>
    <t>10.1016/j.eswa.2018.08.014</t>
  </si>
  <si>
    <t>Exploiting Color Volume and Color Difference for Salient Region Detection</t>
  </si>
  <si>
    <t>Liu, Guang-Hai; Yang, Jing-Yu</t>
  </si>
  <si>
    <t>10.1109/TIP.2018.2847422</t>
  </si>
  <si>
    <t>Fine-tuning Convolutional Neural Networks for fine art classification</t>
  </si>
  <si>
    <t>Cetinic, Eva; Lipic, Tomislav; Grgic, Sonja</t>
  </si>
  <si>
    <t>DEC 30 2018</t>
  </si>
  <si>
    <t>10.1016/j.eswa.2018.07.026</t>
  </si>
  <si>
    <t>AlphaMEX: A smarter global pooling method for convolutional neural networks</t>
  </si>
  <si>
    <t>Zhang, Boxue; Zhao, Qi; Feng, Wenquan; Lyu, Shuchang</t>
  </si>
  <si>
    <t>DEC 10 2018</t>
  </si>
  <si>
    <t>10.1016/j.neucom.2018.07.079</t>
  </si>
  <si>
    <t>Secure Computer Network: Strategies and Challengers in Big Data Era</t>
  </si>
  <si>
    <t>Barrionuevo, Mercedes; Lopresti, Mariela; Miranda, Natalia; Piccoli, Fabiana</t>
  </si>
  <si>
    <t>JOURNAL OF COMPUTER SCIENCE &amp; TECHNOLOGY</t>
  </si>
  <si>
    <t>DEC 2018</t>
  </si>
  <si>
    <t>10.24215/16666038.18.e28</t>
  </si>
  <si>
    <t>Mammographic mass classification using filter response patches</t>
  </si>
  <si>
    <t>Suhail, Zobia; Hamidinekoo, Azam; Zwiggelaar, Reyer</t>
  </si>
  <si>
    <t>10.1049/iet-cvi.2018.5244</t>
  </si>
  <si>
    <t>Automated skin lesion segmentation of dermoscopic images using GrabCut and k-means algorithms</t>
  </si>
  <si>
    <t>Jaisakthi, Seetharani Murugaiyan; Mirunalini, Palaniappan; Aravindan, Chandrabose</t>
  </si>
  <si>
    <t>10.1049/iet-cvi.2018.5289</t>
  </si>
  <si>
    <t>Fine-grained recognition of maritime vessels and land vehicles by deep feature embedding</t>
  </si>
  <si>
    <t>Solmaz, Berkan; Gundogdu, Erhan; Yucesoy, Veysel; Koc, Aykut; Alatan, Abdullah Aydin</t>
  </si>
  <si>
    <t>10.1049/iet-cvi.2018.5187</t>
  </si>
  <si>
    <t>Hierarchical CNN-based real-time fatigue detection system by visual-based technologies using MSP model</t>
  </si>
  <si>
    <t>Gu, Wang Huan; Zhu, Yu; Chen, Xu Dong; He, Lin Fei; Zheng, Bing Bing</t>
  </si>
  <si>
    <t>10.1049/iet-ipr.2018.5245</t>
  </si>
  <si>
    <t>10.1016/j.cogsys.2018.09.022</t>
  </si>
  <si>
    <t>Hexagonal Grid based triangulated feature descriptor for shape retrieval</t>
  </si>
  <si>
    <t>Govindaraj, P.; Sudhakar, M. S.</t>
  </si>
  <si>
    <t>DEC 1 2018</t>
  </si>
  <si>
    <t>10.1016/j.patrec.2018.10.004</t>
  </si>
  <si>
    <t>Semantic scene completion with dense CRF from a single depth image</t>
  </si>
  <si>
    <t>Zhang, Liang; Wang, Le; Zhang, Xiangdong; Shen, Peiyi; Bennamoun, Mohammed; Zhu, Guangming; Shah, Syed Afaq Ali; Song, Juan</t>
  </si>
  <si>
    <t>NOV 27 2018</t>
  </si>
  <si>
    <t>10.1016/j.neucom.2018.08.052</t>
  </si>
  <si>
    <t>Saliency detection via a multi-layer graph based diffusion model</t>
  </si>
  <si>
    <t>Jiang, Bo; He, Zhouqin; Ding, Chris; Luo, Bin</t>
  </si>
  <si>
    <t>NOV 7 2018</t>
  </si>
  <si>
    <t>10.1016/j.neucom.2018.06.064</t>
  </si>
  <si>
    <t>NOV 2018</t>
  </si>
  <si>
    <t>10.1049/iet-ipr.2018.5631</t>
  </si>
  <si>
    <t>CNN-based features for retrieval and classification of food images</t>
  </si>
  <si>
    <t>Ciocca, Gianluigi; Napoletano, Paolo; Schettini, Raimondo</t>
  </si>
  <si>
    <t>NOV-DEC 2018</t>
  </si>
  <si>
    <t>10.1016/j.cviu.2018.09.001</t>
  </si>
  <si>
    <t>Review: Human Detection in Intelligent Video Surveillance: A Review</t>
  </si>
  <si>
    <t>Hou, Li; Liu, Qi; Chen, Zhenhai; Xu, Jun</t>
  </si>
  <si>
    <t>10.20965/jaciii.2018.p1056</t>
  </si>
  <si>
    <t>10.1016/j.imavis.2018.09.013</t>
  </si>
  <si>
    <t>Cross-Entropy Pruning for Compressing Convolutional Neural Networks</t>
  </si>
  <si>
    <t>Bao, Rongxin; Yuan, Xu; Chen, Zhikui; Ma, Ruixin</t>
  </si>
  <si>
    <t>10.1162/neco_a_01131</t>
  </si>
  <si>
    <t>Pattern matching for industrial object recognition using geometry-based vector mapping descriptors</t>
  </si>
  <si>
    <t>You, Oung Tak; Pae, Dong Sung; Kim, Sung Hee; Kim, Kyeong Eun; Lim, Myo Taeg; Kang, Tae Koo</t>
  </si>
  <si>
    <t>10.1007/s10044-018-0738-8</t>
  </si>
  <si>
    <t>OCT 27 2018</t>
  </si>
  <si>
    <t>10.1016/j.neucom.2018.05.083</t>
  </si>
  <si>
    <t>Evolutionary multi-objective optimization based ensemble autoencoders for image outlier detection</t>
  </si>
  <si>
    <t>Chen, Zhaomin; Yeo, Chai Kiat; Lee, Bu Sung; Lau, Chiew Tong; Jin, Yaochu</t>
  </si>
  <si>
    <t>OCT 2 2018</t>
  </si>
  <si>
    <t>10.1016/j.neucom.2018.05.012</t>
  </si>
  <si>
    <t>CIT: Integrated cognitive computing and cognitive agent technologies based cognitive architecture for human-like functionality in artificial systems</t>
  </si>
  <si>
    <t>Chandiok, A.; Chaturvedi, D. K.</t>
  </si>
  <si>
    <t>BIOLOGICALLY INSPIRED COGNITIVE ARCHITECTURES</t>
  </si>
  <si>
    <t>OCT 2018</t>
  </si>
  <si>
    <t>10.1016/j.bica.2018.07.020</t>
  </si>
  <si>
    <t>Salient object detection based on compactness and foreground connectivity</t>
  </si>
  <si>
    <t>Wang, Yanzhao; Peng, Guohua</t>
  </si>
  <si>
    <t>10.1007/s00138-018-0958-3</t>
  </si>
  <si>
    <t>Object recognition in clutter color images using Hierarchical Temporal Memory combined with salient-region detection</t>
  </si>
  <si>
    <t>Skoviera, Radoslav; Bajla, Ivan; Skovierova, Julia</t>
  </si>
  <si>
    <t>SEP 13 2018</t>
  </si>
  <si>
    <t>10.1016/j.neucom.2018.04.030</t>
  </si>
  <si>
    <t>CuDi3D: Curvilinear displacement based approach for online 3D action detection</t>
  </si>
  <si>
    <t>Boulahia, Said Yacine; Anquetil, Eric; Multon, Franck; Kulpa, Richard</t>
  </si>
  <si>
    <t>SEP 2018</t>
  </si>
  <si>
    <t>10.1016/j.cviu.2018.07.003</t>
  </si>
  <si>
    <t>Plane detection in 3D point cloud using octree-balanced density down-sampling and iterative adaptive plane extraction</t>
  </si>
  <si>
    <t>El-Sayed, Emad; Abdel-Kader, Rehab F.; Nashaat, Heba; Marei, Mahmoud</t>
  </si>
  <si>
    <t>10.1049/iet-ipr.2017.1076</t>
  </si>
  <si>
    <t>Background subtraction using Gaussian-Bernoulli restricted Boltzmann machine</t>
  </si>
  <si>
    <t>Sheri, Ahmad Muqeem; Rafique, Muhammad Aasim; Jeon, Moongu; Pedrycz, Witold</t>
  </si>
  <si>
    <t>10.1049/iet-ipr.2017.1055</t>
  </si>
  <si>
    <t>Deriving scale normalisation factors for a GLoG detector</t>
  </si>
  <si>
    <t>Khan, Mohammad A. U.; Khan, Tariq M.; Bailey, Donald G.; Kittaneh, Omar</t>
  </si>
  <si>
    <t>10.1049/iet-ipr.2017.0493</t>
  </si>
  <si>
    <t>SEP 1 2018</t>
  </si>
  <si>
    <t>10.1016/j.patrec.2018.07.035</t>
  </si>
  <si>
    <t>Augmented Reality Meets Computer Vision: Efficient Data Generation for Urban Driving Scenes</t>
  </si>
  <si>
    <t>Abu Alhaija, Hassan; Mustikovela, Siva Karthik; Mescheder, Lars; Geiger, Andreas; Rother, Carsten</t>
  </si>
  <si>
    <t>10.1007/s11263-018-1070-x</t>
  </si>
  <si>
    <t>Moving shadow detection based on stationary wavelet transform and Zernike moments</t>
  </si>
  <si>
    <t>Nagarathinam, Kavitha; Kathavarayan, Ruba Soundar</t>
  </si>
  <si>
    <t>10.1049/iet-cvi.2017.0273</t>
  </si>
  <si>
    <t>Combining 2D and 3D features to improve road detection based on stereo cameras</t>
  </si>
  <si>
    <t>Cai, Guorong; Su, Songzhi; He, Wenli; Wu, Yundong; Li, Shaozi</t>
  </si>
  <si>
    <t>10.1049/iet-cvi.2017.0266</t>
  </si>
  <si>
    <t>Multi-label semantic concept detection in videos using fusion of asymmetrically trained deep convolutional neural networks and foreground driven concept co-occurrence matrix</t>
  </si>
  <si>
    <t>Janwe, Nitin J.; Bhoyar, Kishor K.</t>
  </si>
  <si>
    <t>AUG 2018</t>
  </si>
  <si>
    <t>10.1007/s10489-017-1033-x</t>
  </si>
  <si>
    <t>JUL-SEP 2018</t>
  </si>
  <si>
    <t>10.1109/TAFFC.2017.2753235</t>
  </si>
  <si>
    <t>Semantic Object Segmentation in Tagged Videos via Detection</t>
  </si>
  <si>
    <t>Zhang, Yu; Chen, Xiaowu; Li, Jia; Wang, Chen; Xia, Changqun; Li, Jun</t>
  </si>
  <si>
    <t>10.1109/TPAMI.2017.2727049</t>
  </si>
  <si>
    <t>Joint Denoising/Compression of Image Contours via Shape Prior and Context Tree</t>
  </si>
  <si>
    <t>Zheng, Amin; Cheung, Gene; Florencio, Dinei</t>
  </si>
  <si>
    <t>10.1109/TIP.2018.2816818</t>
  </si>
  <si>
    <t>Action recognition using fast HOG3D of integral videos and Smith-Waterman partial matching</t>
  </si>
  <si>
    <t>El-Henawy, Ibrahim; Ahmed, Kareem; Mahmoud, Hamdi</t>
  </si>
  <si>
    <t>JUN 2018</t>
  </si>
  <si>
    <t>10.1049/iet-ipr.2016.0627</t>
  </si>
  <si>
    <t>Automated method for the detection and segmentation of drusen in colour fundus image for the diagnosis of age-related macular degeneration</t>
  </si>
  <si>
    <t>Mohaimin, Sultan Mohammad; Saha, Sajib Kumar; Khan, Alve Mahamud; Arif, Abu Shamim Mohammad; Kanagasingam, Yogesan</t>
  </si>
  <si>
    <t>10.1049/iet-ipr.2017.0685</t>
  </si>
  <si>
    <t>10.1007/s00521-016-2639-3</t>
  </si>
  <si>
    <t>Study and classification of plum varieties using image analysis and deep learning techniques</t>
  </si>
  <si>
    <t>Rodriguez, Francisco J.; Garcia, Antonio; Pardo, Pedro J.; Chavez, Francisco; Luque-Baena, Rafael M.</t>
  </si>
  <si>
    <t>PROGRESS IN ARTIFICIAL INTELLIGENCE</t>
  </si>
  <si>
    <t>10.1007/s13748-017-0137-1</t>
  </si>
  <si>
    <t>Deep Action Parsing in Videos With Large-Scale Synthesized Data</t>
  </si>
  <si>
    <t>Liu, Li; Zhou, Yi; Shao, Ling</t>
  </si>
  <si>
    <t>10.1109/TIP.2018.2813530</t>
  </si>
  <si>
    <t>Discriminative parts learning for 3D human action recognition</t>
  </si>
  <si>
    <t>Huang, Min; Cai, Guo-Rong; Zhang, Hong-Bo; Yu, Sheng; Gong, Dong-Ying; Cao, Dong-Lin; Li, Shaozi; Su, Song-Zhi</t>
  </si>
  <si>
    <t>MAY 24 2018</t>
  </si>
  <si>
    <t>10.1016/j.neucom.2018.02.056</t>
  </si>
  <si>
    <t>Anomalous behaviour detection based on heterogeneous data and data fusion</t>
  </si>
  <si>
    <t>Ali, Azliza Mohd; Angelov, Plamen</t>
  </si>
  <si>
    <t>MAY 2018</t>
  </si>
  <si>
    <t>10.1007/s00500-017-2989-5</t>
  </si>
  <si>
    <t>10.1049/iet-ipr.2017.0872</t>
  </si>
  <si>
    <t>Manifold constraint transfer for visual structure-driven optimization</t>
  </si>
  <si>
    <t>Zhang, Baochang; Perina, Alessandro; Li, Ce; Ye, Qixiang; Murino, Vittorio; Del Bue, Alessio</t>
  </si>
  <si>
    <t>10.1016/j.patcog.2017.11.006</t>
  </si>
  <si>
    <t>Using mel-frequency audio features from footstep sound and spatial segmentation techniques to improve frame-based moving object detection</t>
  </si>
  <si>
    <t>Roshan, Aditya; Zhang, Yun</t>
  </si>
  <si>
    <t>10.1049/iet-cvi.2017.0209</t>
  </si>
  <si>
    <t>Al-Thocb HSC: a harmony search algorithm for automated calibration of industrial equipment</t>
  </si>
  <si>
    <t>Willaume, Pierre; Parrend, Pierre; Gancel, Etienne; Deruyver, Aline</t>
  </si>
  <si>
    <t>10.1007/s00138-018-0909-z</t>
  </si>
  <si>
    <t>BRoPH: An efficient and compact binary descriptor for 3D point clouds</t>
  </si>
  <si>
    <t>Zou, Yu; Wang, Xueqian; Zhang, Tao; Liang, Bin; Song, Jingyan; Liu, Houde</t>
  </si>
  <si>
    <t>10.1016/j.patcog.2017.11.029</t>
  </si>
  <si>
    <t>Rapid Human Finding with Motion Segmentation for Mobile Robot</t>
  </si>
  <si>
    <t>Gao, Yutong; Lei, Weimin; Xie, Xie; Fu, Yue; Zhang, Lu</t>
  </si>
  <si>
    <t>10.1142/S0218001418550042</t>
  </si>
  <si>
    <t>Object Discovery via Cohesion Measurement</t>
  </si>
  <si>
    <t>Guo, Guanjun; Wang, Hanzi; Zhao, Wan-Lei; Yan, Yan; Li, Xuelong</t>
  </si>
  <si>
    <t>MAR 2018</t>
  </si>
  <si>
    <t>10.1109/TCYB.2017.2661995</t>
  </si>
  <si>
    <t>Feature point matching based on ABC-NCC algorithm</t>
  </si>
  <si>
    <t>Banharnsakun, Anan</t>
  </si>
  <si>
    <t>EVOLVING SYSTEMS</t>
  </si>
  <si>
    <t>10.1007/s12530-017-9183-y</t>
  </si>
  <si>
    <t>A real-time, power-efficient architecture for mean-shift image segmentation</t>
  </si>
  <si>
    <t>Craciun, Stefan; Kirchgessner, Robert; George, Alan D.; Lam, Herman; Principe, Jose C.</t>
  </si>
  <si>
    <t>10.1007/s11554-014-0459-1</t>
  </si>
  <si>
    <t>A study on topological descriptors for the analysis of 3D surface texture</t>
  </si>
  <si>
    <t>Zeppelzauer, Matthias; Zielinski, Bartosz; Juda, Mateusz; Seidl, Markus</t>
  </si>
  <si>
    <t>10.1016/j.cviu.2017.10.012</t>
  </si>
  <si>
    <t>Egocentric Temporal Action Proposals</t>
  </si>
  <si>
    <t>Huang, Shao; Wang, Weiqiang; He, Shengfeng; Lau, Rynson W. H.</t>
  </si>
  <si>
    <t>10.1109/TIP.2017.2772904</t>
  </si>
  <si>
    <t>Object Localization on Natural Scenes: A Survey</t>
  </si>
  <si>
    <t>Choudhuri, Sandipan; Das, Nibaran; Sarkhel, Ritesh; Nasipuri, Mita</t>
  </si>
  <si>
    <t>10.1142/S0218001418550017</t>
  </si>
  <si>
    <t>Transferring deep knowledge for object recognition in Low-quality underwater videos</t>
  </si>
  <si>
    <t>Sun, Xin; Shi, Junyu; Liu, Lipeng; Dong, Junyu; Plant, Claudia; Wang, Xinhua; Zhou, Huiyu</t>
  </si>
  <si>
    <t>JAN 31 2018</t>
  </si>
  <si>
    <t>10.1016/j.neucom.2017.09.044</t>
  </si>
  <si>
    <t>Object segmentation using FCNs trained on synthetic images</t>
  </si>
  <si>
    <t>Yang, Bowen; Liu, Ji; Liang, Xiaosheng</t>
  </si>
  <si>
    <t>JOURNAL OF INTELLIGENT &amp; FUZZY SYSTEMS</t>
  </si>
  <si>
    <t>10.3233/JIFS-171675</t>
  </si>
  <si>
    <t>All-Weather Road Image Enhancement using Multicolor Content-Aware Color Constancy</t>
  </si>
  <si>
    <t>Lee, Dongah; Kim, Taehung; Byun, Hyeran; Choi, Yeongwoo</t>
  </si>
  <si>
    <t>ADVANCES IN ELECTRICAL AND COMPUTER ENGINEERING</t>
  </si>
  <si>
    <t>10.4316/AECE.2018.03010</t>
  </si>
  <si>
    <t>An adaptive fault diagnosis approach using pipeline implementation for railway inspection</t>
  </si>
  <si>
    <t>Santur, Yunus; Karakose, Mehmet; Akin, Erhan</t>
  </si>
  <si>
    <t>TURKISH JOURNAL OF ELECTRICAL ENGINEERING AND COMPUTER SCIENCES</t>
  </si>
  <si>
    <t>10.3906/elk-1704-214</t>
  </si>
  <si>
    <t>Real-time Multiresolution Crosswalk Detection with Walk Light Recognition for the Blind</t>
  </si>
  <si>
    <t>Romic, Kresimir; Galic, Irena; Leventic, Hrvoje; Nenadic, Kresimir</t>
  </si>
  <si>
    <t>10.4316/AECE.2018.01002</t>
  </si>
  <si>
    <t>Attentive Systems: A Survey</t>
  </si>
  <si>
    <t>Nguyen, Tam V.; Zhao, Qi; Yan, Shuicheng</t>
  </si>
  <si>
    <t>10.1007/s11263-017-1042-6</t>
  </si>
  <si>
    <t>Natural image illuminant estimation via deep non-negative matrix factorisation</t>
  </si>
  <si>
    <t>Liu, Xiaopeng; Zhong, Guoqiang; Dong, Junyu</t>
  </si>
  <si>
    <t>10.1049/iet-ipr.2016.1058</t>
  </si>
  <si>
    <t>10.1049/iet-ipr.2016.0044</t>
  </si>
  <si>
    <t>Novel hybrid object-based non-parametric clustering approach for grouping similar objects in specific visual domains</t>
  </si>
  <si>
    <t>Kuru, Kaya; Khan, Wasiq</t>
  </si>
  <si>
    <t>10.1016/j.asoc.2017.11.007</t>
  </si>
  <si>
    <t>Training my car to see using virtual worlds</t>
  </si>
  <si>
    <t>Lopez, Antonio M.; Villalonga, Gabriel; Sellart, Laura; Ros, German; Vazquez, David; Xu, Jiaolong; Marin, Javier; Mozafari, Azadeh</t>
  </si>
  <si>
    <t>10.1016/j.imavis.2017.07.007</t>
  </si>
  <si>
    <t>Learning and surface boundary feedbacks for colour natural scene perception</t>
  </si>
  <si>
    <t>Diaz-Pernas, Francisco J.; Martinez-Zarzuela, Mario; Anton-Rodriguez, Miriam; Gonzalez-Ortega, David</t>
  </si>
  <si>
    <t>10.1016/j.asoc.2017.07.055</t>
  </si>
  <si>
    <t>NOV 30 2017</t>
  </si>
  <si>
    <t>10.1016/j.eswa.2017.05.067</t>
  </si>
  <si>
    <t>Semantic Interpretation of Multi-Modal Human-Behaviour Data Making Sense of Events, Activities, Processes</t>
  </si>
  <si>
    <t>Bhatt, Mehul; Kersting, Kristian</t>
  </si>
  <si>
    <t>KUNSTLICHE INTELLIGENZ</t>
  </si>
  <si>
    <t>NOV 2017</t>
  </si>
  <si>
    <t>10.1007/s13218-017-0511-y</t>
  </si>
  <si>
    <t>A new descriptor for image matching based on bionic principles</t>
  </si>
  <si>
    <t>Fausto, Fernando; Cuevas, Erik; Gonzales, Adrian</t>
  </si>
  <si>
    <t>10.1007/s10044-017-0605-z</t>
  </si>
  <si>
    <t>A Wearable Device for Fast and Subtle Spontaneous Smile Recognition</t>
  </si>
  <si>
    <t>Perusquia-Hernandez, Monica; Hirokawa, Mazakasu; Suzuki, Kenji</t>
  </si>
  <si>
    <t>OCT-DEC 2017</t>
  </si>
  <si>
    <t>10.1109/TAFFC.2017.2755040</t>
  </si>
  <si>
    <t>Context-based abnormal object detection using the fully-connected conditional random fields</t>
  </si>
  <si>
    <t>Oh, Jongsuk; Kim, Hong-In; Park, Rae-Hong</t>
  </si>
  <si>
    <t>10.1016/j.patrec.2017.08.003</t>
  </si>
  <si>
    <t>Noisy-free Length Discriminant Analysis with cosine hyperbolic framework for dimensionality reduction</t>
  </si>
  <si>
    <t>Murthy, K. Ramachandra; Ghosh, Ashish</t>
  </si>
  <si>
    <t>SEP 15 2017</t>
  </si>
  <si>
    <t>10.1016/j.eswa.2017.03.034</t>
  </si>
  <si>
    <t>Context-based object viewpoint estimation: A 2D relational approach</t>
  </si>
  <si>
    <t>Oramas, Jose M.; De Raedt, Luc; Tuytelaars, Tinne</t>
  </si>
  <si>
    <t>10.1016/j.cviu.2017.04.005</t>
  </si>
  <si>
    <t>The S-HOCK dataset: A new benchmark for spectator crowd analysis</t>
  </si>
  <si>
    <t>Setti, Francesco; Conigliaro, Davide; Rota, Paolo; Bassetti, Chiara; Conci, Nicola; Sebe, Nicu; Cristani, Marco</t>
  </si>
  <si>
    <t>10.1016/j.cviu.2017.01.003</t>
  </si>
  <si>
    <t>COnfusion REduction (CORE) algorithm for local descriptors, floating-point and binary cases</t>
  </si>
  <si>
    <t>Royer, Emilien; Lelore, Thibault; Bouchara, Frederic</t>
  </si>
  <si>
    <t>10.1016/j.cviu.2017.01.005</t>
  </si>
  <si>
    <t>Salient object detection with high-level prior based on Bayesian fusion</t>
  </si>
  <si>
    <t>Wang, Anzhi; Wang, Minghui; Pan, Gang; Yuan, Xiaoyan</t>
  </si>
  <si>
    <t>10.1049/iet-cvi.2016.0263</t>
  </si>
  <si>
    <t>Complete three-phase detection framework for identifying abnormal cervical cells</t>
  </si>
  <si>
    <t>Zhao, Lili; Li, Kuan; Yin, Jianping; Liu, Qiang; Wang, Siqi</t>
  </si>
  <si>
    <t>10.1049/iet-ipr.2016.0788</t>
  </si>
  <si>
    <t>Hybrid multi-GPU computing: accelerated kernels for segmentation and object detection with medical image processing applications</t>
  </si>
  <si>
    <t>Graca, Carlos; Falcao, Gabriel; Figueiredo, Isabel N.; Kumar, Sunil</t>
  </si>
  <si>
    <t>10.1007/s11554-015-0517-3</t>
  </si>
  <si>
    <t>Object co-segmentation via weakly supervised data fusion</t>
  </si>
  <si>
    <t>Wang, Shiping; Zhang, Handuo; Wang, Han</t>
  </si>
  <si>
    <t>10.1016/j.cviu.2016.11.004</t>
  </si>
  <si>
    <t>Dual soft assignment clustering algorithm for human action video clustering</t>
  </si>
  <si>
    <t>Kim, Minyoung</t>
  </si>
  <si>
    <t>10.1016/j.cviu.2016.12.006</t>
  </si>
  <si>
    <t>NOVEL APPROACH FOR DETECTION AND REMOVAL OF MOVING CAST SHADOWS BASED ON RGB, HSV AND YUV COLOR SPACES</t>
  </si>
  <si>
    <t>Farou, Brahim; Rouabhia, Houssam; Seridi, Hamid; Akdag, Herman</t>
  </si>
  <si>
    <t>COMPUTING AND INFORMATICS</t>
  </si>
  <si>
    <t>10.4149/cai_2017_4_837</t>
  </si>
  <si>
    <t>Salient object detection with low-rank approximation and l(2,1)-norm minimization</t>
  </si>
  <si>
    <t>Wang, Shiping; Huang, Aiping</t>
  </si>
  <si>
    <t>10.1016/j.imavis.2016.10.008</t>
  </si>
  <si>
    <t>10.1109/TCYB.2015.2495157</t>
  </si>
  <si>
    <t>Can computer vision problems benefit from structured hierarchical classification?</t>
  </si>
  <si>
    <t>Hoyoux, Thomas; Rodriguez-Sanchez, Antonio J.; Piater, Justus H.</t>
  </si>
  <si>
    <t>10.1007/s00138-016-0763-9</t>
  </si>
  <si>
    <t>16th International Conference on Computer Analysis of Images and Patterns (CAIP)</t>
  </si>
  <si>
    <t>SEP 02-04, 2015</t>
  </si>
  <si>
    <t>Objectness ranking by uniform Bayesian model with multimodal and global cues</t>
  </si>
  <si>
    <t>Zhang, Jianhua; Xie, Zhen; Xiao, Junhao; Chen, Shengyong; Zhang, Jianwei</t>
  </si>
  <si>
    <t>10.1049/iet-cvi.2015.0276</t>
  </si>
  <si>
    <t>A game-theoretic approach to sub-vertex registration</t>
  </si>
  <si>
    <t>Wang, Rong; Geng, Zheng; Cao, Xuan; Pei, Renjing; Meng, Xiangbing</t>
  </si>
  <si>
    <t>SEP 1 2016</t>
  </si>
  <si>
    <t>10.1016/j.patrec.2016.06.007</t>
  </si>
  <si>
    <t>A High Invariance Motion Representation for Skeleton-Based Action Recognition</t>
  </si>
  <si>
    <t>Guo, Songrui; Pan, Huawei; Tan, Guanghua; Chen, Lin; Gao, Chunming</t>
  </si>
  <si>
    <t>10.1142/S021800141650018X</t>
  </si>
  <si>
    <t>Incorporating higher-order point distribution model priors into MRFs using convex quadratic programming</t>
  </si>
  <si>
    <t>Arashloo, Shervin Rahimzadeh</t>
  </si>
  <si>
    <t>10.1007/s00138-016-0774-6</t>
  </si>
  <si>
    <t>VISION CONTROL OF 5-DOF MANIPULATOR FOR INDUSTRIAL APPLICATION</t>
  </si>
  <si>
    <t>Solyman, Ahmed; Roman, Magdy; Keshk, Afifi; Sharshar, Karam</t>
  </si>
  <si>
    <t>Computing force field-based directional maps in subquadratic time</t>
  </si>
  <si>
    <t>Gondra, Iker; Cabria, Ivan</t>
  </si>
  <si>
    <t>KNOWLEDGE-BASED SYSTEMS</t>
  </si>
  <si>
    <t>10.1016/j.knosys.2015.12.003</t>
  </si>
  <si>
    <t>Globally consistent correspondence of multiple feature sets using proximal Gauss-Seidel relaxation</t>
  </si>
  <si>
    <t>Yu, Jin-Gang; Xia, Gui-Song; Samal, Ashok; Tian, Jinwen</t>
  </si>
  <si>
    <t>10.1016/j.patcog.2015.09.029</t>
  </si>
  <si>
    <t>Edge detection for pattern recognition: a survey</t>
  </si>
  <si>
    <t>James, Alex Pappachen</t>
  </si>
  <si>
    <t>INTERNATIONAL JOURNAL OF APPLIED PATTERN RECOGNITION</t>
  </si>
  <si>
    <t>10.1504/IJAPR.2016.076980</t>
  </si>
  <si>
    <t>Hardware implementation of a scale and rotation invariant object detection algorithm on FPGA for real-time applications</t>
  </si>
  <si>
    <t>Peker, Murat; Altun, Halis; Karakaya, Fuat</t>
  </si>
  <si>
    <t>10.3906/elk-1408-187</t>
  </si>
  <si>
    <t>Human Action Recognition: Learning Sparse Basis Units from Trajectory Subspace</t>
  </si>
  <si>
    <t>Moayedi, Fatemeh; Azimifar, Zohreh; Boostani, Reza</t>
  </si>
  <si>
    <t>APPLIED ARTIFICIAL INTELLIGENCE</t>
  </si>
  <si>
    <t>10.1080/08839514.2016.1169094</t>
  </si>
  <si>
    <t>10.1049/iet-cvi.2015.0309</t>
  </si>
  <si>
    <t>Moving visual focus in salient object segmentation</t>
  </si>
  <si>
    <t>Chen, Zhi-Hua; Liu, Yi; Xiao, Xiao-Long; Ying, Fang-Li; Zhang, Jing; Yuan, Yu-Bo</t>
  </si>
  <si>
    <t>10.1049/iet-ipr.2014.0987</t>
  </si>
  <si>
    <t>Variable Precision Fuzzy Hit-or-Miss Transformation Models to Object Identification in Grey-Scale Images</t>
  </si>
  <si>
    <t>Xie, Wei; Deng, Tingquan; Li, Qiang; Ma, Minghua</t>
  </si>
  <si>
    <t>10.1007/s10851-014-0552-x</t>
  </si>
  <si>
    <t>Discriminative autoencoder for detection and recognition of vehicle in aerial imagery</t>
  </si>
  <si>
    <t>Razakarivony, Sebastien; Jurie, Frederic</t>
  </si>
  <si>
    <t>TRAITEMENT DU SIGNAL</t>
  </si>
  <si>
    <t>APR-SEP 2015</t>
  </si>
  <si>
    <t>10.3166/TS.32.245-264</t>
  </si>
  <si>
    <t>Object Detection for Robotic Applications Using Perceptual Organization in 3D</t>
  </si>
  <si>
    <t>Richtsfeld, Andreas; Zillich, Michael; Vincze, Markus</t>
  </si>
  <si>
    <t>10.1007/s13218-014-0339-7</t>
  </si>
  <si>
    <t>Scale-invariant contour segment context in object detection</t>
  </si>
  <si>
    <t>Xiao, Jinwen; Wei, Hui</t>
  </si>
  <si>
    <t>10.1016/j.imavis.2014.08.013</t>
  </si>
  <si>
    <t>ENCODING STRUCTURAL SIMILARITY BY CROSS-COVARIANCE TENSORS FOR IMAGE CLASSIFICATION</t>
  </si>
  <si>
    <t>San Biagio, Marco; Martelli, Samuele; Crocco, Marco; Cristani, Marco; Murino, Vittorio</t>
  </si>
  <si>
    <t>10.1142/SO218001414600088</t>
  </si>
  <si>
    <t>Tower of Knowledge for scene interpretation: A survey</t>
  </si>
  <si>
    <t>Xu, Mai; Wang, Zulin; Petrou, Maria</t>
  </si>
  <si>
    <t>10.1016/j.patrec.2014.02.009</t>
  </si>
  <si>
    <t>Matching and Perturbation Theories for Affine-Invariant Shapes Using QR Factorization with Column Pivoting</t>
  </si>
  <si>
    <t>Wang, Zhaozhong; Yu, Yuanyuan</t>
  </si>
  <si>
    <t>10.1007/s10851-014-0493-4</t>
  </si>
  <si>
    <t>Sparse geometric features for visual detection and estimation</t>
  </si>
  <si>
    <t>Han, Hong; Gou, Jingxiang</t>
  </si>
  <si>
    <t>10.1016/j.neucom.2012.08.060</t>
  </si>
  <si>
    <t>Fuzzy Associative Databases for Visual Recognition of 2D and 3D Objects</t>
  </si>
  <si>
    <t>Mavrinac, Aaron; Chen, Xiang; Shawky, Ahmad</t>
  </si>
  <si>
    <t>INTERNATIONAL JOURNAL OF FUZZY SYSTEMS</t>
  </si>
  <si>
    <t>HUMAN ACTION RECOGNITION USING MONOTONIC TRIANGULAR CONTEXT BASED SHAPE FEATURES</t>
  </si>
  <si>
    <t>Gomathi, V.; Ramar, K.</t>
  </si>
  <si>
    <t>5B</t>
  </si>
  <si>
    <t>6th international Symposium on Management Engineering (ISME 2009)</t>
  </si>
  <si>
    <t>AUG 05-07, 2009</t>
  </si>
  <si>
    <t>Work piece recognition based on the permutation neural classifier technique</t>
  </si>
  <si>
    <t>Toledo, Gengis K.; Kussul, Ernst; Baidyk, Tatiana</t>
  </si>
  <si>
    <t>10.1007/s00138-010-0252-5</t>
  </si>
  <si>
    <t>Multiple scale neural architecture for enhancing regions in the colour image segmentation process</t>
  </si>
  <si>
    <t>Diaz-Pernas, Francisco J.; Anton-Rodriguez, Miriam; Martinez-Zarzuela, Mario; Fernando Diez-Higuera, J.; Gonzalez-Ortega, David; Boto-Giralda, Daniel</t>
  </si>
  <si>
    <t>EXPERT SYSTEMS</t>
  </si>
  <si>
    <t>10.1111/j.1468-0394.2010.00543.x</t>
  </si>
  <si>
    <t>VISUAL ATTENTION MODEL FOR NATURAL SCENES BASED ON DYNAMIC FEATURE COMBINATION</t>
  </si>
  <si>
    <t>Tian, Minghui; Wan, Shouhong; Yue, Lihua</t>
  </si>
  <si>
    <t>INTERNATIONAL JOURNAL OF SOFTWARE ENGINEERING AND KNOWLEDGE ENGINEERING</t>
  </si>
  <si>
    <t>10.1142/S0218194010005043</t>
  </si>
  <si>
    <t>16th International Conference Multimedia Modeling (MMM2010)</t>
  </si>
  <si>
    <t>JAN 06-08, 2010</t>
  </si>
  <si>
    <t>GEO-BASED AERIAL SURVEILLANCE VIDEO PROCESSING FOR SCENE UNDERSTANDING AND OBJECT TRACKING</t>
  </si>
  <si>
    <t>Xiao, Jiangjian; Cheng, Hui; Han, Feng; Sawhney, Harpreet</t>
  </si>
  <si>
    <t>10.1142/S0218001409007582</t>
  </si>
  <si>
    <t>Counting eosinophils in bronchoalveolar lavage fluid images with fuzzy methodology</t>
  </si>
  <si>
    <t>Zarandi, Mohammad H. Fazel; Norouzzadeh, Shaghayegh; Teimourian, Shahram; Moeen, Mostafa</t>
  </si>
  <si>
    <t>10.1016/j.asoc.2008.09.011</t>
  </si>
  <si>
    <t>Accuracy versus speed in context-based object detection</t>
  </si>
  <si>
    <t>Bergboer, Nick; Postma, Eric; van den Herik, Jaap</t>
  </si>
  <si>
    <t>APR 15 2007</t>
  </si>
  <si>
    <t>10.1016/j.patrec.2006.08.004</t>
  </si>
  <si>
    <t>Efficient search and verification for function based classification from real range images</t>
  </si>
  <si>
    <t>Rivlin, Guy Froimovich Ehud; Shimshoni, Ilan; Soldea, Octavian</t>
  </si>
  <si>
    <t>10.1016/j.cviu.2006.10.003</t>
  </si>
  <si>
    <t>A portable and low-cost e-learning video capture system</t>
  </si>
  <si>
    <t>Xu, Richard Y. D.</t>
  </si>
  <si>
    <t>BlancTalon, J; Philips, W; Popescu, D; Scheunders, P</t>
  </si>
  <si>
    <t>ADVANCED CONCEPTS FOR INTELLIGENT VISION SYSTEMS, PROCEEDINGS</t>
  </si>
  <si>
    <t>8th International Conference on Advanced Concepts for Intelligent Vision Systems</t>
  </si>
  <si>
    <t>SEP 18-21, 2006</t>
  </si>
  <si>
    <t>A statistically selected part-based probabilistic model for object recognition</t>
  </si>
  <si>
    <t>Zhao, Zhipeng; Elgammal, Ahmed</t>
  </si>
  <si>
    <t>Zheng, N; Jiang, X; lan, X</t>
  </si>
  <si>
    <t>ADVANCES IN MACHINE VISION, IMAGE PROCESSING, AND PATTERN ANALYSIS</t>
  </si>
  <si>
    <t>International Workshop on Intelligent Computer in Pattern Analysis/Synthesis</t>
  </si>
  <si>
    <t>AUG 26-27, 2006</t>
  </si>
  <si>
    <t>Genetic graph programming for object detection</t>
  </si>
  <si>
    <t>Krawiec, Krzysztof; Lijewski, Patryk</t>
  </si>
  <si>
    <t>Rutkowski, L; Tadeusiewicz, R; Zadeh, LA; Zurada, J</t>
  </si>
  <si>
    <t>ARTIFICIAL INTELLIGENCE AND SOFT COMPUTING - ICAISC 2006, PROCEEDINGS</t>
  </si>
  <si>
    <t>8th International Conference on Artificial Intelligence and Soft Computing (ICAISC 2006)</t>
  </si>
  <si>
    <t>JUN 25-29, 2006</t>
  </si>
  <si>
    <t>Detecting instances of shape classes that exhibit variable structure</t>
  </si>
  <si>
    <t>Aihitsos, V; Wang, JB; Sclaroff, S; Betke, M</t>
  </si>
  <si>
    <t>Leonardis, A; Bischof, H; Pinz, A</t>
  </si>
  <si>
    <t>COMPUTER VISION - ECCV 2006 , PT 1, PROCEEDINGS</t>
  </si>
  <si>
    <t>Genetic Fourier descriptor for the detection of rotational symmetry</t>
  </si>
  <si>
    <t>Yip, RKK</t>
  </si>
  <si>
    <t>DiGesu, V; Masulli, F; Petrosino, A</t>
  </si>
  <si>
    <t>FUZZY LOGIC AND APPLICATIONS</t>
  </si>
  <si>
    <t>5th International Workshop on Fuzzy Logic and Applications</t>
  </si>
  <si>
    <t>OCT 09-11, 2003</t>
  </si>
  <si>
    <t>Invariant object recognition using circular pairwise convolutional networks</t>
  </si>
  <si>
    <t>Teo, Choon Hui; Tay, Yong Haur</t>
  </si>
  <si>
    <t>Yang, Q; Webb, G</t>
  </si>
  <si>
    <t>PRICAI 2006: TRENDS IN ARTIFICIAL INTELLIGENCE, PROCEEDINGS</t>
  </si>
  <si>
    <t>9th Pacific Rim International Conference on Artificial Intelligence (PRICAI 2006)</t>
  </si>
  <si>
    <t>AUG 07-11, 2006</t>
  </si>
  <si>
    <t>JAN 2005</t>
  </si>
  <si>
    <t>10.1007/s10846-005-3508-y</t>
  </si>
  <si>
    <t>Cost integration in multi-step viewpoint selection for object recognition</t>
  </si>
  <si>
    <t>Derichs, C; Deinzer, F; Niemann, H</t>
  </si>
  <si>
    <t>Perner, P; Imilya, A</t>
  </si>
  <si>
    <t>MACHINE LEARNING AND DATA MINING IN PATTERN RECOGNITION, PROCEEDINGS</t>
  </si>
  <si>
    <t>4th International Conference on Machine Learning and Data Mining in Pattern Recognition</t>
  </si>
  <si>
    <t>JUL 09-11, 2005</t>
  </si>
  <si>
    <t>A multi-scale and multi-pose face detection system</t>
  </si>
  <si>
    <t>Nam, MY; Rhee, PK</t>
  </si>
  <si>
    <t>Singh, S; Singh, M; Apte, C; Perner, P</t>
  </si>
  <si>
    <t>PATTERN RECOGNITION AND IMAGE ANALYSIS, PT 2, PROCEEDINGS</t>
  </si>
  <si>
    <t>3rd International Conference on Advances in Pattern Recognition</t>
  </si>
  <si>
    <t>AUG 22-25, 2005</t>
  </si>
  <si>
    <t>Evaluation of robust fitting based detection</t>
  </si>
  <si>
    <t>Ieng, SS; Tarel, JP; Charbonnier, P</t>
  </si>
  <si>
    <t>Pajdla, T; Matas, J</t>
  </si>
  <si>
    <t>COMPUTER VISION - ECCV 2004, PT 2</t>
  </si>
  <si>
    <t>8th European Conference on Computer Vision</t>
  </si>
  <si>
    <t>MAY 11-14, 2004</t>
  </si>
  <si>
    <t>A constrained semi-supervised learning approach to data association</t>
  </si>
  <si>
    <t>Kuck, H; Carbonetto, P; de Freitas, N</t>
  </si>
  <si>
    <t>COMPUTER VISION - ECCV 2004, PT 3</t>
  </si>
  <si>
    <t>Multiple classifier system approach to model pruning in object recognition</t>
  </si>
  <si>
    <t>Kittler, J; Ahmadyfard, AR</t>
  </si>
  <si>
    <t>COMPUTER VISION - ECCV 2004, PT 4</t>
  </si>
  <si>
    <t>Three-dimensional object recognition using a modified exoskeleton and extended Hausdorff distance matching algorithm</t>
  </si>
  <si>
    <t>Lipikorn, R; Shimizu, A; Kobatake, H</t>
  </si>
  <si>
    <t>Campilho, A; Kamel, M</t>
  </si>
  <si>
    <t>IMAGE ANALYSIS AND RECOGNITION, PT 1, PROCEEDINGS</t>
  </si>
  <si>
    <t>International Conference on Image Analysis and Recognition</t>
  </si>
  <si>
    <t>SEP 29-OCT 01, 2004</t>
  </si>
  <si>
    <t>Comparison of feature sets using multimedia translation</t>
  </si>
  <si>
    <t>Duygulu, P; Ozcanli, OC; Papernick, N</t>
  </si>
  <si>
    <t>Yazici, A; Sener, C</t>
  </si>
  <si>
    <t>COMPUTER AND INFORMATION SCIENCES - ISCIS 2003</t>
  </si>
  <si>
    <t>18th International Symposium on Computer and Information Sciences (ISCIS 2003)</t>
  </si>
  <si>
    <t>NOV 03-05, 2003</t>
  </si>
  <si>
    <t>Crowley, J; Piater, JH; Vincze, M; Paletta, L</t>
  </si>
  <si>
    <t>COMPUTER VISION SYSTEMS, PROCEEDINGS</t>
  </si>
  <si>
    <t>3rd International Conference on Computer Vision Systems</t>
  </si>
  <si>
    <t>APR 01-03, 2003</t>
  </si>
  <si>
    <t>A rule-based scheme for filtering examples from majority class in an imbalanced training set</t>
  </si>
  <si>
    <t>Dehmeshki, J; Karakoy, M; Casique, MV</t>
  </si>
  <si>
    <t>Perner, P; Rosenfeld, A</t>
  </si>
  <si>
    <t>3rd International Conference on Machine Learning and Data Mining in Pattern Recognition</t>
  </si>
  <si>
    <t>JUL 05-07, 2003</t>
  </si>
  <si>
    <t>Online inspection system based on machine learning techniques: real case study of fabric textures classification for the automotive industry</t>
  </si>
  <si>
    <t>Malaca, Pedro; Rocha, Luis F.; Gomes, D.; Silva, Joao; Veiga, Germano</t>
  </si>
  <si>
    <t>10.1007/s10845-016-1254-6</t>
  </si>
  <si>
    <t>An Iterative Co-Saliency Framework for RGBD Images</t>
  </si>
  <si>
    <t>Cong, Runmin; Lei, Jianjun; Fu, Huazhu; Lin, Weisi; Huang, Qingming; Cao, Xiaochun; Hou, Chunping</t>
  </si>
  <si>
    <t>10.1109/TCYB.2017.2771488</t>
  </si>
  <si>
    <t>Constant-time monocular object detection using scene geometry</t>
  </si>
  <si>
    <t>Nieto, Marcos; Ortega, Juan Diego; Leskovsky, Peter; Senderos, Orti</t>
  </si>
  <si>
    <t>10.1007/s10044-017-0625-8</t>
  </si>
  <si>
    <t>Multi-Oriented and Multi-Lingual Scene Text Detection With Direct Regression</t>
  </si>
  <si>
    <t>He, Wenhao; Zhang, Xu-Yao; Yin, Fei; Liu, Cheng-Lin</t>
  </si>
  <si>
    <t>10.1109/TIP.2018.2855399</t>
  </si>
  <si>
    <t>OCT 15 2018</t>
  </si>
  <si>
    <t>10.1016/j.patrec.2017.08.025</t>
  </si>
  <si>
    <t>Action recognition based on joint trajectory maps with convolutional neural networks</t>
  </si>
  <si>
    <t>Wang, Pichao; Li, Wanqing; Li, Chuankun; Hou, Yonghong</t>
  </si>
  <si>
    <t>10.1016/j.knosys.2018.05.029</t>
  </si>
  <si>
    <t>Multi-View Hierarchical Bidirectional Recurrent Neural Network for Depth Video Sequence Based Action Recognition</t>
  </si>
  <si>
    <t>Liu, Xueping; Li, Yibo; Wang, Qingjun</t>
  </si>
  <si>
    <t>10.1142/S0218001418500337</t>
  </si>
  <si>
    <t>Adaptive Batch Normalization for practical domain adaptation</t>
  </si>
  <si>
    <t>Li, Yanghao; Wang, Naiyan; Shi, Jianping; Hou, Xiaodi; Liu, Jiaying</t>
  </si>
  <si>
    <t>10.1016/j.patcog.2018.03.005</t>
  </si>
  <si>
    <t>Adaptive active contours based on variable kernel with constant initialisation</t>
  </si>
  <si>
    <t>Munir, Asad; Soomro, Shafiullah; Lee, Chang Ha; Choi, Kwang Nam</t>
  </si>
  <si>
    <t>10.1049/iet-ipr.2017.0481</t>
  </si>
  <si>
    <t>10.1109/TIP.2018.2815744</t>
  </si>
  <si>
    <t>Spatio-Temporal Attention-Based LSTM Networks for 3D Action Recognition and Detection</t>
  </si>
  <si>
    <t>Song, Sijie; Lan, Cuiling; Xing, Junliang; Zeng, Wenjun; Liu, Jiaying</t>
  </si>
  <si>
    <t>10.1109/TIP.2018.2818328</t>
  </si>
  <si>
    <t>Deep Learning and Preference Learning for Object Tracking: A Combined Approach</t>
  </si>
  <si>
    <t>Pang, Shuchao; Jose del Coz, Juan; Yu, Zhezhou; Luaces, Oscar; Diez, Jorge</t>
  </si>
  <si>
    <t>10.1007/s11063-017-9720-5</t>
  </si>
  <si>
    <t>Object Detection and Tracking using Modified Diamond Search Block Matching Motion Estimation Algorithm</t>
  </si>
  <si>
    <t>Samdurkar, Apurva S.; Kamble, Shailesh D.; Thakur, Nileshsingh V.; Patharkar, Akshay S.</t>
  </si>
  <si>
    <t>INTERNATIONAL JOURNAL OF INTERACTIVE MULTIMEDIA AND ARTIFICIAL INTELLIGENCE</t>
  </si>
  <si>
    <t>10.9781/ijimai.2017.10.004</t>
  </si>
  <si>
    <t>Exponential discriminative metric embedding in deep learning</t>
  </si>
  <si>
    <t>Wu, Bowen; Chen, Zhangling; Wang, Jun; Wu, Huaming</t>
  </si>
  <si>
    <t>MAY 17 2018</t>
  </si>
  <si>
    <t>10.1016/j.neucom.2018.02.040</t>
  </si>
  <si>
    <t>Convolutional encoder-decoder networks for pixel-wise ear detection and segmentation</t>
  </si>
  <si>
    <t>Emersic, Ziga; Gabriel, Luka L.; Struc, Vitomir; Peer, Peter</t>
  </si>
  <si>
    <t>IET BIOMETRICS</t>
  </si>
  <si>
    <t>10.1049/iet-bmt.2017.0240</t>
  </si>
  <si>
    <t>Conference on Unconstrained Ear Recognition Challenge (UERC) held in conjunction with the International Joint Conference on Biometrics (IJCB)</t>
  </si>
  <si>
    <t>OCT 01-04, 2017</t>
  </si>
  <si>
    <t>Spatio-Temporal Scale Selection in Video Data</t>
  </si>
  <si>
    <t>10.1007/s10851-017-0766-9</t>
  </si>
  <si>
    <t>Multi-class fruit detection based on image region selection and improved object proposals</t>
  </si>
  <si>
    <t>Kuang, Hulin; Liu, Cairong; Chan, Leanne Lai Hang; Yan, Hong</t>
  </si>
  <si>
    <t>MAR 29 2018</t>
  </si>
  <si>
    <t>10.1016/j.neucom.2017.12.057</t>
  </si>
  <si>
    <t>10.1142/S0218213018300016</t>
  </si>
  <si>
    <t>10.1016/j.imavis.2017.12.003</t>
  </si>
  <si>
    <t>Boosted Random Ferns for Object Detection</t>
  </si>
  <si>
    <t>Villamizar, Michael; Andrade-Cetto, Juan; Sanfeliu, Alberto; Moreno-Noguer, Francesc</t>
  </si>
  <si>
    <t>10.1109/TPAMI.2017.2676778</t>
  </si>
  <si>
    <t>10.1016/j.imavis.2017.10.001</t>
  </si>
  <si>
    <t>Group object detection and tracking by combining RPCA and fractal analysis</t>
  </si>
  <si>
    <t>Lin, Longxin; Lin, Weiwei; Huang, Sibin</t>
  </si>
  <si>
    <t>10.1007/s00500-016-2329-1</t>
  </si>
  <si>
    <t>Image Annotation by a Hierarchical and Iterative Combination of Recognition and Segmentation</t>
  </si>
  <si>
    <t>Morales-Gonzalez, Annette; Garcia-Reyes, Edel; Enrique Sucar, Luis</t>
  </si>
  <si>
    <t>10.1142/S0218001418600145</t>
  </si>
  <si>
    <t>8th Mexican Conference on Pattern Recognition (MCPR)</t>
  </si>
  <si>
    <t>JUN 22-25, 2016</t>
  </si>
  <si>
    <t>10.1016/j.patcog.2017.08.001</t>
  </si>
  <si>
    <t>Real-time foreground detection approach based on adaptive ensemble learning with arbitrary algorithms for changing environments</t>
  </si>
  <si>
    <t>Chan, Yi-Tung; Wang, Shuenn-Jyi; Tsai, Chung-Hsien</t>
  </si>
  <si>
    <t>10.1016/j.inffus.2017.05.001</t>
  </si>
  <si>
    <t>10.1016/j.imavis.2017.07.008</t>
  </si>
  <si>
    <t>10.1049/iet-cvi.2016.0355</t>
  </si>
  <si>
    <t>Salient object detection based on global multi-scale superpixel contrast</t>
  </si>
  <si>
    <t>Yang, Jinfu; Wang, Ying; Wang, Guanghui; Li, Mingai</t>
  </si>
  <si>
    <t>10.1049/iet-cvi.2016.0469</t>
  </si>
  <si>
    <t>General-purpose curvilinear object detection with fuzzy mathematical morphology</t>
  </si>
  <si>
    <t>Bibiloni, P.; Gonzalez-Hidalgo, M.; Massanet, S.</t>
  </si>
  <si>
    <t>10.1016/j.asoc.2017.07.010</t>
  </si>
  <si>
    <t>Fast and accurate detection and localization of abnormal behavior in crowded scenes</t>
  </si>
  <si>
    <t>Sabokrou, Mohammad; Fathy, Mahmood; Moayed, Zahra; Klette, Reinhard</t>
  </si>
  <si>
    <t>10.1007/s00138-017-0869-8</t>
  </si>
  <si>
    <t>Proportional data modeling via entropy-based variational bayes learning of mixture models</t>
  </si>
  <si>
    <t>Fan, Wentao; Al-Osaimi, Faisal R.; Bouguila, Nizar; Du, Jixiang</t>
  </si>
  <si>
    <t>10.1007/s10489-017-0909-0</t>
  </si>
  <si>
    <t>Fuzzy-Based Adaptive Denoising of Underwater Images</t>
  </si>
  <si>
    <t>Srividhya, K.; Ramya, M. M.</t>
  </si>
  <si>
    <t>AUG 2017</t>
  </si>
  <si>
    <t>10.1007/s40815-016-0281-y</t>
  </si>
  <si>
    <t>Cognitive Modeling of the Natural Behavior of the Varroa destructor Mite on Video</t>
  </si>
  <si>
    <t>Ramirez-Bogantes, Melvin; Prendas-Rojas, Juan P.; Figueroa-Mata, Geovanni; Calderon, Rafael A.; Salas-Huertas, Oscar; Travieso, Carlos M.</t>
  </si>
  <si>
    <t>COGNITIVE COMPUTATION</t>
  </si>
  <si>
    <t>10.1007/s12559-017-9471-7</t>
  </si>
  <si>
    <t>Weakly Supervised Multimodal Kernel for Categorizing Aerial Photographs</t>
  </si>
  <si>
    <t>Xia, Yingjie; Zhang, Luming; Liu, Zhenguang; Nie, Liqiang; Li, Xuelong</t>
  </si>
  <si>
    <t>10.1109/TIP.2016.2639438</t>
  </si>
  <si>
    <t>Detecting and counting people using real-time directional algorithms implemented by compute unified device architecture</t>
  </si>
  <si>
    <t>Kocak, Yasemin Poyraz; Sevgen, Selcuk</t>
  </si>
  <si>
    <t>JUL 26 2017</t>
  </si>
  <si>
    <t>10.1016/j.neucom.2016.08.137</t>
  </si>
  <si>
    <t>22nd International Conference on Neural Information Processing (ICONIP)</t>
  </si>
  <si>
    <t>NOV 09-12, 2015</t>
  </si>
  <si>
    <t>Online Depth Image-Based Object Tracking with Sparse Representation and Object Detection</t>
  </si>
  <si>
    <t>Zheng, Wei-Long; Shen, Shan-Chun; Lu, Bao-Liang</t>
  </si>
  <si>
    <t>10.1007/s11063-016-9509-y</t>
  </si>
  <si>
    <t>Image feature representation with orthogonal symmetric local weber graph structure</t>
  </si>
  <si>
    <t>Tao, Gao; Zhao, Xiangmo; Chen, Ting; Liu, Zhanwen; Li, Si</t>
  </si>
  <si>
    <t>MAY 31 2017</t>
  </si>
  <si>
    <t>10.1016/j.neucom.2017.02.047</t>
  </si>
  <si>
    <t>Refine BING using effective cascade ranking</t>
  </si>
  <si>
    <t>Fang, Zhiwen; Cao, Zhiguo; Xiao, Yang; Lu, Hao</t>
  </si>
  <si>
    <t>10.1016/j.asoc.2016.10.019</t>
  </si>
  <si>
    <t>10.1007/s12652-016-0369-0</t>
  </si>
  <si>
    <t>Workshop of the PRedictive ReasOning and Multisource Fusion Empowering AntiCipation of Attacks and Terrorist Actions In Urban EnVironmEnts (FP Project Proactive)</t>
  </si>
  <si>
    <t>FEB, 2015</t>
  </si>
  <si>
    <t>A Graph-Embedding Approach to Hierarchical Visual Word Mergence</t>
  </si>
  <si>
    <t>Wang, Lei; Liu, Lingqiao; Zhou, Luping</t>
  </si>
  <si>
    <t>10.1109/TNNLS.2015.2509062</t>
  </si>
  <si>
    <t>Hybrid local and global descriptor enhanced with colour information</t>
  </si>
  <si>
    <t>Kabbai, Leila; Abdellaoui, Mehrez; Douik, Ali</t>
  </si>
  <si>
    <t>10.1049/iet-ipr.2016.0349</t>
  </si>
  <si>
    <t>Speed-up ellipse enclosing character detection approach for large-size document images by parallel scanning and Hough transform</t>
  </si>
  <si>
    <t>Premachandra, H. Waruna H.; Premachandra, Chinthaka; Parape, Chandana Dinesh; Kawanaka, Hiroharu</t>
  </si>
  <si>
    <t>10.1007/s13042-015-0330-0</t>
  </si>
  <si>
    <t>Orientation Histogram-Based Center-Surround Interaction: An Integration Approach for Contour Detection</t>
  </si>
  <si>
    <t>Zhao, Rongchang; Wu, Min; Liu, Xiyao; Zou, Beiji; Li, Fangfang</t>
  </si>
  <si>
    <t>10.1162/NECO_a_00911</t>
  </si>
  <si>
    <t>Fast illumination-robust foreground detection using hierarchical distribution map for real-time video surveillance system</t>
  </si>
  <si>
    <t>Son, Jongin; Kim, Seungryong; Sohn, Kwanghoon</t>
  </si>
  <si>
    <t>DEC 30 2016</t>
  </si>
  <si>
    <t>10.1016/j.eswa.2016.08.062</t>
  </si>
  <si>
    <t>Optimal Piecewise Linear Function Approximation for GPU-Based Applications</t>
  </si>
  <si>
    <t>Berjon, Daniel; Gallego, Guillermo; Cuevas, Carlos; Moran, Francisco; Garcia, Narciso</t>
  </si>
  <si>
    <t>10.1109/TCYB.2015.2482365</t>
  </si>
  <si>
    <t>Rapid building detection using machine learning</t>
  </si>
  <si>
    <t>Cohen, Joseph Paul; Ding, Wei; Kuhlman, Caitlin; Chen, Aijun; Di, Liping</t>
  </si>
  <si>
    <t>10.1007/s10489-016-0762-6</t>
  </si>
  <si>
    <t>Discriminative sequential association latent dirichlet allocation for visual recognition</t>
  </si>
  <si>
    <t>Yao, Ting-Ting; Xie, Zhao; Gao, Jun; Wang, Chi</t>
  </si>
  <si>
    <t>10.1007/s10044-014-0444-0</t>
  </si>
  <si>
    <t>Semantic video labeling by developmental visual agents</t>
  </si>
  <si>
    <t>Gori, Marco; Lippi, Marco; Maggini, Marco; Melacci, Stefano</t>
  </si>
  <si>
    <t>MAY 2016</t>
  </si>
  <si>
    <t>10.1016/j.cviu.2016.02.011</t>
  </si>
  <si>
    <t>A novel supervised approach to learning efficient kernel descriptors for high accuracy object recognition</t>
  </si>
  <si>
    <t>Xie, Bojun; Liu, Yi; Zhang, Hui; Yu, Jian</t>
  </si>
  <si>
    <t>10.1016/j.neucom.2015.12.007</t>
  </si>
  <si>
    <t>An Efficient Method of HOG Feature Extraction Using Selective Histogram Bin and PCA Feature Reduction</t>
  </si>
  <si>
    <t>Lai, Chi Qin; Teoh, Soo Siang</t>
  </si>
  <si>
    <t>10.4316/AECE.2016.04016</t>
  </si>
  <si>
    <t>Adapted Normalized Graph Cut Segmentation with Boundary Fuzzy Classifier Object Indexing on Road Satellite Images</t>
  </si>
  <si>
    <t>Prabhu, Singaravelu; Tensing, Dhaunaraj</t>
  </si>
  <si>
    <t>INTERNATIONAL ARAB JOURNAL OF INFORMATION TECHNOLOGY</t>
  </si>
  <si>
    <t>An algorithm selection based platform for image understanding using high-level symbolic feedback and machine learning</t>
  </si>
  <si>
    <t>Lukac, Martin; Kameyama, Michitaka</t>
  </si>
  <si>
    <t>10.1007/s13042-013-0197-x</t>
  </si>
  <si>
    <t>Automatic fish taxonomy using evolution-constructed features for invasive species removal</t>
  </si>
  <si>
    <t>Zhang, Dong; Lillywhite, Kirt D.; Lee, Dah-Jye; Tippetts, Beau J.</t>
  </si>
  <si>
    <t>10.1007/s10044-014-0426-2</t>
  </si>
  <si>
    <t>A computer vision system for rapid search inspired by surface-based attention mechanisms from human perception</t>
  </si>
  <si>
    <t>Mohr, Johannes; Park, Jong-Han; Obermayer, Klaus</t>
  </si>
  <si>
    <t>10.1016/j.neunet.2014.08.010</t>
  </si>
  <si>
    <t>Robustifying Descriptor Instability Using Fisher Vectors</t>
  </si>
  <si>
    <t>Everts, Ivo; van Gemert, Jan C.; Mensink, Thomas; Gevers, Theo</t>
  </si>
  <si>
    <t>10.1109/TIP.2014.2365955</t>
  </si>
  <si>
    <t>10.1080/10798587.2014.934601</t>
  </si>
  <si>
    <t>Adding a rigid motion model to foreground detection: application to moving object detection in rivers</t>
  </si>
  <si>
    <t>10.1007/s10044-013-0346-6</t>
  </si>
  <si>
    <t>Adaptive Sampling for Large Scale Boosting</t>
  </si>
  <si>
    <t>Dubout, Charles; Fleuret, Francois</t>
  </si>
  <si>
    <t>Visual Peoplemeter: A Vision-based Television Audience Measurement System</t>
  </si>
  <si>
    <t>Skelin, Ana Kuzmanic; Supuk, Tamara Grujic; Bonkovic, Mirjana</t>
  </si>
  <si>
    <t>Advances in Electrical and Computer Engineering</t>
  </si>
  <si>
    <t>10.4316/AECE.2014.04011</t>
  </si>
  <si>
    <t>Structured analysis of the ISI Atomic Pair Actions dataset using workflows</t>
  </si>
  <si>
    <t>Sethi, Ricky J.; Jo, Hyunjoon; Gil, Yolanda</t>
  </si>
  <si>
    <t>10.1016/j.patrec.2012.12.015</t>
  </si>
  <si>
    <t>Fast spatiotemporal MACH filter for action recognition</t>
  </si>
  <si>
    <t>Ahmed, Javed; Abbasi, Sadaf; Shaikh, M. Zakir</t>
  </si>
  <si>
    <t>10.1007/s00138-013-0484-2</t>
  </si>
  <si>
    <t>Parametrization of an image understanding quality metric with a subjective evaluation</t>
  </si>
  <si>
    <t>Hemery, B.; Laurent, H.; Emile, B.; Rosenberger, C.</t>
  </si>
  <si>
    <t>10.1016/j.patrec.2012.11.016</t>
  </si>
  <si>
    <t>A computer vision framework for the analysis and interpretation of the cephalo-ocular behavior of drivers</t>
  </si>
  <si>
    <t>Metari, S.; Prel, F.; Moszkowicz, T.; Laurendeau, D.; Teasdale, N.; Beauchemin, S.; Simoneau, M.</t>
  </si>
  <si>
    <t>JAN 2013</t>
  </si>
  <si>
    <t>10.1007/s00138-011-0381-5</t>
  </si>
  <si>
    <t>Stel Component Analysis: Joint Segmentation, Modeling and Recognition of Objects Classes</t>
  </si>
  <si>
    <t>Perina, Alessandro; Jojic, Nebojsa; Cristani, Marco; Murino, Vittorio</t>
  </si>
  <si>
    <t>DEC 2012</t>
  </si>
  <si>
    <t>10.1007/s11263-012-0536-5</t>
  </si>
  <si>
    <t>Robust decentralized multi-model adaptive template tracking</t>
  </si>
  <si>
    <t>Firouzi, Hadi; Najjaran, Homayoun</t>
  </si>
  <si>
    <t>10.1016/j.patcog.2012.05.005</t>
  </si>
  <si>
    <t>10.1007/s11554-011-0195-8</t>
  </si>
  <si>
    <t>COLOR CONSTANT DESCRIPTORS COMBINING IMAGE DERIVATIVE STRUCTURES</t>
  </si>
  <si>
    <t>Bao, Hong; Xu, De; Li, Bing</t>
  </si>
  <si>
    <t>OBJECT CLASSIFICATION AND OCCLUSION HANDLING USING QUADRATIC FEATURE CORRELATION MODEL AND NEURAL NETWORKS</t>
  </si>
  <si>
    <t>Fan, Na</t>
  </si>
  <si>
    <t>10.1142/S0218001411008609</t>
  </si>
  <si>
    <t>Computationally efficient eigenspace decomposition of correlated images characterized by three parameters</t>
  </si>
  <si>
    <t>Saitwal, K.; Maciejewski, A. A.; Roberts, R. G.</t>
  </si>
  <si>
    <t>10.1007/s10044-008-0135-9</t>
  </si>
  <si>
    <t>Topological triangle characterization with application to object detection from images</t>
  </si>
  <si>
    <t>Nonato, L. G.; Lizier, M. A. S.; Batista, J.; de Oliveira, M. C. F.; Castelo, A.</t>
  </si>
  <si>
    <t>AUG 1 2008</t>
  </si>
  <si>
    <t>10.1016/j.imavis.2007.11.011</t>
  </si>
  <si>
    <t>CONFIGR: A vision-based model for long-range figure completion</t>
  </si>
  <si>
    <t>Carpenter, Gail A.; Gaddarn, Chaitanya Sai; Mingolla, Ennio</t>
  </si>
  <si>
    <t>10.1016/j.neunet.2007.10.002</t>
  </si>
  <si>
    <t>Object recognition for obstacle avoidance in mobile robots</t>
  </si>
  <si>
    <t>Bolanos, Jose M.; Melendez, Wilfredis Medina; Fermin, Leonardo; Cappelletto, Jose; Fernandez-Lopez, Gerardo; Grieco, Juan C.</t>
  </si>
  <si>
    <t>Embedded system implementation for an object detection using stereo image</t>
  </si>
  <si>
    <t>Moon, Cheol-Hong; Jang, Dong-Young</t>
  </si>
  <si>
    <t>Huang, DS; Li, K; Irwin, GW</t>
  </si>
  <si>
    <t>INTELLIGENT COMPUTING IN SIGNAL PROCESSING AND PATTERN RECOGNITION</t>
  </si>
  <si>
    <t>International Conference on Intelligent Computing (ICIC)</t>
  </si>
  <si>
    <t>AUG 16-19, 2006</t>
  </si>
  <si>
    <t>Gelbukh, A; DeAlbornoz, A; TerashimaMarin, H</t>
  </si>
  <si>
    <t>4th Mexican International Conference on Artificial Intelligence (MICAI 2005)</t>
  </si>
  <si>
    <t>NOV 14-18, 2005</t>
  </si>
  <si>
    <t>Pattern recognition in video</t>
  </si>
  <si>
    <t>Chellappa, R; Veeraraghavan, A; Aggarwal, G</t>
  </si>
  <si>
    <t>Pal, SK; Bandyopadhyay, S; Biswas, S</t>
  </si>
  <si>
    <t>PATTERN RECOGNITION AND MACHINE INTELLIGENCE, PROCEEDINGS</t>
  </si>
  <si>
    <t>1st International Conference on Pattern Recognition and Machine Intelligence</t>
  </si>
  <si>
    <t>DEC 20-22, 2005</t>
  </si>
  <si>
    <t>Panoramic spherical video the space ball</t>
  </si>
  <si>
    <t>Coleshill, E; Ferworn, A</t>
  </si>
  <si>
    <t>Kumar, V; Gavrilova, ML; Tan, CJK; LEcuyer, P</t>
  </si>
  <si>
    <t>COMPUTATIONAL SCIENCE AND ITS APPLICATIONS - ICCSA 2003, PT 1, PROCEEDINGS</t>
  </si>
  <si>
    <t>International Conference on Computational Science and Its Applications (ICCSA 2003)</t>
  </si>
  <si>
    <t>MAY 18-21, 2003</t>
  </si>
  <si>
    <t>Applied connectionistic methods in computer vision to compare segmented images</t>
  </si>
  <si>
    <t>Bischoff, S; Reuss, D; Wysotzki, F</t>
  </si>
  <si>
    <t>Gunter, A; Kruse, R; Neumann, B</t>
  </si>
  <si>
    <t>KI 2003: ADVANCES IN ARTIFICIAL INTELLIGENCE</t>
  </si>
  <si>
    <t>26th Annual German Conference on Artificial Intelligence</t>
  </si>
  <si>
    <t>SEP 15-18, 2003</t>
  </si>
  <si>
    <t>Distribution distance measures applied to 3-D object recognition - A case study</t>
  </si>
  <si>
    <t>Nolle, M</t>
  </si>
  <si>
    <t>Animal classification using facial images with score-level fusion</t>
  </si>
  <si>
    <t>Taheri, Shahram; Toygar, Onsen</t>
  </si>
  <si>
    <t>10.1049/iet-cvi.2017.0079</t>
  </si>
  <si>
    <t>10.1007/s10462-017-9542-x</t>
  </si>
  <si>
    <t>10.1007/s10462-017-9545-7</t>
  </si>
  <si>
    <t>Do Semantic Parts Emerge in Convolutional Neural Networks?</t>
  </si>
  <si>
    <t>Gonzalez-Garcia, Abel; Modolo, Davide; Ferrari, Vittorio</t>
  </si>
  <si>
    <t>10.1007/s11263-017-1048-0</t>
  </si>
  <si>
    <t>APR 1 2018</t>
  </si>
  <si>
    <t>10.1016/j.patrec.2017.07.016</t>
  </si>
  <si>
    <t>Lane marking detection via deep convolutional neural network</t>
  </si>
  <si>
    <t>Tian, Yan; Gelernter, Judith; Wang, Xun; Chen, Weigang; Gao, Junxiang; Zhang, Yujie; Li, Xiaolan</t>
  </si>
  <si>
    <t>MAR 6 2018</t>
  </si>
  <si>
    <t>10.1016/j.neucom.2017.09.098</t>
  </si>
  <si>
    <t>Deep feature based contextual model for object detection</t>
  </si>
  <si>
    <t>Chu, Wenqing; Cai, Deng</t>
  </si>
  <si>
    <t>10.1016/j.neucom.2017.09.048</t>
  </si>
  <si>
    <t>Metric forests based on Gaussian mixture model for visual image classification</t>
  </si>
  <si>
    <t>Xu, Yong; Zhang, Qian; Wang, Lin</t>
  </si>
  <si>
    <t>10.1007/s00500-016-2350-4</t>
  </si>
  <si>
    <t>Image categorization using non-negative kernel sparse representation</t>
  </si>
  <si>
    <t>Zhang, Yungang; Xu, Tianwei; Ma, Jieming</t>
  </si>
  <si>
    <t>DEC 20 2017</t>
  </si>
  <si>
    <t>10.1016/j.neucom.2016.08.144</t>
  </si>
  <si>
    <t>10.1049/iet-cvi.2017.0005</t>
  </si>
  <si>
    <t>Robust hypothesis generation method using binary blob analysis for multi-lane detection</t>
  </si>
  <si>
    <t>Piao, Jingchun; Shin, Hyunchul</t>
  </si>
  <si>
    <t>10.1049/iet-ipr.2016.0506</t>
  </si>
  <si>
    <t>A template matching approach based on the behavior of swarms of locust</t>
  </si>
  <si>
    <t>Gonzalez, Adrian; Cuevas, Erik; Fausto, Fernando; Valdivia, Arturo; Rojas, Raul</t>
  </si>
  <si>
    <t>10.1007/s10489-017-0937-9</t>
  </si>
  <si>
    <t>Grocery product detection and recognition</t>
  </si>
  <si>
    <t>Franco, Annalisa; Maltoni, Davide; Papi, Serena</t>
  </si>
  <si>
    <t>10.1016/j.eswa.2017.02.050</t>
  </si>
  <si>
    <t>10.1016/j.cviu.2017.06.002</t>
  </si>
  <si>
    <t>Rotational contour signatures for both real-valued and binary feature representations of 3D local shape</t>
  </si>
  <si>
    <t>Yang, Jiaqi; Zhang, Qian; Xian, Ke; Xiao, Yang; Cao, Zhiguo</t>
  </si>
  <si>
    <t>10.1016/j.cviu.2017.02.004</t>
  </si>
  <si>
    <t>A superpixel-based CRF saliency detection approach</t>
  </si>
  <si>
    <t>Qiu, Wenliang; Gao, Xinbo; Han, Bing</t>
  </si>
  <si>
    <t>JUN 28 2017</t>
  </si>
  <si>
    <t>10.1016/j.neucom.2017.03.016</t>
  </si>
  <si>
    <t>10.1007/s11554-014-0404-3</t>
  </si>
  <si>
    <t>Adaptive pattern recognition in real-time video-based soccer analysis</t>
  </si>
  <si>
    <t>Schlipsing, Marc; Salmen, Jan; Tschentscher, Marc; Igel, Christian</t>
  </si>
  <si>
    <t>10.1007/s11554-014-0406-1</t>
  </si>
  <si>
    <t>10.1007/s11554-014-0418-x</t>
  </si>
  <si>
    <t>Visual recognition for humanoid robots</t>
  </si>
  <si>
    <t>Fanello, Sean Ryan; Ciliberto, Carlo; Noceti, Nicoletta; Metta, Giorgio; Odone, Francesca</t>
  </si>
  <si>
    <t>10.1016/j.robot.2016.10.001</t>
  </si>
  <si>
    <t>10.1109/TCYB.2016.2535122</t>
  </si>
  <si>
    <t>Scalable greedy algorithms for transfer learning</t>
  </si>
  <si>
    <t>Kuzborskij, Ilja; Orabona, Francesco; Caputo, Barbara</t>
  </si>
  <si>
    <t>10.1016/j.cviu.2016.09.003</t>
  </si>
  <si>
    <t>10.1109/TPAMI.2016.2551239</t>
  </si>
  <si>
    <t>10.1016/j.patcog.2016.03.011</t>
  </si>
  <si>
    <t>10.1142/S1793351X16400158</t>
  </si>
  <si>
    <t>Shape-based object recognition via Evidence Accumulation Inference</t>
  </si>
  <si>
    <t>Wei, Hui; Yu, Qian; Yang, Chengzhuan</t>
  </si>
  <si>
    <t>JUL 1 2016</t>
  </si>
  <si>
    <t>10.1016/j.patrec.2016.03.022</t>
  </si>
  <si>
    <t>Forensic video solution using facial feature-based synoptic Video Footage Record</t>
  </si>
  <si>
    <t>Balasubramanian, Yogameena; Sivasankaran, Kokila; Krishraj, Sindhu Priya</t>
  </si>
  <si>
    <t>10.1049/iet-cvi.2015.0238</t>
  </si>
  <si>
    <t>10.1007/s10044-015-0463-5</t>
  </si>
  <si>
    <t>JAN 2 2016</t>
  </si>
  <si>
    <t>10.1080/09540091.2015.1130019</t>
  </si>
  <si>
    <t>Optimizing Average Precision Using Weakly Supervised Data</t>
  </si>
  <si>
    <t>Behl, Aseem; Mohapatra, Pritish; Jawahar, C. V.; Kumar, M. Pawan</t>
  </si>
  <si>
    <t>10.1109/TPAMI.2015.2414435</t>
  </si>
  <si>
    <t>10.1016/j.patrec.2015.06.007</t>
  </si>
  <si>
    <t>Combine color and shape in real-time detection of texture-less objects</t>
  </si>
  <si>
    <t>Peng, Xiaoming</t>
  </si>
  <si>
    <t>10.1016/j.cviu.2015.02.010</t>
  </si>
  <si>
    <t>Spatially correlated nonnegative matrix factorization</t>
  </si>
  <si>
    <t>Chen, Xinlei; Li, Cheng; Liu, Haifeng; Cai, Deng</t>
  </si>
  <si>
    <t>SEP 2 2014</t>
  </si>
  <si>
    <t>10.1016/j.neucom.2013.09.059</t>
  </si>
  <si>
    <t>Image annotation by modeling Supporting Region Graph</t>
  </si>
  <si>
    <t>Guo, Qiao-Jin; Li, Ning; Yang, Yu-Bin; Wu, Gang-Shan</t>
  </si>
  <si>
    <t>10.1007/s10489-013-0473-1</t>
  </si>
  <si>
    <t>Recognizing objects with multiple configurations</t>
  </si>
  <si>
    <t>Han, Yuexing; Koike, Hideki; Idesawa, Masanori</t>
  </si>
  <si>
    <t>10.1007/s10044-012-0277-7</t>
  </si>
  <si>
    <t>10.1142/S0218213013500309</t>
  </si>
  <si>
    <t>Human action recognition using hull convexity defect features with multi-modality setups</t>
  </si>
  <si>
    <t>Youssef, M. M.; Asari, V. K.</t>
  </si>
  <si>
    <t>10.1016/j.patrec.2013.01.019</t>
  </si>
  <si>
    <t>10.1007/s00138-012-0418-4</t>
  </si>
  <si>
    <t>Linking the von Kries model to Wien's law for the estimation of an illuminant invariant image</t>
  </si>
  <si>
    <t>Lecca, Michela; Messelodi, Stefano</t>
  </si>
  <si>
    <t>NOV 1 2011</t>
  </si>
  <si>
    <t>10.1016/j.patrec.2011.08.005</t>
  </si>
  <si>
    <t>Higher-Dimensional Affine Registration and Vision Applications</t>
  </si>
  <si>
    <t>Nejhum, S. M. Shahed; Chi, Yu-Tseh; Ho, Jeffrey; Yang, Ming-Hsuan</t>
  </si>
  <si>
    <t>10.1109/TPAMI.2010.219</t>
  </si>
  <si>
    <t>New Method to Detect Salient Objects in Image Segmentation using Hypergraph Structure</t>
  </si>
  <si>
    <t>Ganea, Eugen; Burdescu, Dumitru Dan; Brezovan, Marius</t>
  </si>
  <si>
    <t>10.4316/AECE.2011.04018</t>
  </si>
  <si>
    <t>Application of neural processing paradigm in visual landmark recognition and autonomous robot navigation</t>
  </si>
  <si>
    <t>Do, Quoc; Jain, Lakhmi</t>
  </si>
  <si>
    <t>10.1007/s00521-009-0294-7</t>
  </si>
  <si>
    <t>12th International Conference on Knowledge-Based Intelligent Information and Engineering Systems</t>
  </si>
  <si>
    <t>SEP 03-05, 2008</t>
  </si>
  <si>
    <t>Invariant 2D object recognition using KRA and GRA</t>
  </si>
  <si>
    <t>Sun, Te-Hsiu; Horng, Horng-Chyi; Liu, Chi-Shuan; Tien, Fang-Chin</t>
  </si>
  <si>
    <t>10.1016/j.eswa.2009.03.055</t>
  </si>
  <si>
    <t>On the Topology and Geometry of Spaces of Affine Shapes</t>
  </si>
  <si>
    <t>Groisser, David; Tagare, Hemant D.</t>
  </si>
  <si>
    <t>10.1007/s10851-009-0143-4</t>
  </si>
  <si>
    <t>JAN 1 2009</t>
  </si>
  <si>
    <t>10.1016/j.imavis.2006.06.008</t>
  </si>
  <si>
    <t>3rd Canadian Conference on Computer and Robot Vision</t>
  </si>
  <si>
    <t>Canonical subsets of image features</t>
  </si>
  <si>
    <t>Denton, Trip; Shokoufandeh, Ali; Novatnack, John; Nishino, Ko</t>
  </si>
  <si>
    <t>10.1016/j.cviu.2008.06.002</t>
  </si>
  <si>
    <t>Behavior-based vision on a 4 legged soccer robot</t>
  </si>
  <si>
    <t>Mantz, Floris; Jonker, Pieter; Caarls, Wouter</t>
  </si>
  <si>
    <t>Bredenfeld, A; Jacoff, A; Noda, I; Takahashi, Y</t>
  </si>
  <si>
    <t>ROBOCUP 2005: ROBOT SOCCER WORLD CUP IX</t>
  </si>
  <si>
    <t>9th International Robocup Symposium</t>
  </si>
  <si>
    <t>JUL 18-19, 2005</t>
  </si>
  <si>
    <t>Separable linear classifiers for online learning in appearance based object detection</t>
  </si>
  <si>
    <t>Gagalowicz, A; Philips, W</t>
  </si>
  <si>
    <t>COMPUTER ANALYSIS OF IMAGES AND PATTERNS, PROCEEDINGS</t>
  </si>
  <si>
    <t>11th International Conference on Computer Analysis of Images and Patterns</t>
  </si>
  <si>
    <t>SEP 05-08, 2005</t>
  </si>
  <si>
    <t>Support Vector Machine to synthesise kernels</t>
  </si>
  <si>
    <t>Meng, HY; Shawe-Taylor, J; Szedmak, S; Farquhar, JDR</t>
  </si>
  <si>
    <t>Winkler, J; Niranjan, M; Lawrence, N</t>
  </si>
  <si>
    <t>DETERMINISTIC AND STATISTICAL METHODS IN MACHINE LEARNING</t>
  </si>
  <si>
    <t>1st International Workshop on Deterministic and Statistical Methods in Machine Learning</t>
  </si>
  <si>
    <t>SEP 07-10, 2004</t>
  </si>
  <si>
    <t>Bento, C; Cardoso, A; Dias, G</t>
  </si>
  <si>
    <t>12th Portuguese Conference on Artificial Intelligence</t>
  </si>
  <si>
    <t>DEC 05-08, 2005</t>
  </si>
  <si>
    <t>A low complexity approximation of probabilistic appearance models</t>
  </si>
  <si>
    <t>Hamdan, R; Heitz, F; Thoraval, L</t>
  </si>
  <si>
    <t>MAY 2003</t>
  </si>
  <si>
    <t>PII S0031-3203(02)00228-5</t>
  </si>
  <si>
    <t>10.1016/S0031-3203(02)00228-5</t>
  </si>
  <si>
    <t>Axiom - A modular visual object retrieval system</t>
  </si>
  <si>
    <t>Wickel, J; Alvarado, P; Dorfler, P; Kruger, T; Kraiss, KF</t>
  </si>
  <si>
    <t>Jarke, M; Koehler, J; Lakemeyer, G</t>
  </si>
  <si>
    <t>KI2002: ADVANCES IN ARTIFICIAL INTELLIGENCE, PROCEEDINGS</t>
  </si>
  <si>
    <t>25th Annual German Conference on Artificial Intelligence</t>
  </si>
  <si>
    <t>SEP 16-20, 2002</t>
  </si>
  <si>
    <t>Topological recognition of polyhedral objects from multiple views</t>
  </si>
  <si>
    <t>Laurentini, A</t>
  </si>
  <si>
    <t>ARTIFICIAL INTELLIGENCE</t>
  </si>
  <si>
    <t>10.1016/S0004-3702(01)00055-8</t>
  </si>
  <si>
    <t>JUL 26 2018</t>
  </si>
  <si>
    <t>10.1016/j.neucom.2018.01.092</t>
  </si>
  <si>
    <t>NetVLAD: CNN Architecture for Weakly Supervised Place Recognition</t>
  </si>
  <si>
    <t>Arandjelovic, Relja; Gronat, Petr; Torii, Akihiko; Pajdla, Tomas; Sivic, Josef</t>
  </si>
  <si>
    <t>10.1109/TPAMI.2017.2711011</t>
  </si>
  <si>
    <t>A real-time implementation of SIFT using GPU</t>
  </si>
  <si>
    <t>Acharya, K. Aniruddha; Babu, R. Venkatesh; Vadhiyar, Sathish S.</t>
  </si>
  <si>
    <t>10.1007/s11554-014-0446-6</t>
  </si>
  <si>
    <t>Nuclear-norm based semi-supervised multiple labels learning</t>
  </si>
  <si>
    <t>Liu, Yang; Nie, Feiping; Gao, QuanXue</t>
  </si>
  <si>
    <t>10.1016/j.neucom.2017.09.039</t>
  </si>
  <si>
    <t>S573</t>
  </si>
  <si>
    <t>S584</t>
  </si>
  <si>
    <t>10.1007/s00521-016-2388-3</t>
  </si>
  <si>
    <t>10.1007/s00521-016-2277-9</t>
  </si>
  <si>
    <t>10.1049/iet-cvi.2016.0178</t>
  </si>
  <si>
    <t>Using Spatial Pooler of Hierarchical Temporal Memory to classify noisy videos with predefined complexity</t>
  </si>
  <si>
    <t>Wielgosz, Maciej; Pietron, Marcin</t>
  </si>
  <si>
    <t>10.1016/j.neucom.2017.02.046</t>
  </si>
  <si>
    <t>Automated Visual Fin Identification of Individual Great White Sharks</t>
  </si>
  <si>
    <t>Hughes, Benjamin; Burghardt, Tilo</t>
  </si>
  <si>
    <t>10.1007/s11263-016-0961-y</t>
  </si>
  <si>
    <t>Cross-Domain Recognition by Identifying Joint Subspaces of Source Domain and Target Domain</t>
  </si>
  <si>
    <t>Lin, Yuewei; Chen, Jing; Cao, Yu; Zhou, Youjie; Zhang, Lingfeng; Tang, Yuan Yan; Wang, Song</t>
  </si>
  <si>
    <t>10.1109/TCYB.2016.2538199</t>
  </si>
  <si>
    <t>Are all objects equal? Deep spatio-temporal importance prediction in driving videos</t>
  </si>
  <si>
    <t>Ohn-Bar, Eshed; Trivedi, Mohan Manubhai</t>
  </si>
  <si>
    <t>10.1016/j.patcog.2016.08.029</t>
  </si>
  <si>
    <t>10.20965/jaciii.2017.p0235</t>
  </si>
  <si>
    <t>Contour Restoration of Text Components for Recognition in Video/Scene Images</t>
  </si>
  <si>
    <t>Wu, Yirui; Shivakumara, Palaiahnakote; Lu, Tong; Tan, Chew Lim; Blumenstein, Michael; Kumar, Govindaraj Hemantha</t>
  </si>
  <si>
    <t>10.1109/TIP.2016.2607426</t>
  </si>
  <si>
    <t>10.1016/j.imavis.2016.04.001</t>
  </si>
  <si>
    <t>Human action recognition with skeleton induced discriminative approximate rigid part model</t>
  </si>
  <si>
    <t>Zhou, Yu; Ming, Anlong</t>
  </si>
  <si>
    <t>NOV 1 2016</t>
  </si>
  <si>
    <t>10.1016/j.patrec.2016.07.025</t>
  </si>
  <si>
    <t>Fusion of FISH image analysis methods of HER2 status determination in breast cancer</t>
  </si>
  <si>
    <t>Les, Tomasz; Markiewicz, Tomasz; Osowski, Stanislaw; Kozlowski, Wojciech; Jesiotr, Marzena</t>
  </si>
  <si>
    <t>10.1016/j.eswa.2016.05.020</t>
  </si>
  <si>
    <t>Lifting Object Detection Datasets into 3D</t>
  </si>
  <si>
    <t>Carreira, Joao; Vicente, Sara; Agapito, Lourdes; Batista, Jorge</t>
  </si>
  <si>
    <t>10.1109/TPAMI.2015.2435707</t>
  </si>
  <si>
    <t>27th IEEE Conference on Computer Vision and Pattern Recognition (CVPR)</t>
  </si>
  <si>
    <t>JUN 23-28, 2014</t>
  </si>
  <si>
    <t>3-Points Convex Hull Matching (3PCHM) for fast and robust point set registration</t>
  </si>
  <si>
    <t>Fan, Jingfan; Yang, Jian; Lu, Feng; Ai, Danni; Zhao, Yitian; Wang, Yongtian</t>
  </si>
  <si>
    <t>JUN 19 2016</t>
  </si>
  <si>
    <t>10.1016/j.neucom.2016.01.078</t>
  </si>
  <si>
    <t>Recognizing unknown objects with attributes relationship model</t>
  </si>
  <si>
    <t>Hoo, Wai Lam; Chan, Chee Seng</t>
  </si>
  <si>
    <t>DEC 15 2015</t>
  </si>
  <si>
    <t>10.1016/j.eswa.2015.07.049</t>
  </si>
  <si>
    <t>10.1007/s11554-013-0385-7</t>
  </si>
  <si>
    <t>Interface Detection Using a Quenched-Noise Version of the Edwards-Wilkinson Equation</t>
  </si>
  <si>
    <t>Turpeinen, Tuomas; Myllys, Markko; Kekalainen, Pekka; Timonen, Jussi</t>
  </si>
  <si>
    <t>10.1109/TIP.2015.2484061</t>
  </si>
  <si>
    <t>Affective Analysis of Professional and Amateur Abstract Paintings Using Statistical Analysis and Art Theory</t>
  </si>
  <si>
    <t>Sartori, Andreza; Yanulevskaya, Victoria; Salah, Almila Akdag; Uijlings, Jasper; Bruni, Elia; Sebe, Nicu</t>
  </si>
  <si>
    <t>ACM TRANSACTIONS ON INTERACTIVE INTELLIGENT SYSTEMS</t>
  </si>
  <si>
    <t>UNSP 8</t>
  </si>
  <si>
    <t>10.1145/2768209</t>
  </si>
  <si>
    <t>Keybook: Unbias object recognition using keywords</t>
  </si>
  <si>
    <t>Hoo, Wai Lam; Lim, Chern Hong; Chan, Chee Seng</t>
  </si>
  <si>
    <t>MAY 15 2015</t>
  </si>
  <si>
    <t>10.1016/j.eswa.2015.01.019</t>
  </si>
  <si>
    <t>Estimation of Sunlight Direction Using 3D Object Models</t>
  </si>
  <si>
    <t>Liu, Yang; Gevers, Theo; Li, Xueqing</t>
  </si>
  <si>
    <t>10.1109/TIP.2014.2378032</t>
  </si>
  <si>
    <t>Geometric Expansion for Local Feature Analysis and Matching</t>
  </si>
  <si>
    <t>Farhan, Erez; Hagege, Rami</t>
  </si>
  <si>
    <t>SIAM JOURNAL ON IMAGING SCIENCES</t>
  </si>
  <si>
    <t>10.1137/140997671</t>
  </si>
  <si>
    <t>Discrete area filters in accurate detection of faces and facial features</t>
  </si>
  <si>
    <t>Naruniec, Jacek</t>
  </si>
  <si>
    <t>10.1016/j.imavis.2014.09.004</t>
  </si>
  <si>
    <t>A primal sketch based framework for bean-shape contour extraction</t>
  </si>
  <si>
    <t>Li, Qi</t>
  </si>
  <si>
    <t>OCT 22 2014</t>
  </si>
  <si>
    <t>10.1016/j.neucom.2014.04.006</t>
  </si>
  <si>
    <t>JUL 1 2014</t>
  </si>
  <si>
    <t>10.1016/j.patrec.2013.09.019</t>
  </si>
  <si>
    <t>Pylon grid: A fast method for human head detection in range images</t>
  </si>
  <si>
    <t>Filipov, Rusi Antonov; Cardeal Padua, Flavio Luis; Buono Carone, Marco Aurelio</t>
  </si>
  <si>
    <t>JAN 16 2013</t>
  </si>
  <si>
    <t>10.1016/j.neucom.2011.12.040</t>
  </si>
  <si>
    <t>Manifold topological multi-resolution analysis method</t>
  </si>
  <si>
    <t>You, Shaodi; Ma, Huimin</t>
  </si>
  <si>
    <t>10.1016/j.patcog.2010.12.023</t>
  </si>
  <si>
    <t>Robust Stereo-Vision Based 3D Object Reconstruction for the Assistive Robot FRIEND</t>
  </si>
  <si>
    <t>Ristic-Durrant, Danijela; Grigorescu, Sorin M.; Graeser, Axel; Cojbasic, Zarko; Nikolic, Vlastimir</t>
  </si>
  <si>
    <t>10.4316/AECE.2011.04003</t>
  </si>
  <si>
    <t>Bayesian belief network learning algorithms for modeling contextual relationships in natural imagery: a comparative study</t>
  </si>
  <si>
    <t>Hasanat, Mozaherul Hoque Abul; Ramachandram, Dhanesh; Mandava, Rajeswari</t>
  </si>
  <si>
    <t>10.1007/s10462-010-9176-8</t>
  </si>
  <si>
    <t>On implementing motion-based Region of Interest detection on multi-core CELL</t>
  </si>
  <si>
    <t>Kumar, Avin; Li, Baoxin</t>
  </si>
  <si>
    <t>10.1016/j.cviu.2010.03.013</t>
  </si>
  <si>
    <t>Adaptive supervision of moving objects for mobile robotics applications</t>
  </si>
  <si>
    <t>Weiss, Norman</t>
  </si>
  <si>
    <t>OCT 31 2009</t>
  </si>
  <si>
    <t>10.1016/j.robot.2009.07.013</t>
  </si>
  <si>
    <t>Context-based object detection in still images</t>
  </si>
  <si>
    <t>Bergboer, N. H.; Postma, E. O.; van den Herik, H. J.</t>
  </si>
  <si>
    <t>SEP 1 2006</t>
  </si>
  <si>
    <t>10.1016/j.imavis.2006.02.024</t>
  </si>
  <si>
    <t>A robust iterative hypothesis testing design of the repeated genetic algorithm</t>
  </si>
  <si>
    <t>Yuen, SY; Lam, HS; Fong, CK; Chen, SF; Chow, CK</t>
  </si>
  <si>
    <t>OCT 1 2005</t>
  </si>
  <si>
    <t>10.1016/j.imavis.2005.07.001</t>
  </si>
  <si>
    <t>Towards real-time object recognition using pairs of lines</t>
  </si>
  <si>
    <t>Meikle, S; Amavasai, BP; Caparrelli, F</t>
  </si>
  <si>
    <t>FEB 2005</t>
  </si>
  <si>
    <t>10.1016/j.rti.2005.02.001</t>
  </si>
  <si>
    <t>Wang, L; Chen, K; Ong, YS</t>
  </si>
  <si>
    <t>1st International Conference on Natural Computation (ICNC 2005)</t>
  </si>
  <si>
    <t>AUG 27-29, 2005</t>
  </si>
  <si>
    <t>Texture segmentation by unsupervised learning and histogram analysis using boundary tracing</t>
  </si>
  <si>
    <t>Lee, W; Kim, W</t>
  </si>
  <si>
    <t>COMPUTATIONAL INTELLIGENCE AND SECURITY, PT 1, PROCEEDINGS</t>
  </si>
  <si>
    <t>International Conference on Computational Intelligence and Security</t>
  </si>
  <si>
    <t>DEC 15-19, 2005</t>
  </si>
  <si>
    <t>Affine invariant fitting of algebraic curves using Fourier descriptors</t>
  </si>
  <si>
    <t>Sener, S; Unel, M</t>
  </si>
  <si>
    <t>10.1007/s10044-005-0245-6</t>
  </si>
  <si>
    <t>Spiders as robust point descriptors</t>
  </si>
  <si>
    <t>Stanski, A; Hellwich, O</t>
  </si>
  <si>
    <t>A scale and viewing point invariant pose estimation</t>
  </si>
  <si>
    <t>Negoita, MG; Howlett, RJ; Jain, LC</t>
  </si>
  <si>
    <t>KNOWLEDGE-BASED INTELLIGENT INFORMATION AND ENGINEERING SYSTEMS, PT 3, PROCEEDINGS</t>
  </si>
  <si>
    <t>8th International Conference on Knowledge-Based Intelligent Information and Engineering Systems</t>
  </si>
  <si>
    <t>SEP, 2004</t>
  </si>
  <si>
    <t>Transitions of the 3D Medial Axis under a One-Parameter Family of Deformations</t>
  </si>
  <si>
    <t>Giblin, Peter J.; Kimia, Benjamin B.; Pollitt, Anthony J.</t>
  </si>
  <si>
    <t>MAY 2009</t>
  </si>
  <si>
    <t>10.1109/TPAMI.2008.120</t>
  </si>
  <si>
    <t>Attention can improve a simple model for object recognition</t>
  </si>
  <si>
    <t>Bermudez-Contreras, E.; Buxton, H.; Spier, E.</t>
  </si>
  <si>
    <t>JUN 2 2008</t>
  </si>
  <si>
    <t>10.1016/j.imavis.2007.08.014</t>
  </si>
  <si>
    <t>The visual active memory perspective on integrated recognition systems</t>
  </si>
  <si>
    <t>Bauckhage, C.; Wachsmuth, S.; Hanheide, M.; Wrede, S.; Sagerer, G.; Heidemann, G.; Ritter, H.</t>
  </si>
  <si>
    <t>10.1016/j.imavis.2005.08.008</t>
  </si>
  <si>
    <t>Yip, Raymond K. K.</t>
  </si>
  <si>
    <t>FEB 1 2007</t>
  </si>
  <si>
    <t>10.1016/j.imavis.2006.01.024</t>
  </si>
  <si>
    <t>Quadtree-based eigendecomposition for pose estimation in the presence of occlusion and background clutter</t>
  </si>
  <si>
    <t>Chang, Chu-Yin; Maciejewski, Anthony A.; Balakrishnan, Venkataramanan; Roberts, Rodney G.; Saitwal, Kishor</t>
  </si>
  <si>
    <t>10.1007/s10044-006-0046-6</t>
  </si>
  <si>
    <t>Global icons and local icons of images based unit-linking PCNN and their application to robot navigation</t>
  </si>
  <si>
    <t>Gu, XD; Zhang, LM</t>
  </si>
  <si>
    <t>Wang, J; Liao, X; Wang, J</t>
  </si>
  <si>
    <t>ADVANCES IN NEURAL NETWORKS - ISNN 2005, PT 2, PROCEEDINGS</t>
  </si>
  <si>
    <t>2nd International Symposium on Neural Networks</t>
  </si>
  <si>
    <t>MAY 30-JUN 01, 2005</t>
  </si>
  <si>
    <t>Object recognition via local patch labelling</t>
  </si>
  <si>
    <t>Bishop, CM; Ulusoy, I</t>
  </si>
  <si>
    <t>A system to navigate a robot into a ship structure</t>
  </si>
  <si>
    <t>Vincze, M; Ayromlou, M; Beltran, C; Gasteratos, A; Hoffgaard, S; Madsen, O; Ponweiser, W; Zillich, M</t>
  </si>
  <si>
    <t>APR 2003</t>
  </si>
  <si>
    <t>10.1007/s00138-002-0098-6</t>
  </si>
  <si>
    <t>Towards automated creation of image interpretation systems</t>
  </si>
  <si>
    <t>Levner, I; Bulitko, V; Li, LH; Lee, G; Greiner, R</t>
  </si>
  <si>
    <t>Gedeon, TD; Fung, LCC</t>
  </si>
  <si>
    <t>AI 2003: ADVANCES IN ARTIFICIAL INTELLIGENCE</t>
  </si>
  <si>
    <t>16th Australian Conference on Artificial Intelligence</t>
  </si>
  <si>
    <t>DEC 03-05, 2003</t>
  </si>
  <si>
    <t>Tripartite line tracks - Bipartite line tracks</t>
  </si>
  <si>
    <t>Gottfried, B</t>
  </si>
  <si>
    <t>Serial multiple classifier systems exploiting a coarse to fine output coding</t>
  </si>
  <si>
    <t>Kittler, J; Ahmadyfard, A; Windridge, D</t>
  </si>
  <si>
    <t>Windeatt, T; Roli, F</t>
  </si>
  <si>
    <t>MULTIPLE CLASSIFIER SYSTEMS, PROCEEDING</t>
  </si>
  <si>
    <t>4th International Workshop on Multiple Clasifier Systems (MCS 2003)</t>
  </si>
  <si>
    <t>JUN 11-13, 2003</t>
  </si>
  <si>
    <t>A biologically motivated scheme for robust junction detection</t>
  </si>
  <si>
    <t>Bulthoff, HH; Lee, SW; Poggio, TA; Wallraven, C</t>
  </si>
  <si>
    <t>BIOLOGICALLY MOTIVATED COMPUTER VISION, PROCEEDINGS</t>
  </si>
  <si>
    <t>2nd International Workshop on Biologically Motivated Computer Vision (BMCV 2002)</t>
  </si>
  <si>
    <t>NOV 22-24, 2002</t>
  </si>
  <si>
    <t>Graph-theoretical methods in computer vision</t>
  </si>
  <si>
    <t>Shokoufandeh, A; Dickinson, S</t>
  </si>
  <si>
    <t>Khosrovshahi, GB; Shokoufandeh, A; Shokrollahi, A</t>
  </si>
  <si>
    <t>THEORETICAL ASPECTS OF COMPUTER SCIENCE</t>
  </si>
  <si>
    <t>1st Summer School on Theoretical Aspects of Computer Science</t>
  </si>
  <si>
    <t>JUL 03-10, 2000</t>
  </si>
  <si>
    <t>A novel probabilistic model for object recognition and pose estimation</t>
  </si>
  <si>
    <t>Hornegger, J; Niemann, H</t>
  </si>
  <si>
    <t>10.1142/S0218001401000903</t>
  </si>
  <si>
    <t>a1</t>
  </si>
  <si>
    <t>a2</t>
  </si>
  <si>
    <t>a3</t>
  </si>
  <si>
    <t>a4</t>
  </si>
  <si>
    <t>a5</t>
  </si>
  <si>
    <t>a6</t>
  </si>
  <si>
    <t>a7</t>
  </si>
  <si>
    <t>a8</t>
  </si>
  <si>
    <t>a9</t>
  </si>
  <si>
    <t>a10</t>
  </si>
  <si>
    <t>a11</t>
  </si>
  <si>
    <t>a12</t>
  </si>
  <si>
    <t>Citas</t>
  </si>
  <si>
    <t>Goldgof,D</t>
  </si>
  <si>
    <t>VanGool,Luc</t>
  </si>
  <si>
    <t>Schettini,Raimondo</t>
  </si>
  <si>
    <t>Papanikolopoulos,Nikolaos</t>
  </si>
  <si>
    <t>Beveridge,J.Ross</t>
  </si>
  <si>
    <t>Celiktutan,Oya</t>
  </si>
  <si>
    <t>Farooq,Abdul</t>
  </si>
  <si>
    <t>Baleghi,Yaser</t>
  </si>
  <si>
    <t>Li,Lin-Hui</t>
  </si>
  <si>
    <t>Iannello,Giulio</t>
  </si>
  <si>
    <t>Feng,Zuren</t>
  </si>
  <si>
    <t>Su,Yu-Ting</t>
  </si>
  <si>
    <t>Li,Xuelong</t>
  </si>
  <si>
    <t>Wang,Kongqiao</t>
  </si>
  <si>
    <t>Hu,Qinghua</t>
  </si>
  <si>
    <t>Li,Jia</t>
  </si>
  <si>
    <t>Saligrama,Venkatesh</t>
  </si>
  <si>
    <t>Bagdanov,AndrewD.</t>
  </si>
  <si>
    <t>Xu,Chunyan</t>
  </si>
  <si>
    <t>Bueno,Gloria</t>
  </si>
  <si>
    <t>Lin,Weisi</t>
  </si>
  <si>
    <t>Moscato,Vincenzo</t>
  </si>
  <si>
    <t>Perona,Pietro</t>
  </si>
  <si>
    <t>Manohar,Vasant</t>
  </si>
  <si>
    <t>Riesenhuber,Maximilian</t>
  </si>
  <si>
    <t>Schindler,Konrad</t>
  </si>
  <si>
    <t>Sun,Jian</t>
  </si>
  <si>
    <t>Zhou,Xi</t>
  </si>
  <si>
    <t>Maybank,S</t>
  </si>
  <si>
    <t>Damen,Dima</t>
  </si>
  <si>
    <t>Li,Shao-Zi</t>
  </si>
  <si>
    <t>Cao,Chunhong</t>
  </si>
  <si>
    <t>Franke,Uwe</t>
  </si>
  <si>
    <t>Gil-Jimenez,Pedro</t>
  </si>
  <si>
    <t>Forest,Josep</t>
  </si>
  <si>
    <t>Ro,YongMan</t>
  </si>
  <si>
    <t>Ulusoy,Oezguer</t>
  </si>
  <si>
    <t>Schuller,Bjoern</t>
  </si>
  <si>
    <t>Fang,Yi</t>
  </si>
  <si>
    <t>Yang,Jiangxin</t>
  </si>
  <si>
    <t>Peng,H.</t>
  </si>
  <si>
    <t>Schnoerr,Christoph</t>
  </si>
  <si>
    <t>Samet,H</t>
  </si>
  <si>
    <t>Verri,Alessandro</t>
  </si>
  <si>
    <t>Koller,Daphne</t>
  </si>
  <si>
    <t>Krause,Jonathan</t>
  </si>
  <si>
    <t>Gao,Xinbo</t>
  </si>
  <si>
    <t>Liu,Jianquan</t>
  </si>
  <si>
    <t>Shafie,AmirAkramin</t>
  </si>
  <si>
    <t>Vinciarelli,Alessandro</t>
  </si>
  <si>
    <t>Bailey,Chris</t>
  </si>
  <si>
    <t>Cazorla,Miguel</t>
  </si>
  <si>
    <t>Moore,SimonC.</t>
  </si>
  <si>
    <t>Kong,Xiang-Wei</t>
  </si>
  <si>
    <t>Papa,JoaoP.</t>
  </si>
  <si>
    <t>Niu,Lingfeng</t>
  </si>
  <si>
    <t>Backhouse,C</t>
  </si>
  <si>
    <t>Bevilacqua,Vitoantonio</t>
  </si>
  <si>
    <t>Lao,Songyang</t>
  </si>
  <si>
    <t>Zhang,Hui</t>
  </si>
  <si>
    <t>Zheng,Chunhou</t>
  </si>
  <si>
    <t>Wu,Fei</t>
  </si>
  <si>
    <t>Murino,Vittorio</t>
  </si>
  <si>
    <t>Wu,Zhenyang</t>
  </si>
  <si>
    <t>Ritter,H</t>
  </si>
  <si>
    <t>Perez,ClaudioA.</t>
  </si>
  <si>
    <t>Ding,Xiaoqing</t>
  </si>
  <si>
    <t>Wu,Chengke</t>
  </si>
  <si>
    <t>Climent,J</t>
  </si>
  <si>
    <t>Li,Xue</t>
  </si>
  <si>
    <t>DelaTorre,F.</t>
  </si>
  <si>
    <t>Fragkiadaki,Katerina</t>
  </si>
  <si>
    <t>Pesaresi,Martino</t>
  </si>
  <si>
    <t>Wang,Zhiquan</t>
  </si>
  <si>
    <t>Puiu,Dan</t>
  </si>
  <si>
    <t>PT</t>
  </si>
  <si>
    <t>AU</t>
  </si>
  <si>
    <t>BA</t>
  </si>
  <si>
    <t>CA</t>
  </si>
  <si>
    <t>GP</t>
  </si>
  <si>
    <t>RI</t>
  </si>
  <si>
    <t>OI</t>
  </si>
  <si>
    <t>BE</t>
  </si>
  <si>
    <t>Z2</t>
  </si>
  <si>
    <t>TI</t>
  </si>
  <si>
    <t>X1</t>
  </si>
  <si>
    <t>Y1</t>
  </si>
  <si>
    <t>Z1</t>
  </si>
  <si>
    <t>FT</t>
  </si>
  <si>
    <t>PN</t>
  </si>
  <si>
    <t>AE</t>
  </si>
  <si>
    <t>Z3</t>
  </si>
  <si>
    <t>SO</t>
  </si>
  <si>
    <t>S1</t>
  </si>
  <si>
    <t>SE</t>
  </si>
  <si>
    <t>BS</t>
  </si>
  <si>
    <t>VL</t>
  </si>
  <si>
    <t>IS</t>
  </si>
  <si>
    <t>MA</t>
  </si>
  <si>
    <t>BP</t>
  </si>
  <si>
    <t>EP</t>
  </si>
  <si>
    <t>AR</t>
  </si>
  <si>
    <t>DI</t>
  </si>
  <si>
    <t>D2</t>
  </si>
  <si>
    <t>EA</t>
  </si>
  <si>
    <t>EY</t>
  </si>
  <si>
    <t>SU</t>
  </si>
  <si>
    <t>PD</t>
  </si>
  <si>
    <t>PY</t>
  </si>
  <si>
    <t>AB</t>
  </si>
  <si>
    <t>X4</t>
  </si>
  <si>
    <t>Y4</t>
  </si>
  <si>
    <t>Z4</t>
  </si>
  <si>
    <t>AK</t>
  </si>
  <si>
    <t>CT</t>
  </si>
  <si>
    <t>CY</t>
  </si>
  <si>
    <t>SP</t>
  </si>
  <si>
    <t>CL</t>
  </si>
  <si>
    <t>TC</t>
  </si>
  <si>
    <t>Z8</t>
  </si>
  <si>
    <t>ZR</t>
  </si>
  <si>
    <t>ZB</t>
  </si>
  <si>
    <t>ZS</t>
  </si>
  <si>
    <t>Z9</t>
  </si>
  <si>
    <t>U1</t>
  </si>
  <si>
    <t>U2</t>
  </si>
  <si>
    <t>SN</t>
  </si>
  <si>
    <t>EI</t>
  </si>
  <si>
    <t>BN</t>
  </si>
  <si>
    <t>UT</t>
  </si>
  <si>
    <t>PM</t>
  </si>
  <si>
    <t>Seo, JoonOh/O-5530-2015; Kim, Hyoungkwan/G-8205-2012</t>
  </si>
  <si>
    <t xml:space="preserve">Seo, JoonOh/0000-0002-5377-7142; </t>
  </si>
  <si>
    <t>1474-0346</t>
  </si>
  <si>
    <t>1873-5320</t>
  </si>
  <si>
    <t>WOS:000355038200009</t>
  </si>
  <si>
    <t>Lecture Notes in Computer Science</t>
  </si>
  <si>
    <t>1st International Conference on Natural Computation (ICNC 2005)1st International Conference on Natural Computation (ICNC 2005)</t>
  </si>
  <si>
    <t>AUG 27-29, 2005AUG 27-29, 2005</t>
  </si>
  <si>
    <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FederatXiangtang Univ; IEEE Circuits &amp; Syst Soc; IEEE Computat Intelligence Soc; IEEE Control Syst Soc; Int Neural Network Soc; European Neural Network Soc; Chinese Assoc Artificial Intelligence; Japanese Neural Network Soc; Int Fuzzy Syst Assoc; Asia Pacific Neural Network Assembly; Fuzzy Math &amp; Syst Assoc China; Hunan Comp Federat</t>
  </si>
  <si>
    <t>Changsha, PEOPLES R CHINAChangsha, PEOPLES R CHINA</t>
  </si>
  <si>
    <t>0302-9743</t>
  </si>
  <si>
    <t>1611-3349</t>
  </si>
  <si>
    <t>3-540-28325-0</t>
  </si>
  <si>
    <t>WOS:000232222500003</t>
  </si>
  <si>
    <t>1568-4946</t>
  </si>
  <si>
    <t>WOS:000227207900006</t>
  </si>
  <si>
    <t>Vats, Ekta/K-2676-2014; Chan, Chee Seng/B-9754-2011</t>
  </si>
  <si>
    <t>Vats, Ekta/0000-0003-4480-3158; Chan, Chee Seng/0000-0001-7677-2865</t>
  </si>
  <si>
    <t>1872-9681</t>
  </si>
  <si>
    <t>WOS:000377999900067</t>
  </si>
  <si>
    <t>0269-2821</t>
  </si>
  <si>
    <t>1573-7462</t>
  </si>
  <si>
    <t>WOS:000438654200005</t>
  </si>
  <si>
    <t>WOS:000438654200003</t>
  </si>
  <si>
    <t>1389-0417</t>
  </si>
  <si>
    <t>WOS:000450854400098</t>
  </si>
  <si>
    <t>7th Asian Conference on Computer Vision7th Asian Conference on Computer Vision</t>
  </si>
  <si>
    <t>JAN 13-15, 2006JAN 13-15, 2006</t>
  </si>
  <si>
    <t>Hyderabad, INDIAHyderabad, INDIA</t>
  </si>
  <si>
    <t>3-540-31244-7</t>
  </si>
  <si>
    <t>WOS:000235773200016</t>
  </si>
  <si>
    <t>Tuytelaars, Tinne/B-4319-2015</t>
  </si>
  <si>
    <t>Tuytelaars, Tinne/0000-0003-3307-9723</t>
  </si>
  <si>
    <t>1077-3142</t>
  </si>
  <si>
    <t>WOS:000256047300004</t>
  </si>
  <si>
    <t>Napoletano, Paolo/B-2186-2009</t>
  </si>
  <si>
    <t>Napoletano, Paolo/0000-0001-9112-0574; Bianco, Simone/0000-0002-7070-1545; SCHETTINI, RAIMONDO/0000-0001-7461-1451; CIOCCA, GIANLUIGI/0000-0003-2878-2131</t>
  </si>
  <si>
    <t>1090-235X</t>
  </si>
  <si>
    <t>WOS:000349588900007</t>
  </si>
  <si>
    <t>Carmona, Enrique/B-8674-2008; Fernandez-Caballero, Antonio/A-8304-2015</t>
  </si>
  <si>
    <t>Carmona, Enrique/0000-0002-7487-745X; Fernandez-Caballero, Antonio/0000-0002-8211-0398</t>
  </si>
  <si>
    <t>WOS:000317538500005</t>
  </si>
  <si>
    <t>Delibasis, Konstantinos/0000-0003-1055-3007</t>
  </si>
  <si>
    <t>WOS:000341482400005</t>
  </si>
  <si>
    <t>WOS:000278443300009</t>
  </si>
  <si>
    <t>Sappa, Angel/A-2072-2009; Lopez, Antonio/L-5303-2014; Ponsa, Daniel/A-5496-2010</t>
  </si>
  <si>
    <t>Lopez, Antonio/0000-0002-6979-5783; Ponsa, Daniel/0000-0002-7330-6524; Sappa, Angel/0000-0003-2468-0031</t>
  </si>
  <si>
    <t>WOS:000277933600008</t>
  </si>
  <si>
    <t>WOS:000168259600010</t>
  </si>
  <si>
    <t>Lindeberg, Tony/G-3580-2011</t>
  </si>
  <si>
    <t>Lindeberg, Tony/0000-0002-9081-2170</t>
  </si>
  <si>
    <t>WOS:000300481700006</t>
  </si>
  <si>
    <t>Hilton, Adrian/N-3736-2014; Fang, Zhijun/L-9620-2013; chen, jia/A-3560-2011</t>
  </si>
  <si>
    <t>Hilton, Adrian/0000-0003-4223-238X; Kruger, Volker/0000-0002-8836-8816</t>
  </si>
  <si>
    <t>WOS:000241689800002</t>
  </si>
  <si>
    <t>WOS:000412965200009</t>
  </si>
  <si>
    <t>Zheng, Zhenzhu/F-1081-2011</t>
  </si>
  <si>
    <t>WOS:000278443300008</t>
  </si>
  <si>
    <t>WOS:000335488600001</t>
  </si>
  <si>
    <t>Crum, William/C-4891-2008</t>
  </si>
  <si>
    <t>Crum, William/0000-0001-9369-2197</t>
  </si>
  <si>
    <t>WOS:000253449800005</t>
  </si>
  <si>
    <t>WOS:000324791400006</t>
  </si>
  <si>
    <t>Suter, David/0000-0001-6306-3023</t>
  </si>
  <si>
    <t>WOS:000255322900001</t>
  </si>
  <si>
    <t>Sankur, Bulent/N-4663-2017</t>
  </si>
  <si>
    <t>WOS:000340692000002</t>
  </si>
  <si>
    <t>WOS:000358701700001</t>
  </si>
  <si>
    <t>Yilmaz, Alper/B-5609-2013</t>
  </si>
  <si>
    <t>Yilmaz, Alper/0000-0003-0755-2628</t>
  </si>
  <si>
    <t>WOS:000340692000006</t>
  </si>
  <si>
    <t>Natarajan, Meena/J-9167-2012</t>
  </si>
  <si>
    <t>Natarajan, Meena/0000-0001-5652-9681</t>
  </si>
  <si>
    <t>WOS:000378471300004</t>
  </si>
  <si>
    <t>WOS:000328591500005</t>
  </si>
  <si>
    <t>baleghi, yasser/0000-0002-2882-4613</t>
  </si>
  <si>
    <t>0954-0091</t>
  </si>
  <si>
    <t>1360-0494</t>
  </si>
  <si>
    <t>WOS:000370665800002</t>
  </si>
  <si>
    <t>De Silva, Liyanage/0000-0001-7128-5945</t>
  </si>
  <si>
    <t>10.1016/j.engappai.2012.05.002</t>
  </si>
  <si>
    <t>0952-1976</t>
  </si>
  <si>
    <t>1873-6769</t>
  </si>
  <si>
    <t>WOS:000309787800003</t>
  </si>
  <si>
    <t>Olague, Gustavo/L-7795-2014</t>
  </si>
  <si>
    <t>Olague, Gustavo/0000-0001-5773-9517; Trujillo, Leonardo/0000-0003-1812-5736</t>
  </si>
  <si>
    <t>1063-6560</t>
  </si>
  <si>
    <t>WOS:000262218000004</t>
  </si>
  <si>
    <t>0957-4174</t>
  </si>
  <si>
    <t>1873-6793</t>
  </si>
  <si>
    <t>WOS:000414619600039</t>
  </si>
  <si>
    <t>WOS:000407183900004</t>
  </si>
  <si>
    <t>guo, lie/0000-0001-6823-5488; Ge, Pingshu/0000-0002-5413-7526</t>
  </si>
  <si>
    <t>WOS:000299583700041</t>
  </si>
  <si>
    <t>Iannello, Giulio/0000-0003-3864-5800; Onofri, Leonardo/0000-0001-7305-0672</t>
  </si>
  <si>
    <t>WOS:000382273700009</t>
  </si>
  <si>
    <t>WOS:000448097700038</t>
  </si>
  <si>
    <t>Kuijper, Arjan/0000-0002-6413-0061</t>
  </si>
  <si>
    <t>WOS:000326214700018</t>
  </si>
  <si>
    <t>1949-3045</t>
  </si>
  <si>
    <t>WOS:000443893400005</t>
  </si>
  <si>
    <t>2168-2267</t>
  </si>
  <si>
    <t>2168-2275</t>
  </si>
  <si>
    <t>WOS:000388923100028</t>
  </si>
  <si>
    <t>WOS:000403814300016</t>
  </si>
  <si>
    <t>Li, Xuelong/0000-0002-0019-4197</t>
  </si>
  <si>
    <t>WOS:000327647500029</t>
  </si>
  <si>
    <t>WOS:000343319700012</t>
  </si>
  <si>
    <t>WOS:000396396700012</t>
  </si>
  <si>
    <t>Cheng, Ming-Ming/A-2527-2009</t>
  </si>
  <si>
    <t>Cheng, Ming-Ming/0000-0001-5550-8758</t>
  </si>
  <si>
    <t>1057-7149</t>
  </si>
  <si>
    <t>1941-0042</t>
  </si>
  <si>
    <t>WOS:000364047000005</t>
  </si>
  <si>
    <t>WOS:000355210700005</t>
  </si>
  <si>
    <t>WOS:000283593800008</t>
  </si>
  <si>
    <t>Lopez, Antonio/L-5303-2014; van de Weijer, Joost/A-1643-2009</t>
  </si>
  <si>
    <t>Lopez, Antonio/0000-0002-6979-5783; Bagdanov, Andrew/0000-0001-6408-7043; van de Weijer, Joost/0000-0002-9656-9706</t>
  </si>
  <si>
    <t>WOS:000360408800004</t>
  </si>
  <si>
    <t>WOS:000430729700013</t>
  </si>
  <si>
    <t>WOS:000252454800009</t>
  </si>
  <si>
    <t>Wang, Limin/0000-0002-3674-7718</t>
  </si>
  <si>
    <t>WOS:000329581800025</t>
  </si>
  <si>
    <t>WOS:000369537300003</t>
  </si>
  <si>
    <t>Serrano Gracia, Ismael/0000-0002-3869-9369</t>
  </si>
  <si>
    <t>10.1109/TIP.2018.2845742</t>
  </si>
  <si>
    <t>WOS:000437028300006</t>
  </si>
  <si>
    <t>Estrela, Vania/I-7599-2012; Maddalena, Lucia/K-5508-2013</t>
  </si>
  <si>
    <t>Estrela, Vania/0000-0002-4465-7691; Maddalena, Lucia/0000-0002-0567-4624</t>
  </si>
  <si>
    <t>10.1109/TIP.2008.924285</t>
  </si>
  <si>
    <t>WOS:000256885700012</t>
  </si>
  <si>
    <t>Lin, Weisi/0000-0001-9866-1947</t>
  </si>
  <si>
    <t>2162-237X</t>
  </si>
  <si>
    <t>2162-2388</t>
  </si>
  <si>
    <t>WOS:000427859600043</t>
  </si>
  <si>
    <t>Picariello, Antonio/G-9062-2012; Moscato, Vincenzo/H-2526-2012; Picariello, Antonio/L-6820-2015</t>
  </si>
  <si>
    <t>Picariello, Antonio/0000-0003-4804-1007; Moscato, Vincenzo/0000-0002-0754-7696</t>
  </si>
  <si>
    <t>0162-8828</t>
  </si>
  <si>
    <t>1939-3539</t>
  </si>
  <si>
    <t>WOS:000283558700010</t>
  </si>
  <si>
    <t>WOS:000300581700009</t>
  </si>
  <si>
    <t>WOS:000287370400006</t>
  </si>
  <si>
    <t>WOS:000294910000006</t>
  </si>
  <si>
    <t>WOS:000372549700016</t>
  </si>
  <si>
    <t>WOS:000385945000014</t>
  </si>
  <si>
    <t>WOS:000261846800009</t>
  </si>
  <si>
    <t>WOS:000338209900003</t>
  </si>
  <si>
    <t>WOS:000312560600018</t>
  </si>
  <si>
    <t>WOS:000287370400008</t>
  </si>
  <si>
    <t>Serre, Thomas/A-1865-2011</t>
  </si>
  <si>
    <t>Riesenhuber, Maximilian/0000-0002-5744-0408</t>
  </si>
  <si>
    <t>WOS:000243420500004</t>
  </si>
  <si>
    <t>WOS:000290574000003</t>
  </si>
  <si>
    <t>Pauldurai, Jona/0000-0002-7217-0872</t>
  </si>
  <si>
    <t>WOS:000314931000009</t>
  </si>
  <si>
    <t>WOS:000293969000006</t>
  </si>
  <si>
    <t>WOS:000306409100004</t>
  </si>
  <si>
    <t>WOS:000384240600002</t>
  </si>
  <si>
    <t>YANG, Can/J-8790-2014</t>
  </si>
  <si>
    <t>YANG, Can/0000-0003-3368-3082; Yu, Weichuan/0000-0002-5510-6916</t>
  </si>
  <si>
    <t>WOS:000314792900007</t>
  </si>
  <si>
    <t>WOS:000324830900004</t>
  </si>
  <si>
    <t>1083-4419</t>
  </si>
  <si>
    <t>WOS:000308995000005</t>
  </si>
  <si>
    <t>Fang, Zhijun/L-9620-2013</t>
  </si>
  <si>
    <t>Wang, Yunlong/0000-0002-3535-308X</t>
  </si>
  <si>
    <t>10.1109/TSMCC.2004.829274</t>
  </si>
  <si>
    <t>AUG 2004</t>
  </si>
  <si>
    <t>1094-6977</t>
  </si>
  <si>
    <t>1558-2442</t>
  </si>
  <si>
    <t>WOS:000222721200010</t>
  </si>
  <si>
    <t>Paiement, Adeline/0000-0001-5114-1514</t>
  </si>
  <si>
    <t>1751-9632</t>
  </si>
  <si>
    <t>1751-9640</t>
  </si>
  <si>
    <t>WOS:000401447200001</t>
  </si>
  <si>
    <t>Sarkar, Sudeep/A-8213-2009</t>
  </si>
  <si>
    <t>Sarkar, Sudeep/0000-0001-7332-4207</t>
  </si>
  <si>
    <t>WOS:000318228200003</t>
  </si>
  <si>
    <t>Oberli, Christian/F-8252-2013; Torres-Torriti, Miguel/F-8240-2013</t>
  </si>
  <si>
    <t>Oberli, Christian/0000-0003-3068-096X; Torres-Torriti, Miguel/0000-0002-7904-7981</t>
  </si>
  <si>
    <t>WOS:000308695000004</t>
  </si>
  <si>
    <t>WOS:000380260100012</t>
  </si>
  <si>
    <t>WOS:000418460300002</t>
  </si>
  <si>
    <t>Gasteratos, Antonios/B-7796-2012</t>
  </si>
  <si>
    <t>Gasteratos, Antonios/0000-0002-5421-0332</t>
  </si>
  <si>
    <t>WOS:000299324300007</t>
  </si>
  <si>
    <t>Digital Image Computing Technology and Applications Conference 2007Digital Image Computing Technology and Applications Conference 2007</t>
  </si>
  <si>
    <t>Australian Pattern Recognit Soc, Queensland, AUSTRALIAAustralian Pattern Recognit Soc, Queensland, AUSTRALIA</t>
  </si>
  <si>
    <t>WOS:000262497800006</t>
  </si>
  <si>
    <t>WOS:000418460300016</t>
  </si>
  <si>
    <t>WOS:000361362400001</t>
  </si>
  <si>
    <t>1751-9659</t>
  </si>
  <si>
    <t>1751-9667</t>
  </si>
  <si>
    <t>WOS:000430839800022</t>
  </si>
  <si>
    <t>WOS:000419403600016</t>
  </si>
  <si>
    <t>WOS:000454356600014</t>
  </si>
  <si>
    <t>0262-8856</t>
  </si>
  <si>
    <t>WOS:000238878200002</t>
  </si>
  <si>
    <t>1872-8138</t>
  </si>
  <si>
    <t>WOS:000425075100001</t>
  </si>
  <si>
    <t>Carneiro, Gustavo/0000-0002-5571-6220</t>
  </si>
  <si>
    <t>3rd Canadian Conference on Computer and Robot Vision3rd Canadian Conference on Computer and Robot Vision</t>
  </si>
  <si>
    <t>Int Assoc Pattern Recognit; Canadian Image Proc &amp; Pattern Recognit SocInt Assoc Pattern Recognit; Canadian Image Proc &amp; Pattern Recognit Soc</t>
  </si>
  <si>
    <t>Quebec City, CANADAQuebec City, CANADA</t>
  </si>
  <si>
    <t>WOS:000261819700014</t>
  </si>
  <si>
    <t>WOS:000419418900004</t>
  </si>
  <si>
    <t>Smeaton, Alan/0000-0003-1028-8389; O'Connor, Noel/0000-0002-4033-9135</t>
  </si>
  <si>
    <t>WOS:000268403800004</t>
  </si>
  <si>
    <t>WOS:000251299100009</t>
  </si>
  <si>
    <t>WOS:000428487500004</t>
  </si>
  <si>
    <t>WOS:000449893800010</t>
  </si>
  <si>
    <t>Fofi, David/F-4087-2012; Salvi, Joaquim/L-2648-2014</t>
  </si>
  <si>
    <t>Fofi, David/0000-0002-9180-9539; Salvi, Joaquim/0000-0002-9482-7126; Forest, Josep/0000-0002-4868-5884</t>
  </si>
  <si>
    <t>WOS:000245166200006</t>
  </si>
  <si>
    <t>Ro, Yong Man/C-1731-2011</t>
  </si>
  <si>
    <t>WOS:000395844700008</t>
  </si>
  <si>
    <t>Gudukbay, Ugur/F-1012-2011</t>
  </si>
  <si>
    <t>Gudukbay, Ugur/0000-0003-2462-6959</t>
  </si>
  <si>
    <t>WOS:000259330700008</t>
  </si>
  <si>
    <t>Garcia, David/A-2113-2014</t>
  </si>
  <si>
    <t>Garcia, David/0000-0002-2820-9151</t>
  </si>
  <si>
    <t>WOS:000412618500002</t>
  </si>
  <si>
    <t>WOS:000247846000009</t>
  </si>
  <si>
    <t>WOS:000170745500003</t>
  </si>
  <si>
    <t>WOS:000389164300005</t>
  </si>
  <si>
    <t>WOS:000389164300002</t>
  </si>
  <si>
    <t>PII S0262-8856(02)00127-0</t>
  </si>
  <si>
    <t>10.1016/S0262-8856(02)00127-0</t>
  </si>
  <si>
    <t>JAN 10 2003</t>
  </si>
  <si>
    <t>1st International Workshop on Generative-Model-Based Vision1st International Workshop on Generative-Model-Based Vision</t>
  </si>
  <si>
    <t>JUN 02, 2002JUN 02, 2002</t>
  </si>
  <si>
    <t>COPENHAGEN, DENMARKCOPENHAGEN, DENMARK</t>
  </si>
  <si>
    <t>WOS:000180974800013</t>
  </si>
  <si>
    <t>cao, yanlong/0000-0003-0383-6586</t>
  </si>
  <si>
    <t>1566-2535</t>
  </si>
  <si>
    <t>1872-6305</t>
  </si>
  <si>
    <t>WOS:000449448400018</t>
  </si>
  <si>
    <t>1079-8587</t>
  </si>
  <si>
    <t>2326-005X</t>
  </si>
  <si>
    <t>WOS:000341990500005</t>
  </si>
  <si>
    <t>Lopez, Antonio/L-5303-2014</t>
  </si>
  <si>
    <t>Lopez, Antonio/0000-0002-6979-5783</t>
  </si>
  <si>
    <t>0920-5691</t>
  </si>
  <si>
    <t>WOS:000279195800003</t>
  </si>
  <si>
    <t>1573-1405</t>
  </si>
  <si>
    <t>WOS:000273242300006</t>
  </si>
  <si>
    <t>WOS:000170161400004</t>
  </si>
  <si>
    <t>Duraiswami, Ramani/J-6070-2012</t>
  </si>
  <si>
    <t>Duraiswami, Ramani/0000-0002-5596-8460</t>
  </si>
  <si>
    <t>WOS:000221100800003</t>
  </si>
  <si>
    <t>WOS:000264520400004</t>
  </si>
  <si>
    <t>WOS:000266037900003</t>
  </si>
  <si>
    <t>WOS:000252185800006</t>
  </si>
  <si>
    <t>IEEE-Computer-Society Conference on Computer Vision and Pattern RecognitionIEEE-Computer-Society Conference on Computer Vision and Pattern Recognition</t>
  </si>
  <si>
    <t>JUN, 2004JUN, 2004</t>
  </si>
  <si>
    <t>IEEE Comp SocIEEE Comp Soc</t>
  </si>
  <si>
    <t>Washington, DCWashington, DC</t>
  </si>
  <si>
    <t>WOS:000239828100002</t>
  </si>
  <si>
    <t>Ouyang, Wanli/I-7135-2018</t>
  </si>
  <si>
    <t>Ouyang, Wanli/0000-0002-9163-2761</t>
  </si>
  <si>
    <t>WOS:000382092100002</t>
  </si>
  <si>
    <t>Vadakkepat, Prahlad/0000-0003-2649-9893; Loh, Ai Poh/0000-0002-6851-0133</t>
  </si>
  <si>
    <t>WOS:000314719000002</t>
  </si>
  <si>
    <t>WOS:000365089800001</t>
  </si>
  <si>
    <t>WOS:000262986100001</t>
  </si>
  <si>
    <t>WOS:000187927800001</t>
  </si>
  <si>
    <t>9th European Conference on Computer Vision (ECCV 2006)9th European Conference on Computer Vision (ECCV 2006)</t>
  </si>
  <si>
    <t>MAY 07-13, 2006MAY 07-13, 2006</t>
  </si>
  <si>
    <t>Adv Comp Vis; Graz Univ Technol; Univ LjubljanaAdv Comp Vis; Graz Univ Technol; Univ Ljubljana</t>
  </si>
  <si>
    <t>Graz, AUSTRIAGraz, AUSTRIA</t>
  </si>
  <si>
    <t>WOS:000261968900002</t>
  </si>
  <si>
    <t>WOS:000252685500001</t>
  </si>
  <si>
    <t>1349-4198</t>
  </si>
  <si>
    <t>1349-418X</t>
  </si>
  <si>
    <t>WOS:000264294800025</t>
  </si>
  <si>
    <t>1868-8071</t>
  </si>
  <si>
    <t>1868-808X</t>
  </si>
  <si>
    <t>WOS:000209203200004</t>
  </si>
  <si>
    <t>Lopez-Rubio, Ezequiel/K-3821-2014; Dominguez, Enrique/K-8465-2012; Luque Baena, Rafael Marcos/G-5154-2015; Luque Baena, Rafael Marcos/Q-8132-2018</t>
  </si>
  <si>
    <t>Lopez-Rubio, Ezequiel/0000-0001-8231-5687; Dominguez, Enrique/0000-0002-2232-4562; Luque Baena, Rafael Marcos/0000-0001-5536-1805; Luque Baena, Rafael Marcos/0000-0001-5536-1805</t>
  </si>
  <si>
    <t>0129-0657</t>
  </si>
  <si>
    <t>1793-6462</t>
  </si>
  <si>
    <t>WOS:000293293900005</t>
  </si>
  <si>
    <t>FOGGIA, PASQUALE/0000-0002-7096-1902</t>
  </si>
  <si>
    <t>0218-0014</t>
  </si>
  <si>
    <t>1793-6381</t>
  </si>
  <si>
    <t>WOS:000337801000001</t>
  </si>
  <si>
    <t>Sert, Mustafa/D-3080-2015</t>
  </si>
  <si>
    <t>Sert, Mustafa/0000-0002-7056-4245</t>
  </si>
  <si>
    <t>1793-351X</t>
  </si>
  <si>
    <t>1793-7108</t>
  </si>
  <si>
    <t>WOS:000389655900006</t>
  </si>
  <si>
    <t>0218-2130</t>
  </si>
  <si>
    <t>1793-6349</t>
  </si>
  <si>
    <t>WOS:000428946300001</t>
  </si>
  <si>
    <t>WOS:000329050600002</t>
  </si>
  <si>
    <t>10.1142/S0218213018500239</t>
  </si>
  <si>
    <t>WOS:000450113400002</t>
  </si>
  <si>
    <t>1433-2833</t>
  </si>
  <si>
    <t>WOS:000247734800005</t>
  </si>
  <si>
    <t>1343-0130</t>
  </si>
  <si>
    <t>1883-8014</t>
  </si>
  <si>
    <t>WOS:000398603500008</t>
  </si>
  <si>
    <t>Workshop of the PRedictive ReasOning and Multisource Fusion Empowering AntiCipation of Attacks and Terrorist Actions In Urban EnVironmEnts (FP Project Proactive)Workshop of the PRedictive ReasOning and Multisource Fusion Empowering AntiCipation of Attacks and Terrorist Actions In Urban EnVironmEnts (FP Project Proactive)</t>
  </si>
  <si>
    <t>FEB, 2015FEB, 2015</t>
  </si>
  <si>
    <t>Milano, ITALYMilano, ITALY</t>
  </si>
  <si>
    <t>1868-5137</t>
  </si>
  <si>
    <t>1868-5145</t>
  </si>
  <si>
    <t>WOS:000398716900008</t>
  </si>
  <si>
    <t>Salah, Albert Ali/E-5820-2013</t>
  </si>
  <si>
    <t>Salah, Albert Ali/0000-0001-6342-428X; Vinciarelli, Alessandro/0000-0002-9048-0524</t>
  </si>
  <si>
    <t>1876-1364</t>
  </si>
  <si>
    <t>1876-1372</t>
  </si>
  <si>
    <t>WOS:000293798600002</t>
  </si>
  <si>
    <t>0921-0296</t>
  </si>
  <si>
    <t>WOS:000226911200003</t>
  </si>
  <si>
    <t>de la Escalera, Arturo/K-1251-2014; Armingol, Jose M/K-6816-2014</t>
  </si>
  <si>
    <t>de la Escalera, Arturo/0000-0002-2618-857X; Armingol, Jose M/0000-0002-3353-9956; Flores Calero, Marco Javier/0000-0001-7507-3325</t>
  </si>
  <si>
    <t>WOS:000280080700001</t>
  </si>
  <si>
    <t>0924-9907</t>
  </si>
  <si>
    <t>WOS:000307772900009</t>
  </si>
  <si>
    <t>1861-8200</t>
  </si>
  <si>
    <t>WOS:000307539100006</t>
  </si>
  <si>
    <t>1861-8219</t>
  </si>
  <si>
    <t>WOS:000406199400006</t>
  </si>
  <si>
    <t>Meng, Hongying/O-5192-2014</t>
  </si>
  <si>
    <t>Meng, Hongying/0000-0002-8836-1382</t>
  </si>
  <si>
    <t>WOS:000207723900005</t>
  </si>
  <si>
    <t>GARCIA-RODRIGUEZ, JOSE/M-1388-2014</t>
  </si>
  <si>
    <t>GARCIA-RODRIGUEZ, JOSE/0000-0002-7798-3055; Cazorla, Miguel/0000-0001-6805-3633; Orts-Escolano, Sergio/0000-0001-6817-6326; Morell, Vicente/0000-0002-0604-0623</t>
  </si>
  <si>
    <t>WOS:000365269700005</t>
  </si>
  <si>
    <t>WOS:000406199400011</t>
  </si>
  <si>
    <t>Szwoch, Grzegorz/0000-0002-6718-6052</t>
  </si>
  <si>
    <t>WOS:000368377800011</t>
  </si>
  <si>
    <t>Wachs, Juan/0000-0002-6425-5745</t>
  </si>
  <si>
    <t>WOS:000284330400003</t>
  </si>
  <si>
    <t>0932-8092</t>
  </si>
  <si>
    <t>WOS:000259672400002</t>
  </si>
  <si>
    <t>1432-1769</t>
  </si>
  <si>
    <t>WOS:000399899800008</t>
  </si>
  <si>
    <t>WOS:000316361400010</t>
  </si>
  <si>
    <t>17th International Conference on Pattern Recognition (ICPR)17th International Conference on Pattern Recognition (ICPR)</t>
  </si>
  <si>
    <t>AUG 23-26, 2004AUG 23-26, 2004</t>
  </si>
  <si>
    <t>Int Assoc Pattern Recognit; Univ Surrey; UniS; IEEE Comp Soc; HP Res Labs BristolInt Assoc Pattern Recognit; Univ Surrey; UniS; IEEE Comp Soc; HP Res Labs Bristol</t>
  </si>
  <si>
    <t>British Machine Vis Assoc, Cambridge, ENGLANDBritish Machine Vis Assoc, Cambridge, ENGLAND</t>
  </si>
  <si>
    <t>WOS:000225521900009</t>
  </si>
  <si>
    <t>WOS:000185702100005</t>
  </si>
  <si>
    <t>VELASTIN, SERGIO ALEJANDRO/0000-0001-6775-7137</t>
  </si>
  <si>
    <t>10.1007/s00138-007-0077-z</t>
  </si>
  <si>
    <t>WOS:000259672400006</t>
  </si>
  <si>
    <t>Vazquez, Roberto/B-8380-2016</t>
  </si>
  <si>
    <t>Vazquez, Roberto/0000-0002-7645-4610; Sossa Azuela, Juan Humberto/0000-0002-0521-4898</t>
  </si>
  <si>
    <t>Lecture Notes in Artificial Intelligence</t>
  </si>
  <si>
    <t>4th Mexican International Conference on Artificial Intelligence (MICAI 2005)4th Mexican International Conference on Artificial Intelligence (MICAI 2005)</t>
  </si>
  <si>
    <t>NOV 14-18, 2005NOV 14-18, 2005</t>
  </si>
  <si>
    <t>Monterrey, MEXICOMonterrey, MEXICO</t>
  </si>
  <si>
    <t>3-540-29896-7</t>
  </si>
  <si>
    <t>WOS:000233852000032</t>
  </si>
  <si>
    <t>Wiskott, Laurenz/0000-0001-6237-740X</t>
  </si>
  <si>
    <t>0899-7667</t>
  </si>
  <si>
    <t>1530-888X</t>
  </si>
  <si>
    <t>WOS:000293456300004</t>
  </si>
  <si>
    <t>Zheng, Wei-Shi/J-7661-2016</t>
  </si>
  <si>
    <t>Zheng, Wei-Shi/0000-0001-8327-0003; Hu, Bao-Gang/0000-0002-6916-5394</t>
  </si>
  <si>
    <t>WOS:000291633200008</t>
  </si>
  <si>
    <t>Cepid, CeMEAI/J-2417-2015; Reboucas Filho, Pedro Pedrosa/N-3691-2014</t>
  </si>
  <si>
    <t>Reboucas Filho, Pedro Pedrosa/0000-0002-1878-5489; Albuquerque, Victor/0000-0003-3886-4309</t>
  </si>
  <si>
    <t>0941-0643</t>
  </si>
  <si>
    <t>1433-3058</t>
  </si>
  <si>
    <t>WOS:000417319700047</t>
  </si>
  <si>
    <t>WOS:000412842200014</t>
  </si>
  <si>
    <t>WOS:000431196900014</t>
  </si>
  <si>
    <t>Pilarski, Patrick/C-3485-2008; Musilek, Petr/F-6252-2011</t>
  </si>
  <si>
    <t>Pilarski, Patrick/0000-0003-1686-2978; Musilek, Petr/0000-0002-7780-5048</t>
  </si>
  <si>
    <t>1210-0552</t>
  </si>
  <si>
    <t>WOS:000232532400006</t>
  </si>
  <si>
    <t>Schoner, Gregor/0000-0002-4776-9998</t>
  </si>
  <si>
    <t>0893-6080</t>
  </si>
  <si>
    <t>1879-2782</t>
  </si>
  <si>
    <t>WOS:000257639800003</t>
  </si>
  <si>
    <t>Buongiorno, Domenico/X-4896-2018</t>
  </si>
  <si>
    <t>Buongiorno, Domenico/0000-0002-2024-5369; BRUNETTI, Antonio/0000-0002-1934-0983; Bevilacqua, Vitoantonio/0000-0002-3088-0788</t>
  </si>
  <si>
    <t>0925-2312</t>
  </si>
  <si>
    <t>1872-8286</t>
  </si>
  <si>
    <t>WOS:000432490900002</t>
  </si>
  <si>
    <t>WOS:000374606700005</t>
  </si>
  <si>
    <t>Juang, Chia-Feng/A-8795-2008</t>
  </si>
  <si>
    <t>Juang, Chia-Feng/0000-0002-3713-4315</t>
  </si>
  <si>
    <t>WOS:000259121100053</t>
  </si>
  <si>
    <t>Kok, Ven Jyn/J-8555-2017; Chan, Chee Seng/B-9754-2011</t>
  </si>
  <si>
    <t>Chan, Chee Seng/0000-0001-7677-2865</t>
  </si>
  <si>
    <t>WOS:000370085800032</t>
  </si>
  <si>
    <t>WOS:000454789500041</t>
  </si>
  <si>
    <t>Allinson, Nigel/0000-0002-4775-8332</t>
  </si>
  <si>
    <t>WOS:000257413300002</t>
  </si>
  <si>
    <t>Shao, Ling/D-3535-2011</t>
  </si>
  <si>
    <t>LIU, Yan/0000-0003-4242-4840</t>
  </si>
  <si>
    <t>WOS:000288412600011</t>
  </si>
  <si>
    <t>WOS:000438668100012</t>
  </si>
  <si>
    <t>WOS:000347753600007</t>
  </si>
  <si>
    <t>Zhao, Liming/I-8253-2016; Li, Xi/L-1234-2013</t>
  </si>
  <si>
    <t xml:space="preserve">Zhao, Liming/0000-0002-1467-1230; </t>
  </si>
  <si>
    <t>WOS:000359165000044</t>
  </si>
  <si>
    <t>Del Bue, Alessio/0000-0002-2262-4872; Murino, Vittorio/0000-0002-8645-2328</t>
  </si>
  <si>
    <t>10.1016/j.neucom.2011.12.038</t>
  </si>
  <si>
    <t>WOS:000312175500009</t>
  </si>
  <si>
    <t>1433-7541</t>
  </si>
  <si>
    <t>1433-755X</t>
  </si>
  <si>
    <t>WOS:000374173100019</t>
  </si>
  <si>
    <t>Bulthoff, Heinrich/J-6579-2012</t>
  </si>
  <si>
    <t>Bulthoff, Heinrich/0000-0003-2568-0607</t>
  </si>
  <si>
    <t>26th Annual Pattern Recognition of the German-Association-for-Pattern-Recognition26th Annual Pattern Recognition of the German-Association-for-Pattern-Recognition</t>
  </si>
  <si>
    <t>AUG 30-SEP 01, 2004AUG 30-SEP 01, 2004</t>
  </si>
  <si>
    <t>German Assoc Pattern RecognitGerman Assoc Pattern Recognit</t>
  </si>
  <si>
    <t>Tubingen, GERMANYTubingen, GERMANY</t>
  </si>
  <si>
    <t>3-540-22945-0</t>
  </si>
  <si>
    <t>WOS:000223798300055</t>
  </si>
  <si>
    <t>DIE, Academicos/G-9975-2018; Perez, Claudio/F-3560-2015</t>
  </si>
  <si>
    <t>Perez, Claudio/0000-0002-5484-4159</t>
  </si>
  <si>
    <t>0031-3203</t>
  </si>
  <si>
    <t>1873-5142</t>
  </si>
  <si>
    <t>WOS:000359028900009</t>
  </si>
  <si>
    <t>Handels, Heinz/E-3858-2010; de Ridder, Dick/F-3169-2010</t>
  </si>
  <si>
    <t>de Ridder, Dick/0000-0002-4944-4310</t>
  </si>
  <si>
    <t>WOS:000177396500022</t>
  </si>
  <si>
    <t>Guo, Guodong/0000-0001-9583-0055</t>
  </si>
  <si>
    <t>WOS:000338392400012</t>
  </si>
  <si>
    <t>WOS:000359028900022</t>
  </si>
  <si>
    <t>WOS:000331669300006</t>
  </si>
  <si>
    <t>Zhang, Lei/P-8881-2014; Zhang, David/O-9396-2016</t>
  </si>
  <si>
    <t>Zhang, Lei/0000-0002-2078-4215; Zhang, David/0000-0002-5027-5286</t>
  </si>
  <si>
    <t>WOS:000271145000003</t>
  </si>
  <si>
    <t>WOS:000383007800006</t>
  </si>
  <si>
    <t>Andrade-Cetto, Juan/F-2576-2013</t>
  </si>
  <si>
    <t>Andrade-Cetto, Juan/0000-0002-6354-8941; Sanfeliu, Alberto/0000-0003-3868-9678</t>
  </si>
  <si>
    <t>International Symposium on Image/Video Communication over Fixed and Mobile Networks (ISIVC 2000)International Symposium on Image/Video Communication over Fixed and Mobile Networks (ISIVC 2000)</t>
  </si>
  <si>
    <t>APR, 2000APR, 2000</t>
  </si>
  <si>
    <t>Grp Signaux Communicat Multimedia; Mohammed V-Agdal Univ, GSCM; IAPR; IEEE Signal Process French ChapterrGrp Signaux Communicat Multimedia; Mohammed V-Agdal Univ, GSCM; IAPR; IEEE Signal Process French Chapterr</t>
  </si>
  <si>
    <t>RABAT, MOROCCORABAT, MOROCCO</t>
  </si>
  <si>
    <t>WOS:000173025200009</t>
  </si>
  <si>
    <t>WOS:000412958800008</t>
  </si>
  <si>
    <t>Wu, Lin/0000-0001-6119-058X; Gao, Junbin/0000-0001-9803-0256</t>
  </si>
  <si>
    <t>10.1016/j.patcog.2017.08.029</t>
  </si>
  <si>
    <t>WOS:000412958800020</t>
  </si>
  <si>
    <t>0167-8655</t>
  </si>
  <si>
    <t>1872-7344</t>
  </si>
  <si>
    <t>WOS:000341299600010</t>
  </si>
  <si>
    <t>WOS:000449355800008</t>
  </si>
  <si>
    <t>Bueno, Gloria/K-6286-2014</t>
  </si>
  <si>
    <t>Bueno, Gloria/0000-0002-7345-4869; Deniz, Oscar/0000-0002-0841-4131; Salido Tercero, Jesus/0000-0002-9216-3522</t>
  </si>
  <si>
    <t>WOS:000293487500002</t>
  </si>
  <si>
    <t>Kyrki, Ville/F-3034-2011; Kamarainen, Joni-Kristian/G-4296-2014</t>
  </si>
  <si>
    <t xml:space="preserve">Kyrki, Ville/0000-0002-5230-5549; </t>
  </si>
  <si>
    <t>WOS:000188222200004</t>
  </si>
  <si>
    <t>Li, Ruonan/J-5126-2014</t>
  </si>
  <si>
    <t>WOS:000334315000002</t>
  </si>
  <si>
    <t>Arbelaez, Pablo/0000-0001-5244-2407</t>
  </si>
  <si>
    <t>22nd International Conference on Pattern Recognition (ICPR)22nd International Conference on Pattern Recognition (ICPR)</t>
  </si>
  <si>
    <t>AUG 24-28, 2014AUG 24-28, 2014</t>
  </si>
  <si>
    <t>IEEE Comp Soc; IAPR; Linkopings Univ; Lunds Univ; Uppsala Univ; e Sci Collaborat; Swedish Soc Automated Image Anal; Stockhoms Stad; Swedish e Sci Res Ctr; SICK; Autoliv; IBM Res; Int Journal Automat &amp; CompIEEE Comp Soc; IAPR; Linkopings Univ; Lunds Univ; Uppsala Univ; e Sci Collaborat; Swedish Soc Automated Image Anal; Stockhoms Stad; Swedish e Sci Res Ctr; SICK; Autoliv; IBM Res; Int Journal Automat &amp; Comp</t>
  </si>
  <si>
    <t>Swedish Soc Automated Image Anal, Stockholm, SWEDENSwedish Soc Automated Image Anal, Stockholm, SWEDEN</t>
  </si>
  <si>
    <t>WOS:000372579300002</t>
  </si>
  <si>
    <t>WOS:000443950800044</t>
  </si>
  <si>
    <t>Aksoy, Selim/C-3365-2008</t>
  </si>
  <si>
    <t>Aksoy, Selim/0000-0003-4185-0565; Pesaresi, Martino/0000-0003-0620-439X</t>
  </si>
  <si>
    <t>WOS:000279284000008</t>
  </si>
  <si>
    <t>WOS:000272768300002</t>
  </si>
  <si>
    <t>Lopes, Heitor/0000-0003-3984-1432</t>
  </si>
  <si>
    <t>WOS:000428363000003</t>
  </si>
  <si>
    <t>Lapedriza, Agata/0000-0002-5248-0443; Masip Rodo, David/0000-0001-7898-1847</t>
  </si>
  <si>
    <t>WOS:000364056500009</t>
  </si>
  <si>
    <t>WOS:000324510900002</t>
  </si>
  <si>
    <t>WOS:000176094200003</t>
  </si>
  <si>
    <t>Wang, Xiaogang/L-4369-2014</t>
  </si>
  <si>
    <t>Wang, Xiaogang/0000-0002-9021-0954</t>
  </si>
  <si>
    <t>10.1016/j.patrec.2012.07.005</t>
  </si>
  <si>
    <t>WOS:000311927600002</t>
  </si>
  <si>
    <t>anzhi, yue/A-8609-2012</t>
  </si>
  <si>
    <t>LECTURE NOTES IN COMPUTER SCIENCE</t>
  </si>
  <si>
    <t>25th Pattern Recognition Symposium of the German-Association-for-Pattern-Recognition25th Pattern Recognition Symposium of the German-Association-for-Pattern-Recognition</t>
  </si>
  <si>
    <t>SEP 10-12, 2003SEP 10-12, 2003</t>
  </si>
  <si>
    <t>German Assoc Pattern Recognit; ABW GmbH; DiamlerChrysler AG; Fraunhofer Inst Fabrikbetrieb &amp; automatisier; INB Vis AG; MEGWARE Comp GmbH; SYMACON Engn GmbH; Volkswagen AGGerman Assoc Pattern Recognit; ABW GmbH; DiamlerChrysler AG; Fraunhofer Inst Fabrikbetrieb &amp; automatisier; INB Vis AG; MEGWARE Comp GmbH; SYMACON Engn GmbH; Volkswagen AG</t>
  </si>
  <si>
    <t>MAGDEBURG, GERMANYMAGDEBURG, GERMANY</t>
  </si>
  <si>
    <t>3-540-40861-4</t>
  </si>
  <si>
    <t>WOS:000187294800039</t>
  </si>
  <si>
    <t>LECTURE NOTES IN ARTIFICIAL INTELLIGENCE</t>
  </si>
  <si>
    <t>12th Portuguese Conference on Artificial Intelligence12th Portuguese Conference on Artificial Intelligence</t>
  </si>
  <si>
    <t>DEC 05-08, 2005DEC 05-08, 2005</t>
  </si>
  <si>
    <t>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MachAssoc Portuguesa Intelligenc Artificial; Univ Beira Interior, Dept Informat; Univ Coimbra, Ctr Informat Sistemas; Microsoft Res; Fund Cienc Tecnol; Carmara Municipal Covilha; Parkurbis Parque Cienc Tecnol Covilha S A; IMB-Hoteis; Caixa Geral Depositos; AUTO JARDIM Automoveis, SA; TAP Air Portugal; SEMMAIS com, Programmac Design Interact; OmniSys Tecnol Informac Lda; Regisfund Maquinas Escritor Lda; Costa e Costa Topografia Informat Lda; Eurobit - Sistemas Informat Manutenc Lda; Opt S Vicente; webChairing - Sci Management; IEEE; European Coordinating Comm Artificial Intellligence; Amer Assoc Artificial Intelligence; Assoc Comp Mach</t>
  </si>
  <si>
    <t>Covilha, PORTUGALCovilha, PORTUGAL</t>
  </si>
  <si>
    <t>3-540-30737-0</t>
  </si>
  <si>
    <t>WOS:000234796000009</t>
  </si>
  <si>
    <t>0921-8890</t>
  </si>
  <si>
    <t>WOS:000295912100004</t>
  </si>
  <si>
    <t>WOS:000370393800010</t>
  </si>
  <si>
    <t>WOS:000370393800014</t>
  </si>
  <si>
    <t>Lopes, Heitor/C-4110-2013</t>
  </si>
  <si>
    <t>10.1016/j.patrec.2015.07.012</t>
  </si>
  <si>
    <t>1st International Workshop on Soft Biometrics held in conjunction with the European Computer Vision Conference (ECCV)1st International Workshop on Soft Biometrics held in conjunction with the European Computer Vision Conference (ECCV)</t>
  </si>
  <si>
    <t>SEP 07, 2014SEP 07, 2014</t>
  </si>
  <si>
    <t>Zurich, SWITZERLANDZurich, SWITZERLAND</t>
  </si>
  <si>
    <t>WOS:000365181900005</t>
  </si>
  <si>
    <t>Suandi, Shahrel/D-1776-2009</t>
  </si>
  <si>
    <t>Suandi, Shahrel/0000-0001-9980-7426</t>
  </si>
  <si>
    <t>10.1016/j.engappai.2015.01.007</t>
  </si>
  <si>
    <t>WOS:000353739800009</t>
  </si>
  <si>
    <t>Guaragnella, Cataldo/C-3965-2009</t>
  </si>
  <si>
    <t>Guaragnella, Cataldo/0000-0003-1653-0914; DORAZIO, TIZIANARITA/0000-0003-1473-7110</t>
  </si>
  <si>
    <t>WOS:000347966200009</t>
  </si>
  <si>
    <t>10.1007/s00138-013-0535-8</t>
  </si>
  <si>
    <t>WOS:000342435800008</t>
  </si>
  <si>
    <t>Calderara, Simone/M-6932-2015; Cucchiara, Rita/L-3006-2015</t>
  </si>
  <si>
    <t>Calderara, Simone/0000-0001-9056-1538; Cucchiara, Rita/0000-0002-2239-283X</t>
  </si>
  <si>
    <t>10.1109/TPAMI.2013.230</t>
  </si>
  <si>
    <t>WOS:000338209900012</t>
  </si>
  <si>
    <t>10.1016/j.imavis.2014.02.001</t>
  </si>
  <si>
    <t>WOS:000335109700005</t>
  </si>
  <si>
    <t>10.1007/s10845-012-0663-4</t>
  </si>
  <si>
    <t>0956-5515</t>
  </si>
  <si>
    <t>1572-8145</t>
  </si>
  <si>
    <t>WOS:000332668100010</t>
  </si>
  <si>
    <t>Marques, Jorge/C-1427-2010; Figueiredo, Mario/C-5428-2008; Nascimento, Jacinto/B-6128-2009</t>
  </si>
  <si>
    <t>Marques, Jorge/0000-0002-3800-7756; Figueiredo, Mario/0000-0002-0970-7745; Nascimento, Jacinto/0000-0001-7468-5127</t>
  </si>
  <si>
    <t>WOS:000318476800003</t>
  </si>
  <si>
    <t>10.1109/TPAMI.2011.173</t>
  </si>
  <si>
    <t>WOS:000301747400012</t>
  </si>
  <si>
    <t>Ahad, Md. Atiqur Rahman/0000-0001-8355-7004</t>
  </si>
  <si>
    <t>10.1007/s00138-010-0298-4</t>
  </si>
  <si>
    <t>WOS:000302707100005</t>
  </si>
  <si>
    <t>Ronfard, Remi/0000-0003-4830-5690</t>
  </si>
  <si>
    <t>10.1016/j.cviu.2010.10.002</t>
  </si>
  <si>
    <t>WOS:000286715900008</t>
  </si>
  <si>
    <t>Regazzoni, Carlo/B-6092-2012</t>
  </si>
  <si>
    <t>Regazzoni, Carlo/0000-0001-6617-1417</t>
  </si>
  <si>
    <t>10.3233/AIS-2011-0101</t>
  </si>
  <si>
    <t>WOS:000291688100005</t>
  </si>
  <si>
    <t>10.1016/j.cviu.2010.07.010</t>
  </si>
  <si>
    <t>WOS:000283834900016</t>
  </si>
  <si>
    <t>WOS:000271140100007</t>
  </si>
  <si>
    <t>zhang, jianguo/0000-0001-9317-0268</t>
  </si>
  <si>
    <t>10.1016/j.imavis.2008.06.013</t>
  </si>
  <si>
    <t>MAR 3 2009</t>
  </si>
  <si>
    <t>WOS:000262891600014</t>
  </si>
  <si>
    <t>10.1109/TSMCB.2008.2005643</t>
  </si>
  <si>
    <t>1941-0492</t>
  </si>
  <si>
    <t>WOS:000262562700023</t>
  </si>
  <si>
    <t>Davis, James/D-4314-2012</t>
  </si>
  <si>
    <t>10.1007/s00138-006-0047-x</t>
  </si>
  <si>
    <t>WOS:000243908200004</t>
  </si>
  <si>
    <t>10.1007/s10462-004-4103-5</t>
  </si>
  <si>
    <t>WOS:000227965200001</t>
  </si>
  <si>
    <t>Radhakrishnan, Venkatesh Babu/D-5313-2009</t>
  </si>
  <si>
    <t>10.1016/j.imavis.2003.11.004</t>
  </si>
  <si>
    <t>AUG 1 2004</t>
  </si>
  <si>
    <t>WOS:000221481200002</t>
  </si>
  <si>
    <t>10.1016/j.patcog.2003.09.017</t>
  </si>
  <si>
    <t>APR 2004</t>
  </si>
  <si>
    <t>WOS:000220002200005</t>
  </si>
  <si>
    <t>Ahmad, Ph.D, Awais/0000-0001-5483-2732; Mahmood, Muhammad Tahir/0000-0003-3321-7196; Jabbar, Sohail/0000-0002-2127-1235</t>
  </si>
  <si>
    <t>10.1016/j.compeleceng.2018.03.021</t>
  </si>
  <si>
    <t>0045-7906</t>
  </si>
  <si>
    <t>1879-0755</t>
  </si>
  <si>
    <t>WOS:000441483000023</t>
  </si>
  <si>
    <t>Rodrigues, Joel/A-8103-2013</t>
  </si>
  <si>
    <t>Rodrigues, Joel/0000-0001-8657-3800; Venancio Neto, Augusto/0000-0002-9936-3770</t>
  </si>
  <si>
    <t>10.1109/ACCESS.2018.2803439</t>
  </si>
  <si>
    <t>2169-3536</t>
  </si>
  <si>
    <t>WOS:000428150700001</t>
  </si>
  <si>
    <t>10.1109/MNET.2018.1700415</t>
  </si>
  <si>
    <t>0890-8044</t>
  </si>
  <si>
    <t>1558-156X</t>
  </si>
  <si>
    <t>WOS:000451962400019</t>
  </si>
  <si>
    <t>10.1016/j.compeleceng.2017.11.011</t>
  </si>
  <si>
    <t>WOS:000446151100051</t>
  </si>
  <si>
    <t>Longo, Francesco/0000-0001-6299-140X</t>
  </si>
  <si>
    <t>10.1002/spe.2586</t>
  </si>
  <si>
    <t>0038-0644</t>
  </si>
  <si>
    <t>1097-024X</t>
  </si>
  <si>
    <t>WOS:000437696200004</t>
  </si>
  <si>
    <t>10.1007/s11277-017-5066-6</t>
  </si>
  <si>
    <t>0929-6212</t>
  </si>
  <si>
    <t>1572-834X</t>
  </si>
  <si>
    <t>WOS:000430484600006</t>
  </si>
  <si>
    <t>10.1109/TMM.2017.2764330</t>
  </si>
  <si>
    <t>1520-9210</t>
  </si>
  <si>
    <t>1941-0077</t>
  </si>
  <si>
    <t>WOS:000430728400009</t>
  </si>
  <si>
    <t>10.1109/ACCESS.2018.2839915</t>
  </si>
  <si>
    <t>WOS:000435522600033</t>
  </si>
  <si>
    <t>10.1007/s11227-016-1750-7</t>
  </si>
  <si>
    <t>0920-8542</t>
  </si>
  <si>
    <t>1573-0484</t>
  </si>
  <si>
    <t>WOS:000395006900002</t>
  </si>
  <si>
    <t>Alsmirat, Mohammad/0000-0002-1071-7713; Jararweh, Yaser/0000-0002-4403-3846; Gupta, Brij/0000-0003-4929-4698</t>
  </si>
  <si>
    <t>10.1007/s11227-016-1857-x</t>
  </si>
  <si>
    <t>WOS:000395006900005</t>
  </si>
  <si>
    <t>10.1109/MCOM.2017.1600587CM</t>
  </si>
  <si>
    <t>0163-6804</t>
  </si>
  <si>
    <t>1558-1896</t>
  </si>
  <si>
    <t>WOS:000395574900021</t>
  </si>
  <si>
    <t>Kaugerand, Jaanus/A-4200-2019; Riid, Andri/A-6440-2019</t>
  </si>
  <si>
    <t>Kaugerand, Jaanus/0000-0001-8678-0295; Riid, Andri/0000-0003-0316-7036</t>
  </si>
  <si>
    <t>10.1177/1550147716686578</t>
  </si>
  <si>
    <t>1550-1477</t>
  </si>
  <si>
    <t>WOS:000397660300015</t>
  </si>
  <si>
    <t>Liu, Shuai/0000-0001-9909-0664; Muhammad, Khan/0000-0002-5302-1150; Sangaiah, Arun Kumar/0000-0002-0229-2460</t>
  </si>
  <si>
    <t>10.1109/ACCESS.2018.2834916</t>
  </si>
  <si>
    <t>WOS:000435521500010</t>
  </si>
  <si>
    <t>10.4018/IJDCF.2018010107</t>
  </si>
  <si>
    <t>JAN-MAR 2018</t>
  </si>
  <si>
    <t>1941-6210</t>
  </si>
  <si>
    <t>1941-6229</t>
  </si>
  <si>
    <t>WOS:000428718900007</t>
  </si>
  <si>
    <t>Au, Man Ho/0000-0003-2068-9530</t>
  </si>
  <si>
    <t>10.1016/j.csi.2017.03.005</t>
  </si>
  <si>
    <t>0920-5489</t>
  </si>
  <si>
    <t>1872-7018</t>
  </si>
  <si>
    <t>WOS:000401876900001</t>
  </si>
  <si>
    <t>10.1007/s11042-016-3640-7</t>
  </si>
  <si>
    <t>1380-7501</t>
  </si>
  <si>
    <t>1573-7721</t>
  </si>
  <si>
    <t>WOS:000405528500014</t>
  </si>
  <si>
    <t>10.1007/s11042-016-4086-7</t>
  </si>
  <si>
    <t>WOS:000405528500024</t>
  </si>
  <si>
    <t>10.1177/1474904116654917</t>
  </si>
  <si>
    <t>1474-9041</t>
  </si>
  <si>
    <t>WOS:000387459500003</t>
  </si>
  <si>
    <t>Hossain, M. Anwar/0000-0002-7673-8410</t>
  </si>
  <si>
    <t>10.1007/s11036-016-0699-3</t>
  </si>
  <si>
    <t>1383-469X</t>
  </si>
  <si>
    <t>1572-8153</t>
  </si>
  <si>
    <t>WOS:000385194500008</t>
  </si>
  <si>
    <t>10.1007/s10586-016-0581-x</t>
  </si>
  <si>
    <t>1386-7857</t>
  </si>
  <si>
    <t>1573-7543</t>
  </si>
  <si>
    <t>WOS:000382635400017</t>
  </si>
  <si>
    <t>10.1007/s00607-014-0408-7</t>
  </si>
  <si>
    <t>0010-485X</t>
  </si>
  <si>
    <t>1436-5057</t>
  </si>
  <si>
    <t>WOS:000368104400003</t>
  </si>
  <si>
    <t>10.1007/s00779-015-0879-3</t>
  </si>
  <si>
    <t>1617-4909</t>
  </si>
  <si>
    <t>1617-4917</t>
  </si>
  <si>
    <t>WOS:000361653300012</t>
  </si>
  <si>
    <t>Yang, Chao-Tung/B-4562-2009</t>
  </si>
  <si>
    <t>Yang, Chao-Tung/0000-0002-9579-4426; Sheu, Ruey-Kai/0000-0002-3014-8095</t>
  </si>
  <si>
    <t>10.1155/2014/375871</t>
  </si>
  <si>
    <t>1550-1329</t>
  </si>
  <si>
    <t>WOS:000335325700001</t>
  </si>
  <si>
    <t>Ho, Jan-Ming/E-6895-2013; Chang, Ray-I/A-6197-2009</t>
  </si>
  <si>
    <t>Ho, Jan-Ming/0000-0002-2432-8233; Chang, Ray-I/0000-0002-8737-7227</t>
  </si>
  <si>
    <t>10.1007/s10796-010-9255-z</t>
  </si>
  <si>
    <t>1387-3326</t>
  </si>
  <si>
    <t>1572-9419</t>
  </si>
  <si>
    <t>WOS:000305746400003</t>
  </si>
  <si>
    <t>0016-8092</t>
  </si>
  <si>
    <t>WOS:000277258400008</t>
  </si>
  <si>
    <t>10.1016/j.ergon.2018.10.004</t>
  </si>
  <si>
    <t>The objective of this study was to evaluate the risk of musculoskeletal injuries in a banana processing task. A sample of three workers were evaluated with the Nordic questionnaire as well as according to effort, discomfort and usability levels, hand grip dynamometry, inertial sensor motion capture (Xsens) and surface electromyography in the right arm. The workers had musculoskeletal complaints throughout the spine and hips, low effort and discomfort levels, and a satisfactory usability level. The hand grip strength values (dominant: 54.8 Kgf; non-dominant: 54.2 Kgf) were above the reference values for the Brazilian population. Regarding movement analysis, we identified risks related to cervical protrusion, forward and lateral trunk flexion, abduction and flexion in the shoulders, flexion, extension, radial and ulnar deviation in the wrists, as well as repetitive movements. Surface electromyography showed that the greatest demand during the task was on the extensor carpi radialis, although the trapezius and flexor carpi radialis showed a tendency toward fatigue. Thus, the set of evaluations showed that the tool used and worker adaptation to the position of the bunches, together with the repetitious movement, led to inadequate postures and musculoskeletal risks.Relevance to industry: The banana processing activity generates employment and income in several regions of the world and in Brazil. However, it is still rudimentary and may present risks to the worker's health. This study seeks to elucidate ergonomic risks through technological instrumentation in order to have a quantitative assessment of the ergonomic risks.</t>
  </si>
  <si>
    <t>0169-8141</t>
  </si>
  <si>
    <t>1872-8219</t>
  </si>
  <si>
    <t>WOS:000456887600010</t>
  </si>
  <si>
    <t>10.1016/j.ergon.2018.05.016</t>
  </si>
  <si>
    <t>Adequate barrier-free environments for all people have become a pressing concern in several societies. This paper explores the riding tasks, key riding motions, routes, and impacts of other passengers on wheelchair users traveling by rail as well as typical riding therbligs to support the development of universal rail coach layouts appropriate ways to evaluate their efficacy. We present 3 studies. The first examines 15 typical riding therbligs of wheelchair/user combinations obtained through experiments and behavioral observation; the second focuses on 15 segments and 9 electromyograms of typical riding therbligs obtained from motion capture and electromyography experiments; the third used 15 typical riding therbligs of wheelchair/user combinations and modeled them in digital human model simulation systems. In all three studies both wheelchair and wheelchair user characteristics were examined. The subsequent analyses determined that the ideal barrier-free environment with an all-inclusive design demanded no instrumental or service auxiliary elements because users were able to accomplish all tasks with ease. Moreover, the research showed that a universal rail coach layout should provide a unified design of functional and reversible routes for the wheelchair/user combinations to move within the space, strive for the reduction of the entire distances that wheelchair/user combinations must travel, minimize the physical effort required to perform typical riding therbligs. Additionally, the 3D design scheme should match the typical digital riding therbligs. Finally, we summarized the key aspects recommended for Chinese universal rail coach layout and proposed two layout schemes. Findings from these studies may provide useful guidelines and suggestions for layout design of universal rail coaches.</t>
  </si>
  <si>
    <t>WOS:000443788500026</t>
  </si>
  <si>
    <t>10.1177/0018720817753907</t>
  </si>
  <si>
    <t>Objective: To gather information on the (a) types of wearable sensors, particularly personal activity monitors, currently used by occupational safety and health (OSH) professionals; (b) potential benefits of using such technologies in the workplace; and (c) perceived barriers preventing the widespread adoption of wearable sensors in industry.Background: Wearable sensors are increasingly being promoted as a means to improve employee health and well-being, and there is mounting evidence supporting their use as exposure assessment and personal health tools. Despite this, many workplaces have been hesitant to adopt these technologies.Methods: An electronic survey was emailed to 28,428 registered members of the American Society of Safety Engineers (ASSE) and 1,302 professionals certified by the Board of Certification in Professional Ergonomics (BCPE).Results: A total of 952 valid responses were returned. Over half of respondents described being in favor of using wearable sensors to track OSH-related risk factors and relevant exposure metrics at their respective workplaces. However, barriers including concerns regarding employee privacy/confidentiality of collected data, employee compliance, sensor durability, the cost/benefit ratio of using wearables, and good manufacturing practice requirements were described as challenges precluding adoption.Conclusion: The broad adoption of wearable technologies appears to depend largely on the scientific community's ability to successfully address the identified barriers.Application: Investigators may use the information provided to develop research studies that better address OSH practitioner concerns and help technology developers operationalize wearable sensors to improve employee health and well-being.</t>
  </si>
  <si>
    <t>0018-7208</t>
  </si>
  <si>
    <t>1547-8181</t>
  </si>
  <si>
    <t>WOS:000430071400006</t>
  </si>
  <si>
    <t>10.1016/j.apergo.2017.09.007</t>
  </si>
  <si>
    <t>The objective of this study was to evaluate the accuracy of various sensor fusion algorithms for measuring upper arm elevation relative to gravity (i.e., angular displacement and velocity summary measures) across different motion speeds. Thirteen participants completed a cyclic, short duration, arm intensive work task that involved transfering wooden dowels at three work rates (slow, medium, fast). Angular displacement and velocity measurements of upper arm elevation were simultaneously measured using an inertial measurement unit (IMU) and an optical motion capture (OMC) system. Results indicated that IMU-based inclinometer solutions can reduce root-mean-square errors in comparison to accelerometer-based inclination estimates by as much as 87%, depending on the work rate and sensor fusion approach applied. The findings suggest that IMU-based inclinometers can substantially improve inclinometer accuracy in comparison to traditional accelerometer-based inclinometers. Ergonomists may use the non-proprietary sensor fusion algorithms provided here to more accurately estimate upper arm elevation. (C) 2017 Elsevier Ltd. All rights reserved.</t>
  </si>
  <si>
    <t>0003-6870</t>
  </si>
  <si>
    <t>1872-9126</t>
  </si>
  <si>
    <t>WOS:000416880400015</t>
  </si>
  <si>
    <t>Vignais, Nicolas/0000-0002-7267-0236</t>
  </si>
  <si>
    <t>10.1016/j.apergo.2017.05.003</t>
  </si>
  <si>
    <t>The aim of this study was to perform an ergonomic analysis of a material handling task by combining a subtask video analysis and a RULA computation, implemented continuously through a motion capture system combining inertial sensors and electrogoniometers. Five workers participated to the experiment. Seven inertial measurement units, placed on the worker's upper body (pelvis, thorax, head, arms, forearms), were implemented through a biomechanical model of the upper body to continuously provide trunk, neck, shoulder and elbow joint angles. Wrist joint angles were derived from electrogoniometers synchronized with the inertial measurement system. Worker's activity was simultaneously recorded using video. During post-processing, joint angles were used as inputs to a computationally implemented ergonomic evaluation based on the RULA method. Consequently a RULA score was calculated at each time step to characterize the risk of exposure of the upper body (right and left sides). Local risk scores were also computed to identify the anatomical origin of the exposure. Moreover, the video-recorded work activity was time-studied in order to classify and quantify all subtasks involved into the task. Results showed that mean RULA scores were at high risk for all participants (6 and 6.2 for right and left sides respectively). A temporal analysis demonstrated that workers spent most part of the work time at a RULA score of 7 (right: 49.19 35.27%; left: 55.5 29.69%). Mean local scores revealed that most exposed joints during the task were elbows, lower arms, wrists and hands. Elbows and lower arms were indeed at a high level of risk during the total time of a work cycle (100% for right and left sides). Wrist and hands were also exposed to a risky level for much of the period of work (right: 82.13 7.46%; left: 77.85 12.46%). Concerning the subtask analysis, subtasks called 'snow thrower', `opening the vacuum sealer', 'cleaning' and 'storing' have been identified as the most awkward for right and left sides given mean RULA scores and percentages of time spent at risky levels. Results analysis permitted to suggest ergonomic recommendations for the redesign of the workstation. Contributions of the proposed innovative system dedicated to physical ergonomic assessment are further discussed. (C) 2017 Elsevier Ltd. All rights reserved.</t>
  </si>
  <si>
    <t>WOS:000408597400042</t>
  </si>
  <si>
    <t>Manghisi, Vito Modesto/0000-0002-5293-9955; Bevilacqua, Vitoantonio/0000-0002-3088-0788</t>
  </si>
  <si>
    <t>10.1016/j.apergo.2017.02.015</t>
  </si>
  <si>
    <t>The evaluation of the exposure to risk factors in workplaces and their subsequent redesign represent one of the practices to lessen the frequency of work-related musculoskeletal disorders. In this paper we present K2RULA, a semi-automatic RULA evaluation software based on the Microsoft Kinect v2 depth camera, aimed at detecting awkward postures in real time, but also in off-line analysis. We validated our tool with two experiments. In the first one, we compared the K2RULA grand-scores with those obtained with a reference optical motion capture system and we found a statistical perfect match according to the Landis and Koch scale (proportion agreement index = 0.97, k = 0.87). In the second experiment, we evaluated the agreement of the grand-scores returned by the proposed application with those obtained by a RULA expert rater, finding again a statistical perfect match (proportion agreement index = 0.96, k = 0.84), whereas a commercial software based on Kinect v1 sensor showed a lower agreement (proportion agreement index = 0.82, k = 0.34). (C) 2017 Elsevier Ltd. All rights reserved.</t>
  </si>
  <si>
    <t>WOS:000408597400049</t>
  </si>
  <si>
    <t>Poveda-Bautista, Rocio/O-5040-2014</t>
  </si>
  <si>
    <t>Poveda-Bautista, Rocio/0000-0001-8904-5421; Diego-Mas, Jose Antonio/0000-0002-3698-3411</t>
  </si>
  <si>
    <t>10.1016/j.apergo.2017.01.012</t>
  </si>
  <si>
    <t>RGB-D sensors can collect postural data in an automatized way. However, the application of these devices in real work environments requires overcoming problems such as lack of accuracy or body parts' occlusion. This work presents the use of RGB-D sensors and genetic algorithms for the optimization of workstation layouts. RGB-D sensors are used to capture workers' movements when they reach objects on workbenches. Collected data are then used to optimize workstation layout by means of genetic algorithms considering multiple ergonomic criteria. Results show that typical drawbacks of using RGB-D sensors for body tracking are not a problem for this application, and that the combination with intelligent algorithms can automatize the layout design process. The procedure described can be used to automatically suggest new layouts when workers or processes of production change, to adapt layouts to specific workers based on their ways to do the tasks, or to obtain layouts simultaneously optimized for several production processes. (C) 2017 Elsevier Ltd. All rights reserved.</t>
  </si>
  <si>
    <t>WOS:000408597400053</t>
  </si>
  <si>
    <t>Shum, Hubert P. H./E-8060-2015</t>
  </si>
  <si>
    <t>Shum, Hubert P. H./0000-0001-5651-6039; Dumont, Georges/0000-0002-0709-0921; Pontonnier, Charles/0000-0003-1140-3772</t>
  </si>
  <si>
    <t>10.1016/j.ergon.2017.05.010</t>
  </si>
  <si>
    <t>Joint torques and forces are relevant quantities to estimate the biomechanical constraints of working tasks in ergonomics. However, inverse dynamics requires accurate motion capture data, which are generally not available in real manufacturing plants. Markerless and calibrationless measurement systems based on depth cameras, such as the Microsoft Kinect, are promising means to measure 3D poses in real time. Recent works have proposed methods to obtain reliable continuous skeleton data in cluttered environments, with occlusions and inappropriate sensor placement. In this paper, we evaluate the reliability of an inverse dynamics method based on this corrected skeleton data and its potential use to estimate joint torques and forces in such cluttered environments. To this end, we compared the calculated joint torques with those obtained with a reference inverse dynamics method based on an opto-electronic motion capture system. Results show that the Kinect skeleton data enabled the inverse dynamics process to deliver reliable joint torques in occlusion-free (r = 0.99 for the left shoulder elevation) and occluded (r = 0.91 for the left shoulder elevation) environments. However, differences remain between joint torques estimations. Such reliable joint torques open appealing perspectives for the use of new fatigue or solicitation indexes based on internal efforts measured on site.Relevance to industry: The study demonstrates that corrected Kinect data could be used to estimate internal joint torques, using an adapted inverse dynamics method. The method could be applied on-site because it can handle some cases with occlusions. The resulting Kinect-based method is easy-to-use, real-time and could assist ergonomists in risk evaluation on site. (C) 2017 The Authors. Published by Elsevier B.V.</t>
  </si>
  <si>
    <t>WOS:000408787400008</t>
  </si>
  <si>
    <t>10.1080/00140139.2015.1136700</t>
  </si>
  <si>
    <t>The reporting of research in a manner that allows reproduction in subsequent investigations is important for scientific progress. Several details of the recent study by Patrizi et al., Comparison between low-cost marker-less and high-end marker-based motion capture systems for the computer-aided assessment of working ergonomics', are absent from the published manuscript and make reproduction of findings impossible. As new and complex technologies with great promise for ergonomics develop, new but surmountable challenges for reporting investigations using these technologies in a reproducible manner arise.Practitioner Summary: As with traditional methods, scientific reporting of new and complex ergonomics technologies should be performed in a manner that allows reproduction in subsequent investigations and supports scientific advancement.</t>
  </si>
  <si>
    <t>0014-0139</t>
  </si>
  <si>
    <t>1366-5847</t>
  </si>
  <si>
    <t>WOS:000399577900013</t>
  </si>
  <si>
    <t>10.1080/00140139.2017.1282195</t>
  </si>
  <si>
    <t>WOS:000399577900014</t>
  </si>
  <si>
    <t>10.1080/00140139.2015.1079335</t>
  </si>
  <si>
    <t>The accuracy and repeatability of an inertial measurement unit (IMU) system for directly measuring trunk angular displacement and upper arm elevation were evaluated over eight hours (i) in comparison to a gold standard, optical motion capture (OMC) system in a laboratory setting, and (ii) during a field-based assessment of dairy parlour work. Sample-to-sample root mean square differences between the IMU and OMC system ranged from 4.1 degrees to 6.6 degrees for the trunk and 7.2 degrees-12.1 degrees for the upper arm depending on the processing method. Estimates of mean angular displacement and angular displacement variation (difference between the 90th and 10th percentiles of angular displacement) were observed to change &lt; 4.5 degrees on average in the laboratory and &lt; 1.5 degrees on average in the field per eight hours of data collection. Results suggest the IMU system may serve as an acceptable instrument for directly measuring trunk and upper arm postures in field-based occupational exposure assessment studies with long sampling durations.Practitioner Summary: Few studies have evaluated inertial measurement unit (IMU) systems in the field or over long sampling durations. Results of this study indicate that the IMU system evaluated has reasonably good accuracy and repeatability for use in a field setting over a long sampling duration.</t>
  </si>
  <si>
    <t>WOS:000377886600011</t>
  </si>
  <si>
    <t>10.1080/00140139.2015.1051594</t>
  </si>
  <si>
    <t>DEC 2 2015</t>
  </si>
  <si>
    <t>Marker-less 2D video tracking was studied as a practical means to measure upper limb kinematics for ergonomics evaluations. Hand activity level (HAL) can be estimated from speed and duty cycle. Accuracy was measured using a cross-correlation template-matching algorithm for tracking a region of interest on the upper extremities. Ten participants performed a paced load transfer task while varying HAL (2, 4, and 5) and load (2.2 N, 8.9 N and 17.8 N). Speed and acceleration measured from 2D video were compared against ground truth measurements using 3D infrared motion capture. The median absolute difference between 2D video and 3D motion capture was 86.5mm/s for speed, and 591mm/s(2) for acceleration, and less than 93mm/s for speed and 656mm/s(2) for acceleration when camera pan and tilt were within 30 degrees. Single-camera 2D video had sufficient accuracy (&lt;100mm/s) for evaluating HAL.Practitioner Summary: This study demonstrated that 2D video tracking had sufficient accuracy to measure HAL for ascertaining the American Conference of Government Industrial Hygienists Threshold Limit Value((R)) for repetitive motion when the camera is located within +/- 30 degrees off the plane of motion when compared against 3D motion capture for a simulated repetitive motion task.</t>
  </si>
  <si>
    <t>WOS:000367014100011</t>
  </si>
  <si>
    <t>10.1080/00140139.2014.884246</t>
  </si>
  <si>
    <t>APR 3 2014</t>
  </si>
  <si>
    <t>The recent availability of the Kinect (TM) sensor, a low-cost Markerless Motion Capture (MMC) system, could give new and interesting insights into ergonomics (e.g. the creation of a morphological database). Extensive validation of this system is still missing. The aim of the study was to determine if the Kinect (TM) sensor can be used as an easy, cheap and fast tool to conduct morphology estimation. A total of 48 subjects were analysed using MMC. Results were compared with measurements obtained from a high-resolution stereophotogrammetric system, a marker-based system (MBS). Differences between MMC and MBS were found; however, these differences were systematically correlated and enabled regression equations to be obtained to correct MMC results. After correction, final results were in agreement with MBS data (p=0.99). Results show that measurements were reproducible and precise after applying regression equations. Kinect (TM) sensors-based systems therefore seem to be suitable for use as fast and reliable tools to estimate morphology. Practitioner Summary: The Kinect (TM) sensor could eventually be used for fast morphology estimation as a body scanner. This paper presents an extensive validation of this device for anthropometric measurements in comparison to manual measurements and stereophotogrammetric devices. The accuracy is dependent on the segment studied but the reproducibility is excellent.</t>
  </si>
  <si>
    <t>WOS:000334333200014</t>
  </si>
  <si>
    <t>Dutta, Tilak/0000-0003-2675-0195</t>
  </si>
  <si>
    <t>10.1016/j.apergo.2011.09.011</t>
  </si>
  <si>
    <t>Recording posture and movement is important for determining risk of musculoskeletal injury in the workplace, but existing motion capture systems are not suited for field work. Estimates of the 3-D relative positions of four 0.10 m cubes from the Kinect were compared to estimates from a Vicon motion capture system to determine whether the hardware sensing components were sensitive enough to be used as a portable 3-D motion capture system for workplace ergonomic assessments. The root-mean-squared errors (SD) were 0.0065 m (0.0048 m), 0.0109 m (0.0059 m), 0.0057 m (0.0042 m) in the x, y and z directions (with x axis to the right, y axis away from the sensor and z axis upwards). These data were collected over a range of 1.0-3.0 m from the device covering a field of view of 54.0 degrees horizontally and 39.1 degrees vertically. Requirements for software, hardware and subject preparation were also considered to determine the usability of the Kinect in the field. (C) 2011 Elsevier Ltd and The Ergonomics Society. All rights reserved.</t>
  </si>
  <si>
    <t>WOS:000302843900002</t>
  </si>
  <si>
    <t>10.1016/j.apergo.2004.01.003</t>
  </si>
  <si>
    <t>This study investigated the accuracy of video-based observational posture analysis for the elbow and shoulder. Posture analyses were conducted by 28 ergonomists for four jobs presented on a traditional VHS formal video recording. Estimates of posture from the observational-based methods were compared with values measured directly with an optical motion capture system. Ergonomists used categorical posture scales and a continuous visual analog scale to estimate the peals and most frequently occurring or average posture for each job. Use of a three-category scale resulted in misclassifications of peak and most frequently occurring elbow and shoulder Posture with a probability averaging 30.1%. With the six-category posture scale this average probability of misclassification increased to 64.9%. Using a continuous visual analog scale peak shoulder elevation was the only posture for which the average error among ergonomists' estimates was significantly different from zero (p&lt;0.05). Correlations between the estimated postures and measured postures were higher and statistically significant (p&lt;0.05) for elbow flexion and shoulder elevation (r(2) between 0.45 and 0.66) but were considerably lower and not significant (r(2) between 0.03 and 0.18) for the peak and average horizontal shoulder abduction. Ergonomists' estimates of the temporal distribution of shoulder posture, indicating the duration severity of the Posture, appeared to be biased such that the percentage of the cycle time in each posture category was estimated as more uniformly distributed than the measured values indicated. Published by Elsevier Ltd.</t>
  </si>
  <si>
    <t>WOS:000221364100011</t>
  </si>
  <si>
    <t>10.1002/hfm.10018</t>
  </si>
  <si>
    <t>SUM 2002</t>
  </si>
  <si>
    <t>Many existing job analysis tools for ergonomics have concentrated on the potential adverse effects of force, posture, and repetition, as these appear to be traditionally recognized risk factors in the workplace. Recent investigations have indicated that this pragmatic approach may be overly simplistic, and thus miss prediction of risk factors associated with certain motions.This article reviews some of the research under way in the University of Michigan's Human Motion Simulation Laboratory to develop a set of human motion prediction models. To produce these models, over 37,000 motions of 100 men and women from 18 to 78 years in age have been measured with a motion capture system. The motions are typical of people reaching and moving light to moderate load objects while either seated or standing. A 17-link kinematics model has been developed to resolve the dynamics of the motions.Thus far, initial motion algorithms have been developed that capture well over 95 h of the between participant repeatability. Advantages and limitations of the methods and data being used are discussed and illustrated. (C) 2002 Wiley Periodicals, Inc.</t>
  </si>
  <si>
    <t>1090-8471</t>
  </si>
  <si>
    <t>WOS:000176168000001</t>
  </si>
  <si>
    <t>Puthenveetil, Sajeev C.; Daphalapurkar, Chinmay P.; Zhu, Wenjuan; Leu, Ming C.; Liu, Xiaoqing F.; Gilpin-Mcminn, Julie K.; Snodgrass, Scott D.</t>
  </si>
  <si>
    <t>Computer-automated ergonomic analysis based on motion capture and assembly simulation</t>
  </si>
  <si>
    <t>VIRTUAL REALITY</t>
  </si>
  <si>
    <t>10.1007/s10055-015-0261-9</t>
  </si>
  <si>
    <t>This paper describes a method of simulating an assembly operation in a fully immersive virtual environment in order to analyze the postures of workers as they perform assembly operations in aerospace manufacturing. The challenges involved in capturing the movements of humans performing an assembly operation in a real work environment were overcome by developing a marker-based motion capture system and using it in a cave automatic virtual environment (CAVE). The development of the system focuses on real-time human motion capture and automated simulation for ergonomic analysis. Human movements were tracked in a CAVE, with infrared (IR) LEDs mounted on a human body. The captured motion data were used to generate a simulation in real-time and perform an ergonomic analysis in Jack software. The simulation also included the use of Microsoft Kinect as a marker-less human body capture system for the purpose of scaling the digital human model in Jack. The developed system has been demonstrated for human motion capture and ergonomic analysis for the fastening operation of an aircraft fuselage.</t>
  </si>
  <si>
    <t>1359-4338</t>
  </si>
  <si>
    <t>1434-9957</t>
  </si>
  <si>
    <t>WOS:000355826700005</t>
  </si>
  <si>
    <t>Zhang, Zhi-Qiang; Wong, Wai-Choong; Wu, Jian-Kang</t>
  </si>
  <si>
    <t>Wong, Lawrence/0000-0001-6581-234X; Zhang, Zhiqiang/0000-0003-0204-3867</t>
  </si>
  <si>
    <t>Ubiquitous Human Upper-Limb Motion Estimation using Wearable Sensors</t>
  </si>
  <si>
    <t>IEEE TRANSACTIONS ON INFORMATION TECHNOLOGY IN BIOMEDICINE</t>
  </si>
  <si>
    <t>10.1109/TITB.2011.2159122</t>
  </si>
  <si>
    <t>Human motion capture technologies have been widely used in a wide spectrum of applications, including interactive game and learning, animation, film special effects, health care, navigation, and so on. The existing human motion capture techniques, which use structured multiple high-resolution cameras in a dedicated studio, are complicated and expensive. With the rapid development of microsensors-on-chip, human motion capture using wearable microsensors has become an active research topic. Because of the agility in movement, upper-limb motion estimation has been regarded as the most difficult problem in human motion capture. In this paper, we take the upper limb as our research subject and propose a novel ubiquitous upper-limb motion estimation algorithm, which concentrates on modeling the relationship between upper-arm movement and forearm movement. A link structure with 5 degrees of freedom (DOF) is proposed to model the human upper-limb skeleton structure. Parameters are defined according to Denavit-Hartenberg convention, forward kinematics equations are derived, and an unscented Kalman filter is deployed to estimate the defined parameters. The experimental results have shown that the proposed upper-limb motion capture and analysis algorithm outperforms other fusion methods and provides accurate results in comparison to the BTS optical motion tracker.</t>
  </si>
  <si>
    <t>1089-7771</t>
  </si>
  <si>
    <t>1558-0032</t>
  </si>
  <si>
    <t>WOS:000293660300003</t>
  </si>
  <si>
    <t>Capecci, Marianna; Ceravolo, Maria Gabriella; Ferracuti, Francesco; Grugnetti, Martina; Iarlori, Sabrina; Longhi, Sauro; Romeo, Luca; Verdini, Federica</t>
  </si>
  <si>
    <t>An instrumental approach for monitoring physical exercises in a visual markerless scenario: A proof of concept</t>
  </si>
  <si>
    <t>JOURNAL OF BIOMECHANICS</t>
  </si>
  <si>
    <t>10.1016/j.jbiomech.2018.01.008</t>
  </si>
  <si>
    <t>MAR 1 2018</t>
  </si>
  <si>
    <t>This work proposes a real-time monitoring tool aimed to support clinicians for remote assessing exercise performances during home-based rehabilitation. The study relies on clinician indications to define kinematic features, that describe five motor tasks (i.e., the lateral tilt of the trunk, lifting of the arms, trunk rotation, pelvis rotation, squatting) usually adopted in the rehabilitation program for axial disorders. These features are extracted by the Kinect v2 skeleton tracking system and elaborated to return disaggregated scores, representing a measure of subjects performance. A bell-shaped function is used to rank the patient performances and to provide the scores. The proposed rehabilitation tool has been tested on 28 healthy subjects and on 29 patients suffering from different neurological and orthopedic diseases. The reliability of the study has been performed through a cross-sectional controlled design methodology, comparing algorithm scores with respect to blinded judgment provided by clinicians through filling a specific questionnaire. The use of task-specific features and the comparison between the clinical evaluation and the score provided by the instrumental approach constitute the novelty of the study. The proposed methodology is reliable for measuring subject's performance and able to discriminate between the pathological and healthy condition. (C) 2018 Elsevier Ltd. All rights reserved.</t>
  </si>
  <si>
    <t>0021-9290</t>
  </si>
  <si>
    <t>1873-2380</t>
  </si>
  <si>
    <t>WOS:000426229300010</t>
  </si>
  <si>
    <t>Gholipour, A.; Arjmand, N.</t>
  </si>
  <si>
    <t>Artificial neural networks to predict 3D spinal posture in reaching and lifting activities; Applications in biomechanical models</t>
  </si>
  <si>
    <t>10.1016/j.jbiomech.2016.07.008</t>
  </si>
  <si>
    <t>SEP 6 2016</t>
  </si>
  <si>
    <t>Spinal posture is a crucial input in biomechanical models and an essential factor in ergonomics investigations to evaluate risk of low back injury. In vivo measurement of spinal posture through the common motion capture techniques is limited to equipped laboratories and thus impractical for workplace applications. Posture prediction models are therefore considered indispensable tools. This study aims to investigate the capability of artificial neural networks (ANNs) in predicting the three-dimensional posture of the spine (S1, T12 and T1 orientations) in various activities. Two ANNs were trained and tested using measurements from spinal postures of 40 male subjects by an inertial tracking device in various static reaching and lifting (of 5 kg) activities. Inputs of each ANN were position of the hand load and body height, while outputs were rotations of the three foregoing segments relative to their initial orientation in the neutral upright posture. Effect of posture prediction errors on the estimated spinal loads in symmetric reaching activities was also investigated using a biomechanical model. Results indicated that both trained ANNs could generate outputs (three-dimensional orientations of the segments) from novel sets of inputs that were not included in the training processes (root-mean-squared-error (RMSE) &lt; 11 degrees and coefficient-of-determination (R-2) &gt; 0.95). A graphic user interface was designed and made available to facilitate use of the ANNs. The difference between the mean of each measured angle in a reaching task and the corresponding angle in a lifting task remained smaller than 8 degrees. Spinal loads estimated by the biomechanical model based on the predicted postures were on average different by &lt; 12% from those estimated based on the exact measured postures (RMSE=173 and 35 N for the L5-S1 compression and shear loads, respectively). (C) 2016 Elsevier Ltd. All rights reserved.</t>
  </si>
  <si>
    <t>WOS:000385472300051</t>
  </si>
  <si>
    <t>Fradet, Laetitia; Marin, Frederic</t>
  </si>
  <si>
    <t>Classification of physical activities based on body-segments coordination</t>
  </si>
  <si>
    <t>COMPUTERS IN BIOLOGY AND MEDICINE</t>
  </si>
  <si>
    <t>10.1016/j.compbiomed.2016.06.024</t>
  </si>
  <si>
    <t>Numerous innovations based on connected objects and physical activity (PA) monitoring have been proposed. However, recognition of PAs requires robust algorithm and methodology. The current study presents an innovative approach for PA recognition. It is based on the heuristic definition of postures and the use of body-segments coordination obtained through external sensors. The first part of this study presents the methodology required to define the set of accelerations which is the most appropriate to represent the particular body-segments coordination involved in the chosen PAs (here walking, running, and cycling). For that purpose, subjects of different ages and heterogeneous physical conditions walked, ran, cycled, and performed daily activities at different paces. From the 3D motion capture, vertical and horizontal accelerations of 8 anatomical landmarks representative of the body were computed. Then, the 680 combinations from up to 3 accelerations were compared to identify the most appropriate set of acceleration to discriminate the PAs in terms of body segment coordinations. The discrimination was based on the maximal Hausdorff Distance obtained between the different set of accelerations. The vertical accelerations of both knees demonstrated the best PAs discrimination. The second step was the proof of concept, implementing the proposed algorithm to classify PAs of new group of subjects. The originality of the proposed algorithm is the possibility to use the subject's specific measures as reference data. With the proposed algorithm, 94% of the trials were correctly classified.In conclusion, our study proposed a flexible and extendable methodology. At the current stage, the algorithm has been shown to be valid for heterogeneous subjects, which suggests that it could be deployed in clinical or health-related applications regardless of the subjects' physical abilities or characteristics. (C) 2016 Elsevier Ltd. All rights reserved.</t>
  </si>
  <si>
    <t>0010-4825</t>
  </si>
  <si>
    <t>1879-0534</t>
  </si>
  <si>
    <t>WOS:000383522500014</t>
  </si>
  <si>
    <t>Leitkam, Samuel T.; Bush, Tamara Reid; Li, Mingfei</t>
  </si>
  <si>
    <t>Bush, Tamara/0000-0002-2757-0463</t>
  </si>
  <si>
    <t>A Methodology for Quantifying Seated Lumbar Curvatures</t>
  </si>
  <si>
    <t>JOURNAL OF BIOMECHANICAL ENGINEERING-TRANSACTIONS OF THE ASME</t>
  </si>
  <si>
    <t>10.1115/1.4005400</t>
  </si>
  <si>
    <t>To understand the role seating plays in the support of posture and spinal articulation, it is necessary to study the interface between a human and the seat. However, a method to quantify lumbar curvature in commercially available unmodified seats does not currently exist. This work sought to determine if the lumbar curvature for normal ranges of seated posture could be documented by using body landmarks located on the anterior portion of the body. The development of such a methodology will allow researchers to evaluate spinal articulation of a seated subject while in standard, commercially available seats and chairs. Anterior measurements of boney landmarks were used to quantify the relative positions of the ribcage and pelvis while simultaneous posterior measurements were made of lumbar curvature. The relationship between the anterior and the posterior measures was compared. The predictive capacity of this approach was evaluated by determining linear and second-order regressions for each of the four postures across all subjects and conducting a leave-one-out cross validation. The relationships between the anterior and posterior measures were approximated by linear and second-order polynomial regressions (r(2) = 0.829, 0.935 respectively) across all postures. The quantitative analysis showed that openness had a significant relationship with lumbar curvature, and a first-order regression was superior to a second-order regression. Average standard errors in the prediction were 5.9 degrees for the maximum kyphotic posture, 9.9 degrees for the comfortable posture, 12.8 degrees for the straight and tall, and 22.2 degrees for the maximum lordotic posture. These results show predictions of lumbar curvature are possible in seated postures by using a motion capture system and anterior measures. This method of lumbar curvature prediction shows potential for use in the assessment of seated spinal curvatures and the corresponding design of seating to accommodate those curvatures; however, additional inputs will be necessary to better predict the postures as lordosis is increased. [DOI:10.1115/1.4005400]</t>
  </si>
  <si>
    <t>0148-0731</t>
  </si>
  <si>
    <t>WOS:000298009500011</t>
  </si>
  <si>
    <r>
      <t xml:space="preserve">cuestionarios de autoinforme
</t>
    </r>
    <r>
      <rPr>
        <sz val="11"/>
        <color rgb="FF000000"/>
        <rFont val="Calibri"/>
        <family val="2"/>
        <charset val="1"/>
      </rPr>
      <t xml:space="preserve">
En Chile, Ansoleaga y Toro [28] adaptaron la en-
cuesta de Quebec sobre condiciones de trabajo, empleo,
salud y seguridad laboral ( eqcotesst ). Evalúa seis dimensiones: demanda psi-
cológica, control, balance esfuerzo-recompensa, soporte
social de superiores, escala de estrés, uso de psicotró-
picos y sintomatología depresiva.
En Colombia, son pocos los instrumentos desarrolla-
do para la evaluación de factores de riesgo psicosocial en
las organizaciones. Está el instrumento desarrollado por
Bocanument y Berján [75], consta de 47 preguntas en seis
áreas: alteraciones psíquicas y biológicas derivadas del
desempeño laboral, carga mental, relaciones interperso-
nales, organización del trabajo, administración de perso-
nal y contenido específico del trabajo. No se identifican
evidencias de validación e indicadores de confiabilidad.</t>
    </r>
  </si>
  <si>
    <t>Modelo demanda control
Hipòtesis de la tensiòn del trabajo Karasek</t>
  </si>
  <si>
    <t>Factores de riesgo laboral ¿Nuevos tiempos nuevos riesgos?</t>
  </si>
  <si>
    <t>Mariela Rodrìguez</t>
  </si>
  <si>
    <t>Psychosocial risks and work-related stress</t>
  </si>
  <si>
    <t>Abello Bolivar Angela, Lozano Torres Deisy</t>
  </si>
  <si>
    <t>Manual de riesgos profesionales</t>
  </si>
  <si>
    <t>Fernando Mansilla Izquierdo</t>
  </si>
  <si>
    <t>KRYSTYNA GOLONKA1, JUSTYNA MOJSA-KAJA1, MATEUSZ BLUKACZ2, MAGDA GAWŁOWSKA1,
and TADEUSZ MAREK1</t>
  </si>
  <si>
    <t>OCCUPATIONAL BURNOUT
AND ITS OVERLAPPING EFFECT
WITH DEPRESSION AND ANXIETY</t>
  </si>
  <si>
    <t>Josep M. Blanch, Miguel Sahagún y Genís Cervantes</t>
  </si>
  <si>
    <t>Estructura Factorial del Cuestionario de Condiciones de Trabajo</t>
  </si>
  <si>
    <t>Beck Depression Inventory (BDI)</t>
  </si>
  <si>
    <t>Prevalence of depression and its relationship
with work characteristics</t>
  </si>
  <si>
    <t>Maria Luca1, S
alvatore Bellia2, Marcello Bellia3, A
ntonina Luca4, Carmela Calandra</t>
  </si>
  <si>
    <t>Moreover,
the participants were assessed for depression, PTSD,
and suicide risk and diagnosed using the Mini-
International Neuropsychiatric Interview Japanese
version (MINI).17,18 The MINI is useful as a short,
structured, diagnostic interview for the DSM-IV. Suicide
risk was assessed using a subscale of the MINI,
which consisted of six items asking about suicidal
ideation or suicide-related behaviors</t>
  </si>
  <si>
    <t>Diagnostic interview study of the prevalence of depression
among public employees engaged in long-term relief work
in Fukushima</t>
  </si>
  <si>
    <t>Masaharu Maeda, MD, PhD,1,3* Yukiko Ueda, MA,5 Masato Nagai, PhD,2
Senta Fujii, MD, PhD4 and Misari Oe, MD, PhD6</t>
  </si>
  <si>
    <t>International Physical Activity
Questionnaire (IPAQ) [33]</t>
  </si>
  <si>
    <t>Physical activity of office workers</t>
  </si>
  <si>
    <t>Elżbieta Biernat, Paweł Tomaszewski, Katarzyna Milde</t>
  </si>
  <si>
    <t>RELATIONSHIPS BETWEEN OCCUPATIONAL
FUNCTIONING AND STRESS AMONG RADIO
JOURNALISTS – ASSESSMENT BY MEANS
OF THE PSYCHOSOCIAL RISK SCALE</t>
  </si>
  <si>
    <t>ANNA NAJDER, DOROTA MERECZ-KOT, and ALEKSANDRA WÓJCIK</t>
  </si>
  <si>
    <r>
      <rPr>
        <sz val="11"/>
        <color rgb="FF00B050"/>
        <rFont val="Calibri"/>
        <family val="2"/>
      </rPr>
      <t xml:space="preserve">Quality of Employment Surveys that
were originally used in constructing the di-
mensions of psychologic demand, physical de-
mand, decision authority, skill discretion, and
hazardous work environment of the de-
mand–control model.-501
</t>
    </r>
    <r>
      <rPr>
        <sz val="11"/>
        <color rgb="FF000000"/>
        <rFont val="Calibri"/>
        <family val="2"/>
        <charset val="1"/>
      </rPr>
      <t xml:space="preserve">
</t>
    </r>
    <r>
      <rPr>
        <b/>
        <sz val="11"/>
        <color rgb="FF000000"/>
        <rFont val="Calibri"/>
        <family val="2"/>
        <charset val="1"/>
      </rPr>
      <t>My job involves a lot of repetitive work?</t>
    </r>
  </si>
  <si>
    <r>
      <rPr>
        <sz val="11"/>
        <color rgb="FF00B050"/>
        <rFont val="Calibri"/>
        <family val="2"/>
      </rPr>
      <t xml:space="preserve">Hospital Anxiety and Depression Scale
The 14-item HADS contains two sub-scales, con-
taining seven items each [15]
</t>
    </r>
    <r>
      <rPr>
        <sz val="11"/>
        <color rgb="FF000000"/>
        <rFont val="Calibri"/>
        <family val="2"/>
        <charset val="1"/>
      </rPr>
      <t xml:space="preserve">
</t>
    </r>
    <r>
      <rPr>
        <sz val="11"/>
        <color rgb="FF00B050"/>
        <rFont val="Calibri"/>
        <family val="2"/>
      </rPr>
      <t>Short-form Supportive Care Needs Survey
The SCNS-short was developed from the existing
SCNS [16] and contains 31 items measuring cancer
patients’ unmet need for help across four domains:
psychological (8 items), health systems and infor-
mation (13 items), patient care and support (7
items), and physical and daily living needs (3
Items).</t>
    </r>
  </si>
  <si>
    <t xml:space="preserve">FACTORES PSICOSOCIALESIDENTIFICACIÓN DE SITUACIONES DE RIESGO , INSTITUTO NAVARRO DE SALUD LABORAL </t>
  </si>
  <si>
    <t>Estructura Factorial del Cuestionario de Condiciones de
Trabajo</t>
  </si>
  <si>
    <t xml:space="preserve">Guía para la mejora del estrés laboral </t>
  </si>
  <si>
    <r>
      <rPr>
        <sz val="11"/>
        <color rgb="FF00B050"/>
        <rFont val="Calibri"/>
        <family val="2"/>
      </rPr>
      <t>Cuestionario sobre tipo circadiano  (NTP 502 INSHT, 1998)</t>
    </r>
    <r>
      <rPr>
        <sz val="11"/>
        <color rgb="FF000000"/>
        <rFont val="Calibri"/>
        <family val="2"/>
        <charset val="1"/>
      </rPr>
      <t xml:space="preserve">
</t>
    </r>
    <r>
      <rPr>
        <sz val="11"/>
        <color rgb="FF00B050"/>
        <rFont val="Calibri"/>
        <family val="2"/>
      </rPr>
      <t>Escala de locus de control sobre trabajo a turnos (NTP 502 INSHT, 1998)</t>
    </r>
    <r>
      <rPr>
        <sz val="11"/>
        <color rgb="FF000000"/>
        <rFont val="Calibri"/>
        <family val="2"/>
        <charset val="1"/>
      </rPr>
      <t xml:space="preserve">
</t>
    </r>
    <r>
      <rPr>
        <sz val="11"/>
        <color rgb="FFFF0000"/>
        <rFont val="Calibri"/>
        <family val="2"/>
      </rPr>
      <t>Escala de carga mental (Escala de Cooper Harper, 1969)</t>
    </r>
    <r>
      <rPr>
        <sz val="11"/>
        <color rgb="FF000000"/>
        <rFont val="Calibri"/>
        <family val="2"/>
        <charset val="1"/>
      </rPr>
      <t xml:space="preserve">
</t>
    </r>
    <r>
      <rPr>
        <sz val="11"/>
        <color rgb="FF00B050"/>
        <rFont val="Calibri"/>
        <family val="2"/>
      </rPr>
      <t>Cuestionario de estres laboral (INSHT,2001)</t>
    </r>
    <r>
      <rPr>
        <sz val="11"/>
        <color rgb="FF000000"/>
        <rFont val="Calibri"/>
        <family val="2"/>
        <charset val="1"/>
      </rPr>
      <t xml:space="preserve">
</t>
    </r>
    <r>
      <rPr>
        <sz val="11"/>
        <color theme="5" tint="-0.249977111117893"/>
        <rFont val="Calibri"/>
        <family val="2"/>
      </rPr>
      <t>BurnOut Measure (Pines y Aronson, 1988) [lista]</t>
    </r>
    <r>
      <rPr>
        <sz val="11"/>
        <color rgb="FF000000"/>
        <rFont val="Calibri"/>
        <family val="2"/>
        <charset val="1"/>
      </rPr>
      <t xml:space="preserve">
</t>
    </r>
    <r>
      <rPr>
        <sz val="11"/>
        <color rgb="FF00B050"/>
        <rFont val="Calibri"/>
        <family val="2"/>
      </rPr>
      <t xml:space="preserve">Cuestionario breve de burnout (1997 Moreno-Jimenez, Bustos,Matallana y Miralles)
</t>
    </r>
    <r>
      <rPr>
        <sz val="11"/>
        <color rgb="FFFF0000"/>
        <rFont val="Calibri"/>
        <family val="2"/>
      </rPr>
      <t>Cuestionario "Staff Burnout scale for heath professionals" (Jones,1980)</t>
    </r>
    <r>
      <rPr>
        <sz val="11"/>
        <color rgb="FF000000"/>
        <rFont val="Calibri"/>
        <family val="2"/>
        <charset val="1"/>
      </rPr>
      <t xml:space="preserve">
</t>
    </r>
    <r>
      <rPr>
        <sz val="11"/>
        <color rgb="FF00B050"/>
        <rFont val="Calibri"/>
        <family val="2"/>
      </rPr>
      <t>Escala de efectos psiquicos de burnout(Garcia Izquierdo Y Velandrino, 1992)
Work Addiction Risk Test (WART) (Robinson, 1999)</t>
    </r>
  </si>
  <si>
    <r>
      <rPr>
        <sz val="11"/>
        <color rgb="FF00B050"/>
        <rFont val="Calibri"/>
        <family val="2"/>
      </rPr>
      <t>Maslach Burnout Inventory – General Survey (MBI-GS) [3]</t>
    </r>
    <r>
      <rPr>
        <sz val="11"/>
        <color rgb="FF000000"/>
        <rFont val="Calibri"/>
        <family val="2"/>
        <charset val="1"/>
      </rPr>
      <t xml:space="preserve">
</t>
    </r>
    <r>
      <rPr>
        <sz val="11"/>
        <color rgb="FFFF0000"/>
        <rFont val="Calibri"/>
        <family val="2"/>
      </rPr>
      <t>Link Burnout Questionnaire (LBQ). [6]</t>
    </r>
    <r>
      <rPr>
        <sz val="11"/>
        <color rgb="FF000000"/>
        <rFont val="Calibri"/>
        <family val="2"/>
        <charset val="1"/>
      </rPr>
      <t xml:space="preserve">
</t>
    </r>
    <r>
      <rPr>
        <sz val="11"/>
        <color rgb="FFFF0000"/>
        <rFont val="Calibri"/>
        <family val="2"/>
      </rPr>
      <t>Areas of Worklife Survey [36,37].</t>
    </r>
    <r>
      <rPr>
        <sz val="11"/>
        <color rgb="FF000000"/>
        <rFont val="Calibri"/>
        <family val="2"/>
        <charset val="1"/>
      </rPr>
      <t xml:space="preserve">
</t>
    </r>
    <r>
      <rPr>
        <sz val="11"/>
        <color rgb="FFFF0000"/>
        <rFont val="Calibri"/>
        <family val="2"/>
      </rPr>
      <t>State-Trait Anxiety Inventory, [42]</t>
    </r>
    <r>
      <rPr>
        <sz val="11"/>
        <color rgb="FF000000"/>
        <rFont val="Calibri"/>
        <family val="2"/>
        <charset val="1"/>
      </rPr>
      <t xml:space="preserve">
</t>
    </r>
    <r>
      <rPr>
        <sz val="11"/>
        <color rgb="FF00B050"/>
        <rFont val="Calibri"/>
        <family val="2"/>
      </rPr>
      <t>NEO Five-Factor Inventory [38]</t>
    </r>
    <r>
      <rPr>
        <sz val="11"/>
        <color rgb="FF000000"/>
        <rFont val="Calibri"/>
        <family val="2"/>
        <charset val="1"/>
      </rPr>
      <t xml:space="preserve">
</t>
    </r>
    <r>
      <rPr>
        <sz val="11"/>
        <color rgb="FF00B050"/>
        <rFont val="Calibri"/>
        <family val="2"/>
      </rPr>
      <t>Beck’s Depression Inventory [39–41]</t>
    </r>
  </si>
  <si>
    <t>Factores psicosociales: metodología de evaluación</t>
  </si>
  <si>
    <r>
      <rPr>
        <sz val="11"/>
        <color rgb="FFFF0000"/>
        <rFont val="Calibri"/>
        <family val="2"/>
      </rPr>
      <t>Encuesta de Calidad de Vida en el Trabajo (MTIN, 2009)</t>
    </r>
    <r>
      <rPr>
        <sz val="11"/>
        <color rgb="FF000000"/>
        <rFont val="Calibri"/>
        <family val="2"/>
        <charset val="1"/>
      </rPr>
      <t xml:space="preserve">
</t>
    </r>
    <r>
      <rPr>
        <sz val="11"/>
        <color rgb="FF00B050"/>
        <rFont val="Calibri"/>
        <family val="2"/>
      </rPr>
      <t>El cuestionario “FPSICO” (INSHT, 1997)</t>
    </r>
    <r>
      <rPr>
        <sz val="11"/>
        <color rgb="FF000000"/>
        <rFont val="Calibri"/>
        <family val="2"/>
        <charset val="1"/>
      </rPr>
      <t xml:space="preserve">
</t>
    </r>
    <r>
      <rPr>
        <sz val="11"/>
        <color rgb="FF00B050"/>
        <rFont val="Calibri"/>
        <family val="2"/>
      </rPr>
      <t>El Cuestionario de Bienestar Laboral General (Blanch, Sahagún, Cantera y Cervantes, 2010)</t>
    </r>
  </si>
  <si>
    <r>
      <t xml:space="preserve">Higiene indistruial
</t>
    </r>
    <r>
      <rPr>
        <sz val="11"/>
        <color rgb="FFFF0000"/>
        <rFont val="Calibri"/>
        <family val="2"/>
      </rPr>
      <t xml:space="preserve">Questionnaire for the Fifth European Survey on Working Conditions [43]
</t>
    </r>
    <r>
      <rPr>
        <sz val="11"/>
        <color rgb="FF000000"/>
        <rFont val="Calibri"/>
        <family val="2"/>
        <charset val="1"/>
      </rPr>
      <t xml:space="preserve">
</t>
    </r>
    <r>
      <rPr>
        <sz val="11"/>
        <color rgb="FF00B050"/>
        <rFont val="Calibri"/>
        <family val="2"/>
      </rPr>
      <t xml:space="preserve">Cuestionario Encuesta de Calidad de Vida en el
Trabajo, aplicado en España por el Ministerio de Trabajo
e Inmigración [44]
</t>
    </r>
    <r>
      <rPr>
        <sz val="11"/>
        <color rgb="FF000000"/>
        <rFont val="Calibri"/>
        <family val="2"/>
        <charset val="1"/>
      </rPr>
      <t xml:space="preserve">
</t>
    </r>
    <r>
      <rPr>
        <b/>
        <sz val="11"/>
        <color rgb="FF000000"/>
        <rFont val="Calibri"/>
        <family val="2"/>
        <charset val="1"/>
      </rPr>
      <t xml:space="preserve">Información sobre algún efecto par-
ticular de la exposición a factores psicosociales
</t>
    </r>
    <r>
      <rPr>
        <sz val="11"/>
        <color rgb="FF000000"/>
        <rFont val="Calibri"/>
        <family val="2"/>
        <charset val="1"/>
      </rPr>
      <t xml:space="preserve">
</t>
    </r>
    <r>
      <rPr>
        <sz val="11"/>
        <color rgb="FFFF0000"/>
        <rFont val="Calibri"/>
        <family val="2"/>
      </rPr>
      <t xml:space="preserve">Son ejemplos las de Apreciación del Estrés EAE
[45], 
</t>
    </r>
    <r>
      <rPr>
        <sz val="11"/>
        <color rgb="FF000000"/>
        <rFont val="Calibri"/>
        <family val="2"/>
        <charset val="1"/>
      </rPr>
      <t xml:space="preserve">
</t>
    </r>
    <r>
      <rPr>
        <sz val="11"/>
        <color rgb="FF00B050"/>
        <rFont val="Calibri"/>
        <family val="2"/>
      </rPr>
      <t xml:space="preserve">el Cuestionario para la Evaluación del Estrés, que hace parte de la batería para la evaluación de factores de
riesgo psicosocial publicada por el Ministerio de la Protección Social en Colombia [46], 
</t>
    </r>
    <r>
      <rPr>
        <sz val="11"/>
        <color rgb="FF000000"/>
        <rFont val="Calibri"/>
        <family val="2"/>
        <charset val="1"/>
      </rPr>
      <t xml:space="preserve">
</t>
    </r>
    <r>
      <rPr>
        <sz val="11"/>
        <color rgb="FF00B050"/>
        <rFont val="Calibri"/>
        <family val="2"/>
      </rPr>
      <t xml:space="preserve">El Maslach Burnout Inventory [47] </t>
    </r>
    <r>
      <rPr>
        <sz val="11"/>
        <color rgb="FF000000"/>
        <rFont val="Calibri"/>
        <family val="2"/>
        <charset val="1"/>
      </rPr>
      <t xml:space="preserve">
</t>
    </r>
    <r>
      <rPr>
        <sz val="11"/>
        <color rgb="FF00B050"/>
        <rFont val="Calibri"/>
        <family val="2"/>
      </rPr>
      <t xml:space="preserve">Escala de Desgaste Ocupacional [48]
</t>
    </r>
    <r>
      <rPr>
        <sz val="11"/>
        <color rgb="FF000000"/>
        <rFont val="Calibri"/>
        <family val="2"/>
        <charset val="1"/>
      </rPr>
      <t xml:space="preserve">
</t>
    </r>
    <r>
      <rPr>
        <sz val="11"/>
        <color rgb="FF00B050"/>
        <rFont val="Calibri"/>
        <family val="2"/>
      </rPr>
      <t xml:space="preserve">Utrecht Work Engagement Scale, que evalúa la experiencia de engagement y bienestar [49]
</t>
    </r>
    <r>
      <rPr>
        <sz val="11"/>
        <color rgb="FF000000"/>
        <rFont val="Calibri"/>
        <family val="2"/>
        <charset val="1"/>
      </rPr>
      <t xml:space="preserve">
</t>
    </r>
    <r>
      <rPr>
        <sz val="11"/>
        <color rgb="FF00B050"/>
        <rFont val="Calibri"/>
        <family val="2"/>
      </rPr>
      <t xml:space="preserve">y el In-ventario de Violencia y Acoso Psicológico en el Trabajo
( ivapt - pando ) [50]
</t>
    </r>
    <r>
      <rPr>
        <sz val="11"/>
        <color rgb="FF000000"/>
        <rFont val="Calibri"/>
        <family val="2"/>
        <charset val="1"/>
      </rPr>
      <t xml:space="preserve">
</t>
    </r>
    <r>
      <rPr>
        <sz val="11"/>
        <color rgb="FFFF0000"/>
        <rFont val="Calibri"/>
        <family val="2"/>
      </rPr>
      <t xml:space="preserve">Cuestionario para la Vigilancia de la Violencia Laboral, utilizado en el estudio de la Uni-
versidad de Antioquia y el Ministerio de la Protección Social sobre formas y consecuencias de la violencia en
el trabajo [51].
</t>
    </r>
    <r>
      <rPr>
        <sz val="11"/>
        <color rgb="FF000000"/>
        <rFont val="Calibri"/>
        <family val="2"/>
        <charset val="1"/>
      </rPr>
      <t xml:space="preserve">
</t>
    </r>
    <r>
      <rPr>
        <b/>
        <sz val="11"/>
        <color rgb="FF000000"/>
        <rFont val="Calibri"/>
        <family val="2"/>
        <charset val="1"/>
      </rPr>
      <t xml:space="preserve">cuestionarios de autoinforme
</t>
    </r>
    <r>
      <rPr>
        <sz val="11"/>
        <color rgb="FFFF0000"/>
        <rFont val="Calibri"/>
        <family val="2"/>
      </rPr>
      <t xml:space="preserve">Modelo Demanda – Control [52, 53] y el modelo Desequilibrio
Esfuerzo – Recompensa [54-56].
</t>
    </r>
    <r>
      <rPr>
        <sz val="11"/>
        <color rgb="FF000000"/>
        <rFont val="Calibri"/>
        <family val="2"/>
        <charset val="1"/>
      </rPr>
      <t xml:space="preserve">
Job Content Questionnaire ( jcq ) [57]. La ver-
sión mínima (más utilizada) evalúa tres dimensiones; </t>
    </r>
    <r>
      <rPr>
        <sz val="11"/>
        <color rgb="FF000000"/>
        <rFont val="Calibri"/>
        <family val="2"/>
      </rPr>
      <t xml:space="preserve">demandas psicológicas (9 ítems), control sobre el traba-
jo (9 ítems) y apoyo en el trabajo (11 ítems)
</t>
    </r>
    <r>
      <rPr>
        <sz val="11"/>
        <color rgb="FFFF0000"/>
        <rFont val="Calibri"/>
        <family val="2"/>
      </rPr>
      <t xml:space="preserve">
l cuestionario de Desequilibrio Esfuerzo-Recom-
pensa, Effort Reward Imbalance ( eri - der )
</t>
    </r>
    <r>
      <rPr>
        <sz val="11"/>
        <color rgb="FF000000"/>
        <rFont val="Calibri"/>
        <family val="2"/>
        <charset val="1"/>
      </rPr>
      <t xml:space="preserve">
</t>
    </r>
    <r>
      <rPr>
        <sz val="11"/>
        <color rgb="FF00B050"/>
        <rFont val="Calibri"/>
        <family val="2"/>
      </rPr>
      <t>Cuestionario Psicosocial de Copenhague (CoP-
soQ), desarrollado por el Instituto Nacional de Salud La-
boral de Dinamarca, y adaptado a España por el Instituto
Sindical del Trabajo, Ambiente y Salud en un proceso de
validación con una muestra de 859 trabajadores [62, 63] (version larga, corta y media</t>
    </r>
    <r>
      <rPr>
        <sz val="11"/>
        <color rgb="FF000000"/>
        <rFont val="Calibri"/>
        <family val="2"/>
        <charset val="1"/>
      </rPr>
      <t>na)
L</t>
    </r>
    <r>
      <rPr>
        <sz val="11"/>
        <color rgb="FF00B050"/>
        <rFont val="Calibri"/>
        <family val="2"/>
      </rPr>
      <t>os cuestionarios fpsico y el CoPsoQ-Istas 21 han
demostrado coeficientes elevados de fiabilidad y validez
y han sido utilizados para la identificación de factores
psicosociales de riesgo en diversas organizaciones [64-
66]. Sin embargo no son equivalentes, pues aportan in-
formación diferente sobre los factores psicosociales y no
los clasifican de la misma manera. Pueden utilizarse de
manera complementaria [65].</t>
    </r>
    <r>
      <rPr>
        <sz val="11"/>
        <color rgb="FF000000"/>
        <rFont val="Calibri"/>
        <family val="2"/>
        <charset val="1"/>
      </rPr>
      <t xml:space="preserve">
</t>
    </r>
    <r>
      <rPr>
        <sz val="11"/>
        <color rgb="FF00B050"/>
        <rFont val="Calibri"/>
        <family val="2"/>
      </rPr>
      <t xml:space="preserve">Se destaca también el Cuestionario de Evaluación
de Riesgos Psicosociales creado por el Instituto Nava-
rro de Salud Laboral en España [67]
</t>
    </r>
    <r>
      <rPr>
        <sz val="11"/>
        <color rgb="FF000000"/>
        <rFont val="Calibri"/>
        <family val="2"/>
        <charset val="1"/>
      </rPr>
      <t xml:space="preserve">
</t>
    </r>
    <r>
      <rPr>
        <sz val="11"/>
        <color rgb="FFFF0000"/>
        <rFont val="Calibri"/>
        <family val="2"/>
      </rPr>
      <t xml:space="preserve">Guardia, Peró y Barrios desarro-
llan un sistema de evaluación de riesgos psicosociales
[20]. Proponen la triangulación de tres fuentes de infor-
mación: una checklist inicial sobre información de la
organización, una entrevista a trabajadores con cargos
directivos y un cuestionario para todos los trabajadores
</t>
    </r>
  </si>
  <si>
    <r>
      <rPr>
        <sz val="11"/>
        <color rgb="FF0070C0"/>
        <rFont val="Calibri"/>
        <family val="2"/>
      </rPr>
      <t xml:space="preserve">All of the above are considered
in a new questionnaire designed by the psychologists from
the Nofer Institute of Occupational Medicine, Łódź, Poland
– the Psychosocial Risk Scale (PRS).
</t>
    </r>
    <r>
      <rPr>
        <sz val="11"/>
        <color rgb="FFFF0000"/>
        <rFont val="Calibri"/>
        <family val="2"/>
      </rPr>
      <t xml:space="preserve">
To develop the Psychosocial Risks
Scale (PRS) used in the study, the authors [8] made use
of the typology of risks and assumptions worked out by
the European Union experts within the Psychosocial Risk
Management Excellence Framework (PRIMA-EF) [6].</t>
    </r>
  </si>
  <si>
    <r>
      <rPr>
        <sz val="11"/>
        <color rgb="FF00B050"/>
        <rFont val="Calibri"/>
        <family val="2"/>
      </rPr>
      <t>Cuestionario de Factores Psicosociales en el trabajo [CFP] [Octubre 2010]</t>
    </r>
    <r>
      <rPr>
        <sz val="11"/>
        <color rgb="FF000000"/>
        <rFont val="Calibri"/>
        <family val="2"/>
        <charset val="1"/>
      </rPr>
      <t xml:space="preserve">
</t>
    </r>
    <r>
      <rPr>
        <sz val="11"/>
        <color rgb="FFFF0000"/>
        <rFont val="Calibri"/>
        <family val="2"/>
      </rPr>
      <t xml:space="preserve">Espinosa, J.C. y Romero, L. (2002) Cuestionario de Factores Psicosociales en el
Trabajo: Manual. Bogotá: HL BIO S.A
</t>
    </r>
    <r>
      <rPr>
        <sz val="11"/>
        <color rgb="FF000000"/>
        <rFont val="Calibri"/>
        <family val="2"/>
        <charset val="1"/>
      </rPr>
      <t xml:space="preserve">
</t>
    </r>
    <r>
      <rPr>
        <sz val="11"/>
        <color theme="8" tint="-0.499984740745262"/>
        <rFont val="Calibri"/>
        <family val="2"/>
      </rPr>
      <t xml:space="preserve">Batería de instrumentos para la evaluación de factores de riesgo
psicosocial Villalobos (2010)
Villalobos G. (2010).. Estudio para el diseño de una batería de instrumentos para
la evaluación de factores psicosociales: Colombia: Pontificia Universidad
Javeriana, Ministerio de la Protección Social.
</t>
    </r>
    <r>
      <rPr>
        <sz val="11"/>
        <color rgb="FF000000"/>
        <rFont val="Calibri"/>
        <family val="2"/>
        <charset val="1"/>
      </rPr>
      <t xml:space="preserve">
El Método de Evaluación de Factores Psicosociales del Instituto
Nacional de Seguridad e Higiene en el Trabajo
Martín, F., &amp; Pérez, J. (1997). Factores psicosociales: metodología de evaluación.
Madrid: NTP 443 INSHT.
</t>
    </r>
    <r>
      <rPr>
        <sz val="11"/>
        <color theme="5" tint="-0.249977111117893"/>
        <rFont val="Calibri"/>
        <family val="2"/>
      </rPr>
      <t>Villalobos, G. (2005). Diseño de un sistema de vigilancia epidemiológica de
factores de riesgo psicosocial en el trabajo. Tesis doctoral para la obtención
del grado científico de Doctor en Ciencias de la Salud. Escuela Nacional de
Salud Pública, La Habana, Cuba.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</si>
</sst>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
    <numFmt numFmtId="165" formatCode="dd\-mmm"/>
  </numFmts>
  <fonts count="56" x14ac:knownFonts="1">
    <font>
      <sz val="11"/>
      <color rgb="FF000000"/>
      <name val="Calibri"/>
      <family val="2"/>
      <charset val="1"/>
    </font>
    <font>
      <sz val="9"/>
      <color rgb="FF000000"/>
      <name val="Arial"/>
      <family val="2"/>
      <charset val="1"/>
    </font>
    <font>
      <b/>
      <sz val="9"/>
      <color rgb="FF000000"/>
      <name val="Arial"/>
      <family val="2"/>
      <charset val="1"/>
    </font>
    <font>
      <sz val="10"/>
      <color rgb="FF000000"/>
      <name val="Arial"/>
      <family val="2"/>
      <charset val="1"/>
    </font>
    <font>
      <b/>
      <sz val="9"/>
      <color rgb="FF000000"/>
      <name val="Calibri"/>
      <family val="2"/>
      <charset val="1"/>
    </font>
    <font>
      <b/>
      <sz val="9"/>
      <name val="Calibri"/>
      <family val="2"/>
      <charset val="1"/>
    </font>
    <font>
      <b/>
      <sz val="9"/>
      <color rgb="FFFFFFFF"/>
      <name val="Calibri"/>
      <family val="2"/>
      <charset val="1"/>
    </font>
    <font>
      <sz val="9"/>
      <color rgb="FFFF0000"/>
      <name val="Calibri"/>
      <family val="2"/>
      <charset val="1"/>
    </font>
    <font>
      <sz val="9"/>
      <color rgb="FF000000"/>
      <name val="Calibri"/>
      <family val="2"/>
      <charset val="1"/>
    </font>
    <font>
      <sz val="9"/>
      <name val="Calibri"/>
      <family val="2"/>
      <charset val="1"/>
    </font>
    <font>
      <sz val="11"/>
      <color rgb="FFFF0000"/>
      <name val="Calibri"/>
      <family val="2"/>
      <charset val="1"/>
    </font>
    <font>
      <u/>
      <sz val="11"/>
      <color rgb="FF0563C1"/>
      <name val="Calibri"/>
      <family val="2"/>
      <charset val="1"/>
    </font>
    <font>
      <b/>
      <sz val="16"/>
      <color rgb="FF000000"/>
      <name val="Calibri"/>
      <family val="2"/>
      <charset val="1"/>
    </font>
    <font>
      <sz val="10"/>
      <color rgb="FF000000"/>
      <name val="Calibri"/>
      <family val="2"/>
      <charset val="1"/>
    </font>
    <font>
      <sz val="11"/>
      <color rgb="FF2A2D35"/>
      <name val="Source Sans Pro"/>
      <family val="2"/>
      <charset val="1"/>
    </font>
    <font>
      <b/>
      <sz val="11"/>
      <color rgb="FF000000"/>
      <name val="Calibri"/>
      <family val="2"/>
      <charset val="1"/>
    </font>
    <font>
      <u/>
      <sz val="11"/>
      <color rgb="FF000000"/>
      <name val="Calibri"/>
      <family val="2"/>
      <charset val="1"/>
    </font>
    <font>
      <sz val="11"/>
      <color rgb="FF000000"/>
      <name val="Calibri"/>
      <family val="2"/>
    </font>
    <font>
      <b/>
      <sz val="11"/>
      <color rgb="FF000000"/>
      <name val="Calibri"/>
      <family val="2"/>
    </font>
    <font>
      <b/>
      <sz val="9"/>
      <color rgb="FF000000"/>
      <name val="Tahoma"/>
      <family val="2"/>
      <charset val="1"/>
    </font>
    <font>
      <sz val="9"/>
      <color rgb="FF000000"/>
      <name val="Tahoma"/>
      <family val="2"/>
      <charset val="1"/>
    </font>
    <font>
      <sz val="8"/>
      <color rgb="FF000000"/>
      <name val="Calibri"/>
      <family val="2"/>
      <charset val="1"/>
    </font>
    <font>
      <sz val="8"/>
      <color rgb="FFFFFFFF"/>
      <name val="Calibri"/>
      <family val="2"/>
      <charset val="1"/>
    </font>
    <font>
      <sz val="11"/>
      <color rgb="FFFFFFFF"/>
      <name val="Calibri"/>
      <family val="2"/>
      <charset val="1"/>
    </font>
    <font>
      <b/>
      <sz val="12"/>
      <color rgb="FF000000"/>
      <name val="Calibri"/>
      <family val="2"/>
      <charset val="1"/>
    </font>
    <font>
      <sz val="11"/>
      <name val="Calibri"/>
      <family val="2"/>
      <charset val="1"/>
    </font>
    <font>
      <b/>
      <sz val="8"/>
      <color rgb="FF000000"/>
      <name val="Calibri"/>
      <family val="2"/>
      <charset val="1"/>
    </font>
    <font>
      <b/>
      <sz val="8"/>
      <color rgb="FFFFFFFF"/>
      <name val="Calibri"/>
      <family val="2"/>
      <charset val="1"/>
    </font>
    <font>
      <b/>
      <sz val="14"/>
      <color rgb="FF000000"/>
      <name val="Calibri"/>
      <family val="2"/>
      <charset val="1"/>
    </font>
    <font>
      <b/>
      <sz val="14"/>
      <color rgb="FF548235"/>
      <name val="Calibri"/>
      <family val="2"/>
      <charset val="1"/>
    </font>
    <font>
      <b/>
      <sz val="14"/>
      <color rgb="FF4472C4"/>
      <name val="Calibri"/>
      <family val="2"/>
      <charset val="1"/>
    </font>
    <font>
      <b/>
      <sz val="14"/>
      <color rgb="FFED7D31"/>
      <name val="Calibri"/>
      <family val="2"/>
      <charset val="1"/>
    </font>
    <font>
      <sz val="8"/>
      <color rgb="FFFF0000"/>
      <name val="Calibri"/>
      <family val="2"/>
      <charset val="1"/>
    </font>
    <font>
      <b/>
      <sz val="11"/>
      <color rgb="FF385724"/>
      <name val="Calibri"/>
      <family val="2"/>
      <charset val="1"/>
    </font>
    <font>
      <b/>
      <sz val="11"/>
      <color rgb="FF843C0B"/>
      <name val="Calibri"/>
      <family val="2"/>
      <charset val="1"/>
    </font>
    <font>
      <b/>
      <sz val="11"/>
      <color rgb="FFFF0000"/>
      <name val="Calibri"/>
      <family val="2"/>
      <charset val="1"/>
    </font>
    <font>
      <b/>
      <sz val="11"/>
      <color rgb="FF1F4E79"/>
      <name val="Calibri"/>
      <family val="2"/>
      <charset val="1"/>
    </font>
    <font>
      <b/>
      <sz val="11"/>
      <color rgb="FF806000"/>
      <name val="Calibri"/>
      <family val="2"/>
      <charset val="1"/>
    </font>
    <font>
      <b/>
      <sz val="11"/>
      <color rgb="FF7030A0"/>
      <name val="Calibri"/>
      <family val="2"/>
      <charset val="1"/>
    </font>
    <font>
      <b/>
      <sz val="9"/>
      <color rgb="FF806000"/>
      <name val="Calibri"/>
      <family val="2"/>
      <charset val="1"/>
    </font>
    <font>
      <b/>
      <sz val="9"/>
      <color rgb="FF385724"/>
      <name val="Calibri"/>
      <family val="2"/>
      <charset val="1"/>
    </font>
    <font>
      <b/>
      <sz val="9"/>
      <color rgb="FF843C0B"/>
      <name val="Calibri"/>
      <family val="2"/>
      <charset val="1"/>
    </font>
    <font>
      <b/>
      <sz val="9"/>
      <color rgb="FFFF0000"/>
      <name val="Calibri"/>
      <family val="2"/>
      <charset val="1"/>
    </font>
    <font>
      <b/>
      <sz val="9"/>
      <color rgb="FF1F4E79"/>
      <name val="Calibri"/>
      <family val="2"/>
      <charset val="1"/>
    </font>
    <font>
      <b/>
      <sz val="9"/>
      <color rgb="FF7030A0"/>
      <name val="Calibri"/>
      <family val="2"/>
      <charset val="1"/>
    </font>
    <font>
      <sz val="11"/>
      <color rgb="FF333333"/>
      <name val="Source Sans Pro"/>
      <family val="2"/>
      <charset val="1"/>
    </font>
    <font>
      <sz val="10"/>
      <name val="Arial"/>
      <family val="2"/>
      <charset val="1"/>
    </font>
    <font>
      <sz val="11"/>
      <color rgb="FF000000"/>
      <name val="Calibri"/>
      <family val="2"/>
      <charset val="1"/>
    </font>
    <font>
      <sz val="11"/>
      <color theme="5" tint="-0.249977111117893"/>
      <name val="Calibri"/>
      <family val="2"/>
    </font>
    <font>
      <sz val="11"/>
      <color rgb="FFFF0000"/>
      <name val="Calibri"/>
      <family val="2"/>
    </font>
    <font>
      <sz val="11"/>
      <color rgb="FF00B050"/>
      <name val="Calibri"/>
      <family val="2"/>
    </font>
    <font>
      <sz val="11"/>
      <color theme="8" tint="-0.499984740745262"/>
      <name val="Calibri"/>
      <family val="2"/>
    </font>
    <font>
      <sz val="9"/>
      <color indexed="81"/>
      <name val="Tahoma"/>
      <family val="2"/>
    </font>
    <font>
      <b/>
      <sz val="9"/>
      <color indexed="81"/>
      <name val="Tahoma"/>
      <family val="2"/>
    </font>
    <font>
      <sz val="11"/>
      <color rgb="FF0070C0"/>
      <name val="Calibri"/>
      <family val="2"/>
    </font>
    <font>
      <sz val="11"/>
      <color rgb="FF00B050"/>
      <name val="Calibri"/>
      <family val="2"/>
      <charset val="1"/>
    </font>
  </fonts>
  <fills count="39">
    <fill>
      <patternFill patternType="none"/>
    </fill>
    <fill>
      <patternFill patternType="gray125"/>
    </fill>
    <fill>
      <patternFill patternType="solid">
        <fgColor rgb="FF31AE20"/>
        <bgColor rgb="FF00B050"/>
      </patternFill>
    </fill>
    <fill>
      <patternFill patternType="solid">
        <fgColor rgb="FFFF0000"/>
        <bgColor rgb="FFC00000"/>
      </patternFill>
    </fill>
    <fill>
      <patternFill patternType="solid">
        <fgColor rgb="FF7030A0"/>
        <bgColor rgb="FF993366"/>
      </patternFill>
    </fill>
    <fill>
      <patternFill patternType="solid">
        <fgColor rgb="FFFFFFFF"/>
        <bgColor rgb="FFF2F2F2"/>
      </patternFill>
    </fill>
    <fill>
      <patternFill patternType="solid">
        <fgColor rgb="FF8FAADC"/>
        <bgColor rgb="FF9DC3E6"/>
      </patternFill>
    </fill>
    <fill>
      <patternFill patternType="solid">
        <fgColor rgb="FF00B050"/>
        <bgColor rgb="FF009999"/>
      </patternFill>
    </fill>
    <fill>
      <patternFill patternType="solid">
        <fgColor rgb="FFFFFF00"/>
        <bgColor rgb="FFFFD966"/>
      </patternFill>
    </fill>
    <fill>
      <patternFill patternType="solid">
        <fgColor rgb="FF92D050"/>
        <bgColor rgb="FFA9D18E"/>
      </patternFill>
    </fill>
    <fill>
      <patternFill patternType="solid">
        <fgColor rgb="FF00B0F0"/>
        <bgColor rgb="FF009999"/>
      </patternFill>
    </fill>
    <fill>
      <patternFill patternType="solid">
        <fgColor rgb="FF33CCFF"/>
        <bgColor rgb="FF00B0F0"/>
      </patternFill>
    </fill>
    <fill>
      <patternFill patternType="solid">
        <fgColor rgb="FF808080"/>
        <bgColor rgb="FF7F7F7F"/>
      </patternFill>
    </fill>
    <fill>
      <patternFill patternType="solid">
        <fgColor rgb="FFA9D18E"/>
        <bgColor rgb="FFC5E0B4"/>
      </patternFill>
    </fill>
    <fill>
      <patternFill patternType="solid">
        <fgColor rgb="FFFFC000"/>
        <bgColor rgb="FFFFD966"/>
      </patternFill>
    </fill>
    <fill>
      <patternFill patternType="solid">
        <fgColor rgb="FFFFFF99"/>
        <bgColor rgb="FFFFE699"/>
      </patternFill>
    </fill>
    <fill>
      <patternFill patternType="solid">
        <fgColor rgb="FFFF99FF"/>
        <bgColor rgb="FFCC99FF"/>
      </patternFill>
    </fill>
    <fill>
      <patternFill patternType="solid">
        <fgColor rgb="FFFFE699"/>
        <bgColor rgb="FFFFFF99"/>
      </patternFill>
    </fill>
    <fill>
      <patternFill patternType="solid">
        <fgColor rgb="FF009999"/>
        <bgColor rgb="FF00B050"/>
      </patternFill>
    </fill>
    <fill>
      <patternFill patternType="solid">
        <fgColor rgb="FFD9D9D9"/>
        <bgColor rgb="FFDBDBDB"/>
      </patternFill>
    </fill>
    <fill>
      <patternFill patternType="solid">
        <fgColor rgb="FFCC99FF"/>
        <bgColor rgb="FFFF99FF"/>
      </patternFill>
    </fill>
    <fill>
      <patternFill patternType="solid">
        <fgColor rgb="FF993366"/>
        <bgColor rgb="FF7030A0"/>
      </patternFill>
    </fill>
    <fill>
      <patternFill patternType="solid">
        <fgColor rgb="FF725E86"/>
        <bgColor rgb="FF7F7F7F"/>
      </patternFill>
    </fill>
    <fill>
      <patternFill patternType="solid">
        <fgColor rgb="FF0066FF"/>
        <bgColor rgb="FF0563C1"/>
      </patternFill>
    </fill>
    <fill>
      <patternFill patternType="solid">
        <fgColor rgb="FF000000"/>
        <bgColor rgb="FF000080"/>
      </patternFill>
    </fill>
    <fill>
      <patternFill patternType="solid">
        <fgColor rgb="FFD0CECE"/>
        <bgColor rgb="FFD9D9D9"/>
      </patternFill>
    </fill>
    <fill>
      <patternFill patternType="solid">
        <fgColor rgb="FFBFBFBF"/>
        <bgColor rgb="FFD0CECE"/>
      </patternFill>
    </fill>
    <fill>
      <patternFill patternType="solid">
        <fgColor rgb="FFF2F2F2"/>
        <bgColor rgb="FFE2F0D9"/>
      </patternFill>
    </fill>
    <fill>
      <patternFill patternType="solid">
        <fgColor rgb="FFFFF2CC"/>
        <bgColor rgb="FFF2F2F2"/>
      </patternFill>
    </fill>
    <fill>
      <patternFill patternType="solid">
        <fgColor rgb="FFE2F0D9"/>
        <bgColor rgb="FFF2F2F2"/>
      </patternFill>
    </fill>
    <fill>
      <patternFill patternType="solid">
        <fgColor rgb="FF7F7F7F"/>
        <bgColor rgb="FF808080"/>
      </patternFill>
    </fill>
    <fill>
      <patternFill patternType="solid">
        <fgColor rgb="FFFFD966"/>
        <bgColor rgb="FFFFE699"/>
      </patternFill>
    </fill>
    <fill>
      <patternFill patternType="solid">
        <fgColor rgb="FFC5E0B4"/>
        <bgColor rgb="FFD9D9D9"/>
      </patternFill>
    </fill>
    <fill>
      <patternFill patternType="solid">
        <fgColor rgb="FFC00000"/>
        <bgColor rgb="FFFF0000"/>
      </patternFill>
    </fill>
    <fill>
      <patternFill patternType="solid">
        <fgColor rgb="FF9DC3E6"/>
        <bgColor rgb="FF8FAADC"/>
      </patternFill>
    </fill>
    <fill>
      <patternFill patternType="solid">
        <fgColor rgb="FFBF9000"/>
        <bgColor rgb="FFED7D31"/>
      </patternFill>
    </fill>
    <fill>
      <patternFill patternType="solid">
        <fgColor rgb="FFDBDBDB"/>
        <bgColor rgb="FFD9D9D9"/>
      </patternFill>
    </fill>
    <fill>
      <patternFill patternType="solid">
        <fgColor rgb="FFC55A11"/>
        <bgColor rgb="FFED7D31"/>
      </patternFill>
    </fill>
    <fill>
      <patternFill patternType="solid">
        <fgColor rgb="FFF4B183"/>
        <bgColor rgb="FFFFD966"/>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top/>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s>
  <cellStyleXfs count="3">
    <xf numFmtId="0" fontId="0" fillId="0" borderId="0"/>
    <xf numFmtId="0" fontId="11" fillId="0" borderId="0" applyBorder="0" applyProtection="0"/>
    <xf numFmtId="9" fontId="47" fillId="0" borderId="0" applyBorder="0" applyProtection="0"/>
  </cellStyleXfs>
  <cellXfs count="233">
    <xf numFmtId="0" fontId="0" fillId="0" borderId="0" xfId="0"/>
    <xf numFmtId="0" fontId="3" fillId="0" borderId="0" xfId="0" applyFont="1"/>
    <xf numFmtId="0" fontId="6" fillId="2" borderId="3"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8" fillId="0" borderId="1" xfId="0" applyFont="1" applyBorder="1" applyAlignment="1">
      <alignment horizontal="center"/>
    </xf>
    <xf numFmtId="0" fontId="8" fillId="0" borderId="1" xfId="0" applyFont="1" applyBorder="1" applyAlignment="1">
      <alignment horizontal="center" vertical="center" wrapText="1"/>
    </xf>
    <xf numFmtId="0" fontId="8" fillId="0" borderId="1" xfId="0" applyFont="1" applyBorder="1" applyAlignment="1">
      <alignment horizontal="left" vertical="center" wrapText="1"/>
    </xf>
    <xf numFmtId="0" fontId="9" fillId="5" borderId="1" xfId="0" applyFont="1" applyFill="1" applyBorder="1" applyAlignment="1">
      <alignment horizontal="center" vertical="center" wrapText="1"/>
    </xf>
    <xf numFmtId="0" fontId="10" fillId="0" borderId="0" xfId="0" applyFont="1"/>
    <xf numFmtId="0" fontId="11" fillId="0" borderId="0" xfId="1" applyFont="1" applyBorder="1" applyProtection="1"/>
    <xf numFmtId="0" fontId="8" fillId="0" borderId="1" xfId="0" applyFont="1" applyBorder="1"/>
    <xf numFmtId="0" fontId="4" fillId="0" borderId="1" xfId="0" applyFont="1" applyBorder="1" applyAlignment="1">
      <alignment horizontal="center"/>
    </xf>
    <xf numFmtId="0" fontId="8" fillId="0" borderId="1" xfId="0" applyFont="1" applyBorder="1" applyAlignment="1">
      <alignment vertical="center"/>
    </xf>
    <xf numFmtId="2" fontId="8" fillId="0" borderId="1" xfId="0" applyNumberFormat="1" applyFont="1" applyBorder="1" applyAlignment="1">
      <alignment vertical="top" wrapText="1"/>
    </xf>
    <xf numFmtId="0" fontId="8" fillId="0" borderId="1" xfId="0" applyFont="1" applyBorder="1" applyAlignment="1">
      <alignment vertical="top" wrapText="1"/>
    </xf>
    <xf numFmtId="2" fontId="8" fillId="7" borderId="1" xfId="0" applyNumberFormat="1" applyFont="1" applyFill="1" applyBorder="1" applyAlignment="1">
      <alignment vertical="top" wrapText="1"/>
    </xf>
    <xf numFmtId="0" fontId="13" fillId="0" borderId="0" xfId="0" applyFont="1" applyAlignment="1">
      <alignment vertical="center"/>
    </xf>
    <xf numFmtId="2" fontId="13" fillId="0" borderId="0" xfId="0" applyNumberFormat="1" applyFont="1" applyAlignment="1">
      <alignment vertical="top" wrapText="1"/>
    </xf>
    <xf numFmtId="0" fontId="13" fillId="0" borderId="0" xfId="0" applyFont="1" applyAlignment="1">
      <alignment vertical="top" wrapText="1"/>
    </xf>
    <xf numFmtId="0" fontId="13" fillId="0" borderId="1" xfId="0" applyFont="1" applyBorder="1" applyAlignment="1">
      <alignment vertical="center"/>
    </xf>
    <xf numFmtId="2" fontId="13" fillId="0" borderId="1" xfId="0" applyNumberFormat="1" applyFont="1" applyBorder="1" applyAlignment="1">
      <alignment vertical="top" wrapText="1"/>
    </xf>
    <xf numFmtId="0" fontId="13" fillId="0" borderId="1" xfId="0" applyFont="1" applyBorder="1" applyAlignment="1">
      <alignment vertical="top" wrapText="1"/>
    </xf>
    <xf numFmtId="0" fontId="13" fillId="8" borderId="1" xfId="0" applyFont="1" applyFill="1" applyBorder="1" applyAlignment="1">
      <alignment vertical="top" wrapText="1"/>
    </xf>
    <xf numFmtId="0" fontId="13" fillId="9" borderId="1" xfId="0" applyFont="1" applyFill="1" applyBorder="1" applyAlignment="1">
      <alignment vertical="top" wrapText="1"/>
    </xf>
    <xf numFmtId="0" fontId="13" fillId="0" borderId="6" xfId="0" applyFont="1" applyBorder="1" applyAlignment="1">
      <alignment vertical="top" wrapText="1"/>
    </xf>
    <xf numFmtId="0" fontId="13" fillId="10" borderId="1" xfId="0" applyFont="1" applyFill="1" applyBorder="1" applyAlignment="1">
      <alignment vertical="top" wrapText="1"/>
    </xf>
    <xf numFmtId="2" fontId="13" fillId="0" borderId="1" xfId="0" applyNumberFormat="1" applyFont="1" applyBorder="1" applyAlignment="1">
      <alignment vertical="center" wrapText="1"/>
    </xf>
    <xf numFmtId="0" fontId="11" fillId="0" borderId="1" xfId="1" applyBorder="1" applyAlignment="1" applyProtection="1">
      <alignment vertical="center"/>
    </xf>
    <xf numFmtId="0" fontId="14" fillId="0" borderId="0" xfId="0" applyFont="1"/>
    <xf numFmtId="0" fontId="0" fillId="0" borderId="0" xfId="0" applyFont="1" applyAlignment="1">
      <alignment wrapText="1"/>
    </xf>
    <xf numFmtId="49" fontId="15" fillId="0" borderId="1" xfId="0" applyNumberFormat="1" applyFont="1" applyBorder="1" applyAlignment="1">
      <alignment horizontal="center" wrapText="1"/>
    </xf>
    <xf numFmtId="0" fontId="16" fillId="0" borderId="0" xfId="0" applyFont="1"/>
    <xf numFmtId="0" fontId="0" fillId="0" borderId="0" xfId="0" applyFont="1" applyAlignment="1">
      <alignment vertical="center" wrapText="1"/>
    </xf>
    <xf numFmtId="49" fontId="0" fillId="9" borderId="1" xfId="0" applyNumberFormat="1" applyFont="1" applyFill="1" applyBorder="1" applyAlignment="1">
      <alignment wrapText="1"/>
    </xf>
    <xf numFmtId="49" fontId="0" fillId="0" borderId="1" xfId="0" applyNumberFormat="1" applyBorder="1" applyAlignment="1">
      <alignment wrapText="1"/>
    </xf>
    <xf numFmtId="49" fontId="0" fillId="9" borderId="1" xfId="0" applyNumberFormat="1" applyFill="1" applyBorder="1" applyAlignment="1">
      <alignment wrapText="1"/>
    </xf>
    <xf numFmtId="0" fontId="0" fillId="0" borderId="1" xfId="0" applyFont="1" applyBorder="1"/>
    <xf numFmtId="0" fontId="0" fillId="0" borderId="1" xfId="0" applyBorder="1"/>
    <xf numFmtId="0" fontId="0" fillId="6" borderId="0" xfId="0" applyFont="1" applyFill="1"/>
    <xf numFmtId="0" fontId="15" fillId="6" borderId="1" xfId="0" applyFont="1" applyFill="1" applyBorder="1" applyAlignment="1">
      <alignment horizontal="center"/>
    </xf>
    <xf numFmtId="0" fontId="0" fillId="6" borderId="0" xfId="0" applyFont="1" applyFill="1" applyAlignment="1">
      <alignment vertical="center" wrapText="1"/>
    </xf>
    <xf numFmtId="0" fontId="0" fillId="6" borderId="1" xfId="0" applyFont="1" applyFill="1" applyBorder="1" applyAlignment="1">
      <alignment vertical="center" wrapText="1"/>
    </xf>
    <xf numFmtId="0" fontId="0" fillId="0" borderId="1" xfId="0" applyFont="1" applyBorder="1" applyAlignment="1">
      <alignment vertical="center" wrapText="1"/>
    </xf>
    <xf numFmtId="0" fontId="0" fillId="0" borderId="0" xfId="0" applyAlignment="1">
      <alignment vertical="top"/>
    </xf>
    <xf numFmtId="0" fontId="0" fillId="0" borderId="0" xfId="0" applyFont="1" applyAlignment="1">
      <alignment vertical="top" wrapText="1"/>
    </xf>
    <xf numFmtId="164" fontId="0" fillId="0" borderId="0" xfId="0" applyNumberFormat="1" applyAlignment="1">
      <alignment vertical="top"/>
    </xf>
    <xf numFmtId="0" fontId="15" fillId="0" borderId="0" xfId="0" applyFont="1" applyAlignment="1">
      <alignment vertical="top" wrapText="1"/>
    </xf>
    <xf numFmtId="0" fontId="18" fillId="0" borderId="0" xfId="0" applyFont="1" applyAlignment="1">
      <alignment vertical="top" wrapText="1"/>
    </xf>
    <xf numFmtId="164" fontId="0" fillId="0" borderId="0" xfId="0" applyNumberFormat="1"/>
    <xf numFmtId="0" fontId="0" fillId="0" borderId="0" xfId="0" applyAlignment="1">
      <alignment horizontal="center" vertical="center"/>
    </xf>
    <xf numFmtId="0" fontId="0" fillId="0" borderId="1" xfId="0" applyFont="1" applyBorder="1" applyAlignment="1">
      <alignment horizontal="center"/>
    </xf>
    <xf numFmtId="0" fontId="0" fillId="0" borderId="1" xfId="0" applyBorder="1" applyAlignment="1">
      <alignment horizontal="center"/>
    </xf>
    <xf numFmtId="0" fontId="0" fillId="8" borderId="1" xfId="0" applyFont="1" applyFill="1" applyBorder="1"/>
    <xf numFmtId="0" fontId="0" fillId="0" borderId="1" xfId="0" applyFont="1" applyBorder="1" applyAlignment="1">
      <alignment horizontal="center" vertical="center"/>
    </xf>
    <xf numFmtId="0" fontId="0" fillId="10" borderId="1" xfId="0" applyFont="1" applyFill="1" applyBorder="1" applyAlignment="1">
      <alignment vertical="center" wrapText="1"/>
    </xf>
    <xf numFmtId="0" fontId="0" fillId="5" borderId="1" xfId="0" applyFont="1" applyFill="1" applyBorder="1" applyAlignment="1">
      <alignment vertical="center" wrapText="1"/>
    </xf>
    <xf numFmtId="0" fontId="0" fillId="10" borderId="1" xfId="0" applyFill="1" applyBorder="1"/>
    <xf numFmtId="0" fontId="0" fillId="5" borderId="1" xfId="0" applyFill="1" applyBorder="1" applyAlignment="1">
      <alignment horizontal="center" vertical="center"/>
    </xf>
    <xf numFmtId="0" fontId="0" fillId="5" borderId="1" xfId="0" applyFont="1" applyFill="1" applyBorder="1" applyAlignment="1">
      <alignment horizontal="center" vertical="center" wrapText="1"/>
    </xf>
    <xf numFmtId="0" fontId="0" fillId="10" borderId="1" xfId="0" applyFill="1" applyBorder="1" applyAlignment="1">
      <alignment vertical="center" wrapText="1"/>
    </xf>
    <xf numFmtId="0" fontId="0" fillId="5"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wrapText="1"/>
    </xf>
    <xf numFmtId="0" fontId="0" fillId="10" borderId="1" xfId="0" applyFill="1" applyBorder="1" applyAlignment="1">
      <alignment horizontal="center" vertical="center"/>
    </xf>
    <xf numFmtId="0" fontId="0" fillId="10" borderId="1" xfId="0" applyFont="1" applyFill="1" applyBorder="1" applyAlignment="1">
      <alignment horizontal="center" vertical="center" wrapText="1"/>
    </xf>
    <xf numFmtId="0" fontId="0" fillId="10" borderId="1" xfId="0" applyFont="1" applyFill="1" applyBorder="1" applyAlignment="1">
      <alignment horizontal="center" vertical="center"/>
    </xf>
    <xf numFmtId="0" fontId="0" fillId="11" borderId="1" xfId="0" applyFont="1" applyFill="1" applyBorder="1" applyAlignment="1">
      <alignment vertical="center" wrapText="1"/>
    </xf>
    <xf numFmtId="0" fontId="0" fillId="11" borderId="1" xfId="0" applyFill="1" applyBorder="1" applyAlignment="1">
      <alignment horizontal="center" vertical="center"/>
    </xf>
    <xf numFmtId="0" fontId="0" fillId="11" borderId="1" xfId="0" applyFont="1" applyFill="1" applyBorder="1" applyAlignment="1">
      <alignment horizontal="center" vertical="center"/>
    </xf>
    <xf numFmtId="0" fontId="0" fillId="8" borderId="1" xfId="0" applyFill="1" applyBorder="1" applyAlignment="1">
      <alignment horizontal="center" vertical="center"/>
    </xf>
    <xf numFmtId="0" fontId="0" fillId="8" borderId="1" xfId="0" applyFont="1" applyFill="1" applyBorder="1" applyAlignment="1">
      <alignment vertical="center" wrapText="1"/>
    </xf>
    <xf numFmtId="0" fontId="0" fillId="8" borderId="1" xfId="0" applyFill="1" applyBorder="1" applyAlignment="1">
      <alignment vertical="center" wrapText="1"/>
    </xf>
    <xf numFmtId="0" fontId="0" fillId="8" borderId="1" xfId="0" applyFont="1" applyFill="1" applyBorder="1" applyAlignment="1">
      <alignment horizontal="center" vertical="center"/>
    </xf>
    <xf numFmtId="0" fontId="0" fillId="0" borderId="1" xfId="0" applyBorder="1" applyAlignment="1">
      <alignment vertical="center" wrapText="1"/>
    </xf>
    <xf numFmtId="0" fontId="0" fillId="12" borderId="1" xfId="0" applyFont="1" applyFill="1" applyBorder="1" applyAlignment="1">
      <alignment vertical="center" wrapText="1"/>
    </xf>
    <xf numFmtId="0" fontId="10" fillId="5" borderId="1" xfId="0" applyFont="1" applyFill="1" applyBorder="1" applyAlignment="1">
      <alignment horizontal="center" vertical="center"/>
    </xf>
    <xf numFmtId="0" fontId="0" fillId="12" borderId="1" xfId="0" applyFill="1" applyBorder="1" applyAlignment="1">
      <alignment horizontal="center" vertical="center"/>
    </xf>
    <xf numFmtId="0" fontId="0" fillId="0" borderId="6" xfId="0" applyBorder="1"/>
    <xf numFmtId="0" fontId="0" fillId="0" borderId="6" xfId="0" applyFont="1" applyBorder="1" applyAlignment="1">
      <alignment vertical="center" wrapText="1"/>
    </xf>
    <xf numFmtId="0" fontId="0" fillId="0" borderId="6" xfId="0" applyBorder="1" applyAlignment="1">
      <alignment vertical="center" wrapText="1"/>
    </xf>
    <xf numFmtId="0" fontId="0" fillId="8" borderId="6" xfId="0" applyFill="1" applyBorder="1" applyAlignment="1">
      <alignment horizontal="center" vertical="center"/>
    </xf>
    <xf numFmtId="0" fontId="0" fillId="8" borderId="6" xfId="0" applyFill="1" applyBorder="1" applyAlignment="1">
      <alignment vertical="center" wrapText="1"/>
    </xf>
    <xf numFmtId="0" fontId="0" fillId="0" borderId="6" xfId="0" applyFont="1" applyBorder="1" applyAlignment="1">
      <alignment horizontal="center" vertical="center"/>
    </xf>
    <xf numFmtId="0" fontId="0" fillId="0" borderId="3" xfId="0" applyBorder="1"/>
    <xf numFmtId="0" fontId="0" fillId="0" borderId="3" xfId="0" applyFont="1" applyBorder="1" applyAlignment="1">
      <alignment vertical="center" wrapText="1"/>
    </xf>
    <xf numFmtId="0" fontId="0" fillId="0" borderId="3" xfId="0" applyBorder="1" applyAlignment="1">
      <alignment vertical="center" wrapText="1"/>
    </xf>
    <xf numFmtId="0" fontId="0" fillId="8" borderId="3" xfId="0" applyFill="1" applyBorder="1" applyAlignment="1">
      <alignment horizontal="center" vertical="center"/>
    </xf>
    <xf numFmtId="0" fontId="0" fillId="8" borderId="3" xfId="0" applyFill="1" applyBorder="1" applyAlignment="1">
      <alignment vertical="center" wrapText="1"/>
    </xf>
    <xf numFmtId="0" fontId="0" fillId="0" borderId="3" xfId="0" applyFont="1" applyBorder="1" applyAlignment="1">
      <alignment horizontal="center" vertical="center"/>
    </xf>
    <xf numFmtId="0" fontId="0" fillId="0" borderId="3" xfId="0" applyBorder="1" applyAlignment="1">
      <alignment horizontal="center" vertical="center"/>
    </xf>
    <xf numFmtId="0" fontId="0" fillId="0" borderId="2" xfId="0" applyBorder="1"/>
    <xf numFmtId="0" fontId="0" fillId="0" borderId="0" xfId="0" applyFont="1"/>
    <xf numFmtId="0" fontId="15" fillId="0" borderId="1" xfId="0" applyFont="1" applyBorder="1" applyAlignment="1">
      <alignment horizontal="center" vertical="center"/>
    </xf>
    <xf numFmtId="0" fontId="21" fillId="13" borderId="1" xfId="0" applyFont="1" applyFill="1" applyBorder="1" applyAlignment="1">
      <alignment horizontal="left" vertical="center" wrapText="1"/>
    </xf>
    <xf numFmtId="0" fontId="21" fillId="14" borderId="1" xfId="0" applyFont="1" applyFill="1" applyBorder="1" applyAlignment="1">
      <alignment horizontal="left" vertical="center" wrapText="1"/>
    </xf>
    <xf numFmtId="0" fontId="21" fillId="15" borderId="1" xfId="0" applyFont="1" applyFill="1" applyBorder="1" applyAlignment="1">
      <alignment horizontal="left" vertical="center" wrapText="1"/>
    </xf>
    <xf numFmtId="0" fontId="21" fillId="16" borderId="1" xfId="0" applyFont="1" applyFill="1" applyBorder="1" applyAlignment="1">
      <alignment horizontal="left" vertical="center" wrapText="1"/>
    </xf>
    <xf numFmtId="0" fontId="21" fillId="17" borderId="1" xfId="0" applyFont="1" applyFill="1" applyBorder="1" applyAlignment="1">
      <alignment horizontal="left" vertical="center" wrapText="1"/>
    </xf>
    <xf numFmtId="0" fontId="21" fillId="18" borderId="1" xfId="0" applyFont="1" applyFill="1" applyBorder="1" applyAlignment="1">
      <alignment horizontal="left" vertical="center" wrapText="1"/>
    </xf>
    <xf numFmtId="0" fontId="21" fillId="11" borderId="1" xfId="0" applyFont="1" applyFill="1" applyBorder="1" applyAlignment="1">
      <alignment horizontal="left" vertical="center" wrapText="1"/>
    </xf>
    <xf numFmtId="0" fontId="21" fillId="19" borderId="1" xfId="0" applyFont="1" applyFill="1" applyBorder="1" applyAlignment="1">
      <alignment horizontal="left" vertical="center" wrapText="1"/>
    </xf>
    <xf numFmtId="0" fontId="21" fillId="20" borderId="1" xfId="0" applyFont="1" applyFill="1" applyBorder="1" applyAlignment="1">
      <alignment horizontal="left" vertical="center" wrapText="1"/>
    </xf>
    <xf numFmtId="0" fontId="22" fillId="21" borderId="1" xfId="0" applyFont="1" applyFill="1" applyBorder="1" applyAlignment="1">
      <alignment horizontal="left" vertical="center" wrapText="1"/>
    </xf>
    <xf numFmtId="0" fontId="22" fillId="22" borderId="1" xfId="0" applyFont="1" applyFill="1" applyBorder="1" applyAlignment="1">
      <alignment horizontal="left" vertical="center" wrapText="1"/>
    </xf>
    <xf numFmtId="0" fontId="22" fillId="23" borderId="0" xfId="0" applyFont="1" applyFill="1" applyAlignment="1">
      <alignment horizontal="left" vertical="center" wrapText="1"/>
    </xf>
    <xf numFmtId="0" fontId="0" fillId="24" borderId="1" xfId="0" applyFill="1" applyBorder="1"/>
    <xf numFmtId="0" fontId="0" fillId="19" borderId="1" xfId="0" applyFont="1" applyFill="1" applyBorder="1" applyAlignment="1">
      <alignment horizontal="center"/>
    </xf>
    <xf numFmtId="0" fontId="0" fillId="0" borderId="0" xfId="0" applyAlignment="1">
      <alignment horizontal="center"/>
    </xf>
    <xf numFmtId="0" fontId="0" fillId="25" borderId="1" xfId="0" applyFill="1" applyBorder="1" applyAlignment="1">
      <alignment horizontal="center"/>
    </xf>
    <xf numFmtId="0" fontId="0" fillId="26" borderId="1" xfId="0" applyFont="1" applyFill="1" applyBorder="1" applyAlignment="1">
      <alignment horizontal="center"/>
    </xf>
    <xf numFmtId="0" fontId="0" fillId="25" borderId="1" xfId="0" applyFill="1" applyBorder="1"/>
    <xf numFmtId="0" fontId="0" fillId="26" borderId="1" xfId="0" applyFill="1" applyBorder="1"/>
    <xf numFmtId="0" fontId="22" fillId="23" borderId="1" xfId="0" applyFont="1" applyFill="1" applyBorder="1" applyAlignment="1">
      <alignment horizontal="left" vertical="center" wrapText="1"/>
    </xf>
    <xf numFmtId="0" fontId="0" fillId="24" borderId="0" xfId="0" applyFill="1"/>
    <xf numFmtId="0" fontId="15" fillId="27" borderId="1" xfId="0" applyFont="1" applyFill="1" applyBorder="1" applyAlignment="1">
      <alignment wrapText="1"/>
    </xf>
    <xf numFmtId="0" fontId="0" fillId="15" borderId="1" xfId="0" applyFont="1" applyFill="1" applyBorder="1" applyAlignment="1">
      <alignment horizontal="left" vertical="center" wrapText="1"/>
    </xf>
    <xf numFmtId="0" fontId="0" fillId="13" borderId="1" xfId="0" applyFont="1" applyFill="1" applyBorder="1"/>
    <xf numFmtId="0" fontId="0" fillId="16" borderId="1" xfId="0" applyFont="1" applyFill="1" applyBorder="1" applyAlignment="1">
      <alignment horizontal="left" vertical="center" wrapText="1"/>
    </xf>
    <xf numFmtId="0" fontId="0" fillId="14" borderId="1" xfId="0" applyFont="1" applyFill="1" applyBorder="1" applyAlignment="1">
      <alignment horizontal="left" vertical="center" wrapText="1"/>
    </xf>
    <xf numFmtId="0" fontId="0" fillId="18" borderId="1" xfId="0" applyFont="1" applyFill="1" applyBorder="1" applyAlignment="1">
      <alignment horizontal="left" vertical="center" wrapText="1"/>
    </xf>
    <xf numFmtId="0" fontId="0" fillId="20" borderId="1" xfId="0" applyFont="1" applyFill="1" applyBorder="1" applyAlignment="1">
      <alignment horizontal="left" vertical="center" wrapText="1"/>
    </xf>
    <xf numFmtId="0" fontId="23" fillId="21" borderId="1" xfId="0" applyFont="1" applyFill="1" applyBorder="1" applyAlignment="1">
      <alignment horizontal="left" vertical="center" wrapText="1"/>
    </xf>
    <xf numFmtId="0" fontId="23" fillId="22" borderId="1" xfId="0" applyFont="1" applyFill="1" applyBorder="1" applyAlignment="1">
      <alignment horizontal="left" vertical="center" wrapText="1"/>
    </xf>
    <xf numFmtId="0" fontId="0" fillId="26"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0" fontId="0" fillId="0" borderId="0" xfId="0" applyAlignment="1">
      <alignment vertical="center"/>
    </xf>
    <xf numFmtId="0" fontId="0" fillId="0" borderId="0" xfId="0" applyAlignment="1">
      <alignment horizontal="left" vertical="center"/>
    </xf>
    <xf numFmtId="0" fontId="0" fillId="0" borderId="0" xfId="0" applyAlignment="1">
      <alignment horizontal="left" vertical="center" wrapText="1"/>
    </xf>
    <xf numFmtId="0" fontId="24"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0" fillId="0" borderId="1" xfId="0" applyFont="1" applyBorder="1" applyAlignment="1">
      <alignment horizontal="left" vertical="center" wrapText="1"/>
    </xf>
    <xf numFmtId="0" fontId="0" fillId="0" borderId="1" xfId="0" applyFont="1" applyBorder="1" applyAlignment="1">
      <alignment vertical="center"/>
    </xf>
    <xf numFmtId="0" fontId="15" fillId="0" borderId="1" xfId="0" applyFont="1" applyBorder="1" applyAlignment="1">
      <alignment horizontal="left" vertical="center" wrapText="1"/>
    </xf>
    <xf numFmtId="0" fontId="0" fillId="0" borderId="3" xfId="0" applyFont="1" applyBorder="1" applyAlignment="1">
      <alignment horizontal="left" vertical="center" wrapText="1"/>
    </xf>
    <xf numFmtId="9" fontId="0" fillId="0" borderId="1" xfId="2" applyFont="1" applyBorder="1" applyAlignment="1" applyProtection="1">
      <alignment horizontal="center" vertical="center"/>
    </xf>
    <xf numFmtId="0" fontId="15" fillId="0" borderId="1" xfId="0" applyFont="1" applyBorder="1" applyAlignment="1">
      <alignment vertical="center" wrapText="1"/>
    </xf>
    <xf numFmtId="0" fontId="0" fillId="0" borderId="1" xfId="0" applyBorder="1" applyAlignment="1">
      <alignment horizontal="center" vertical="center" wrapText="1"/>
    </xf>
    <xf numFmtId="0" fontId="15" fillId="0" borderId="0" xfId="0" applyFont="1" applyAlignment="1">
      <alignment horizontal="center"/>
    </xf>
    <xf numFmtId="0" fontId="26" fillId="0" borderId="8" xfId="0" applyFont="1" applyBorder="1" applyAlignment="1">
      <alignment horizontal="center"/>
    </xf>
    <xf numFmtId="0" fontId="26" fillId="0" borderId="0" xfId="0" applyFont="1" applyAlignment="1">
      <alignment horizontal="center"/>
    </xf>
    <xf numFmtId="0" fontId="27" fillId="33" borderId="8" xfId="0" applyFont="1" applyFill="1" applyBorder="1" applyAlignment="1">
      <alignment horizontal="center"/>
    </xf>
    <xf numFmtId="0" fontId="15" fillId="0" borderId="0" xfId="0" applyFont="1" applyAlignment="1">
      <alignment horizontal="center" vertical="center"/>
    </xf>
    <xf numFmtId="0" fontId="26" fillId="0" borderId="3" xfId="0" applyFont="1" applyBorder="1" applyAlignment="1">
      <alignment vertical="top" wrapText="1"/>
    </xf>
    <xf numFmtId="0" fontId="28" fillId="0" borderId="3" xfId="0" applyFont="1" applyBorder="1" applyAlignment="1">
      <alignment horizontal="center" vertical="center" wrapText="1"/>
    </xf>
    <xf numFmtId="0" fontId="29" fillId="0" borderId="3" xfId="0" applyFont="1" applyBorder="1" applyAlignment="1">
      <alignment horizontal="center" vertical="center" wrapText="1"/>
    </xf>
    <xf numFmtId="0" fontId="26" fillId="0" borderId="1" xfId="0" applyFont="1" applyBorder="1" applyAlignment="1">
      <alignment vertical="top" wrapText="1"/>
    </xf>
    <xf numFmtId="0" fontId="30" fillId="0" borderId="3" xfId="0" applyFont="1" applyBorder="1" applyAlignment="1">
      <alignment horizontal="center" vertical="center" wrapText="1"/>
    </xf>
    <xf numFmtId="0" fontId="29" fillId="0" borderId="1" xfId="0" applyFont="1" applyBorder="1" applyAlignment="1">
      <alignment horizontal="center" vertical="center" wrapText="1"/>
    </xf>
    <xf numFmtId="0" fontId="31" fillId="0" borderId="1" xfId="0" applyFont="1" applyBorder="1" applyAlignment="1">
      <alignment horizontal="center" vertical="center" wrapText="1"/>
    </xf>
    <xf numFmtId="0" fontId="8" fillId="5" borderId="1" xfId="0" applyFont="1" applyFill="1" applyBorder="1"/>
    <xf numFmtId="0" fontId="15" fillId="5" borderId="3" xfId="0" applyFont="1" applyFill="1" applyBorder="1" applyAlignment="1">
      <alignment horizontal="left" vertical="center" wrapText="1"/>
    </xf>
    <xf numFmtId="0" fontId="15" fillId="5" borderId="6" xfId="0" applyFont="1" applyFill="1" applyBorder="1" applyAlignment="1">
      <alignment horizontal="left" vertical="center"/>
    </xf>
    <xf numFmtId="0" fontId="15" fillId="5" borderId="2" xfId="0" applyFont="1" applyFill="1" applyBorder="1" applyAlignment="1">
      <alignment horizontal="left" vertical="center"/>
    </xf>
    <xf numFmtId="0" fontId="8" fillId="0" borderId="1" xfId="0" applyFont="1" applyBorder="1" applyAlignment="1">
      <alignment wrapText="1"/>
    </xf>
    <xf numFmtId="0" fontId="8" fillId="34" borderId="1" xfId="0" applyFont="1" applyFill="1" applyBorder="1" applyAlignment="1">
      <alignment vertical="top" wrapText="1"/>
    </xf>
    <xf numFmtId="0" fontId="8" fillId="5" borderId="1" xfId="0" applyFont="1" applyFill="1" applyBorder="1" applyAlignment="1">
      <alignment vertical="top" wrapText="1"/>
    </xf>
    <xf numFmtId="0" fontId="8" fillId="5" borderId="1" xfId="0" applyFont="1" applyFill="1" applyBorder="1" applyAlignment="1">
      <alignment wrapText="1"/>
    </xf>
    <xf numFmtId="0" fontId="8" fillId="35" borderId="1" xfId="0" applyFont="1" applyFill="1" applyBorder="1" applyAlignment="1">
      <alignment vertical="top" wrapText="1"/>
    </xf>
    <xf numFmtId="0" fontId="8" fillId="36" borderId="1" xfId="0" applyFont="1" applyFill="1" applyBorder="1" applyAlignment="1">
      <alignment vertical="top" wrapText="1"/>
    </xf>
    <xf numFmtId="0" fontId="0" fillId="7" borderId="1" xfId="0" applyFill="1" applyBorder="1"/>
    <xf numFmtId="0" fontId="8" fillId="13" borderId="1" xfId="0" applyFont="1" applyFill="1" applyBorder="1" applyAlignment="1">
      <alignment vertical="top" wrapText="1"/>
    </xf>
    <xf numFmtId="0" fontId="0" fillId="0" borderId="1" xfId="0" applyBorder="1" applyAlignment="1">
      <alignment wrapText="1"/>
    </xf>
    <xf numFmtId="0" fontId="8" fillId="37" borderId="1" xfId="0" applyFont="1" applyFill="1" applyBorder="1" applyAlignment="1">
      <alignment vertical="top" wrapText="1"/>
    </xf>
    <xf numFmtId="0" fontId="8" fillId="37" borderId="1" xfId="0" applyFont="1" applyFill="1" applyBorder="1" applyAlignment="1">
      <alignment wrapText="1"/>
    </xf>
    <xf numFmtId="0" fontId="15" fillId="0" borderId="1" xfId="0" applyFont="1" applyBorder="1" applyAlignment="1">
      <alignment horizontal="center"/>
    </xf>
    <xf numFmtId="2" fontId="0" fillId="0" borderId="1" xfId="0" applyNumberFormat="1" applyFont="1" applyBorder="1" applyAlignment="1">
      <alignment wrapText="1"/>
    </xf>
    <xf numFmtId="0" fontId="0" fillId="0" borderId="1" xfId="0" applyFont="1" applyBorder="1" applyAlignment="1">
      <alignment vertical="top" wrapText="1"/>
    </xf>
    <xf numFmtId="2" fontId="0" fillId="7" borderId="1" xfId="0" applyNumberFormat="1" applyFont="1" applyFill="1" applyBorder="1" applyAlignment="1">
      <alignment wrapText="1"/>
    </xf>
    <xf numFmtId="2" fontId="0" fillId="38" borderId="1" xfId="0" applyNumberFormat="1" applyFont="1" applyFill="1" applyBorder="1" applyAlignment="1">
      <alignment wrapText="1"/>
    </xf>
    <xf numFmtId="0" fontId="45" fillId="0" borderId="1" xfId="0" applyFont="1" applyBorder="1"/>
    <xf numFmtId="2" fontId="0" fillId="5" borderId="1" xfId="0" applyNumberFormat="1" applyFont="1" applyFill="1" applyBorder="1" applyAlignment="1">
      <alignment wrapText="1"/>
    </xf>
    <xf numFmtId="2" fontId="0" fillId="10" borderId="1" xfId="0" applyNumberFormat="1" applyFont="1" applyFill="1" applyBorder="1" applyAlignment="1">
      <alignment wrapText="1"/>
    </xf>
    <xf numFmtId="0" fontId="46" fillId="0" borderId="0" xfId="0" applyFont="1"/>
    <xf numFmtId="0" fontId="0" fillId="0" borderId="0" xfId="0" applyFont="1" applyAlignment="1">
      <alignment vertical="center"/>
    </xf>
    <xf numFmtId="165" fontId="0" fillId="0" borderId="0" xfId="0" applyNumberFormat="1"/>
    <xf numFmtId="17" fontId="0" fillId="0" borderId="0" xfId="0" applyNumberFormat="1"/>
    <xf numFmtId="0" fontId="0" fillId="0" borderId="0" xfId="0" applyAlignment="1">
      <alignment wrapText="1"/>
    </xf>
    <xf numFmtId="14" fontId="0" fillId="0" borderId="0" xfId="0" applyNumberFormat="1"/>
    <xf numFmtId="0" fontId="17" fillId="0" borderId="0" xfId="0" applyFont="1" applyAlignment="1">
      <alignment wrapText="1"/>
    </xf>
    <xf numFmtId="0" fontId="50" fillId="0" borderId="0" xfId="0" applyFont="1" applyAlignment="1">
      <alignment wrapText="1"/>
    </xf>
    <xf numFmtId="0" fontId="1" fillId="0" borderId="1" xfId="0" applyFont="1" applyBorder="1" applyAlignment="1">
      <alignment horizontal="center"/>
    </xf>
    <xf numFmtId="0" fontId="2" fillId="0" borderId="1" xfId="0" applyFont="1" applyBorder="1" applyAlignment="1">
      <alignment horizontal="center" vertical="center" wrapText="1"/>
    </xf>
    <xf numFmtId="0" fontId="2" fillId="0" borderId="2" xfId="0" applyFont="1" applyBorder="1" applyAlignment="1">
      <alignment horizontal="center" wrapText="1"/>
    </xf>
    <xf numFmtId="0" fontId="4" fillId="0" borderId="1" xfId="0" applyFont="1" applyBorder="1" applyAlignment="1">
      <alignment horizontal="left" wrapText="1"/>
    </xf>
    <xf numFmtId="0" fontId="5" fillId="0" borderId="1" xfId="0" applyFont="1" applyBorder="1" applyAlignment="1">
      <alignment horizontal="center" vertical="center" wrapText="1"/>
    </xf>
    <xf numFmtId="0" fontId="4"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4" xfId="0" applyBorder="1" applyAlignment="1">
      <alignment horizontal="center" wrapText="1"/>
    </xf>
    <xf numFmtId="0" fontId="0" fillId="0" borderId="0" xfId="0" applyBorder="1" applyAlignment="1">
      <alignment horizontal="center" wrapText="1"/>
    </xf>
    <xf numFmtId="0" fontId="6" fillId="4" borderId="1" xfId="0" applyFont="1" applyFill="1" applyBorder="1" applyAlignment="1">
      <alignment horizontal="center" vertical="center" wrapText="1"/>
    </xf>
    <xf numFmtId="0" fontId="7" fillId="0" borderId="1" xfId="0" applyFont="1" applyBorder="1" applyAlignment="1">
      <alignment horizontal="center" vertical="center" wrapText="1"/>
    </xf>
    <xf numFmtId="0" fontId="6" fillId="6" borderId="1" xfId="0" applyFont="1" applyFill="1" applyBorder="1" applyAlignment="1">
      <alignment horizontal="center" vertical="center" wrapText="1"/>
    </xf>
    <xf numFmtId="0" fontId="12" fillId="0" borderId="0" xfId="0" applyFont="1" applyBorder="1" applyAlignment="1">
      <alignment horizontal="center"/>
    </xf>
    <xf numFmtId="0" fontId="12" fillId="0" borderId="5" xfId="0" applyFont="1" applyBorder="1" applyAlignment="1">
      <alignment horizontal="center"/>
    </xf>
    <xf numFmtId="0" fontId="13" fillId="0" borderId="1" xfId="0" applyFont="1" applyBorder="1" applyAlignment="1">
      <alignment horizontal="center" vertical="center" wrapText="1"/>
    </xf>
    <xf numFmtId="0" fontId="12" fillId="0" borderId="1" xfId="0" applyFont="1" applyBorder="1" applyAlignment="1">
      <alignment horizontal="center"/>
    </xf>
    <xf numFmtId="0" fontId="0" fillId="0" borderId="1" xfId="0" applyFont="1" applyBorder="1" applyAlignment="1">
      <alignment horizontal="center"/>
    </xf>
    <xf numFmtId="0" fontId="15" fillId="28" borderId="1" xfId="0" applyFont="1" applyFill="1" applyBorder="1" applyAlignment="1">
      <alignment horizontal="center" vertical="center"/>
    </xf>
    <xf numFmtId="0" fontId="15" fillId="0" borderId="1" xfId="0" applyFont="1" applyBorder="1" applyAlignment="1">
      <alignment horizontal="center" vertical="center" wrapText="1"/>
    </xf>
    <xf numFmtId="0" fontId="0" fillId="0" borderId="1" xfId="0" applyFont="1" applyBorder="1" applyAlignment="1">
      <alignment horizontal="center" vertical="center" wrapText="1"/>
    </xf>
    <xf numFmtId="0" fontId="0" fillId="0" borderId="1" xfId="0" applyFont="1" applyBorder="1" applyAlignment="1">
      <alignment horizontal="center" vertical="center"/>
    </xf>
    <xf numFmtId="0" fontId="25" fillId="0" borderId="3" xfId="0" applyFont="1" applyBorder="1" applyAlignment="1">
      <alignment horizontal="left" vertical="center" wrapText="1"/>
    </xf>
    <xf numFmtId="0" fontId="0" fillId="3" borderId="1" xfId="0" applyFont="1" applyFill="1" applyBorder="1" applyAlignment="1">
      <alignment horizontal="center" vertical="center"/>
    </xf>
    <xf numFmtId="9" fontId="0" fillId="0" borderId="1" xfId="2" applyFont="1" applyBorder="1" applyAlignment="1" applyProtection="1">
      <alignment horizontal="center" vertical="center"/>
    </xf>
    <xf numFmtId="0" fontId="0" fillId="0" borderId="1" xfId="0" applyFont="1" applyBorder="1" applyAlignment="1">
      <alignment horizontal="center" vertical="center" wrapText="1" shrinkToFit="1"/>
    </xf>
    <xf numFmtId="0" fontId="0" fillId="0" borderId="1" xfId="0" applyFont="1" applyBorder="1" applyAlignment="1">
      <alignment horizontal="left" vertical="center" wrapText="1"/>
    </xf>
    <xf numFmtId="0" fontId="0" fillId="0" borderId="3" xfId="0" applyFont="1" applyBorder="1" applyAlignment="1">
      <alignment horizontal="center" vertical="center"/>
    </xf>
    <xf numFmtId="0" fontId="0" fillId="3" borderId="3" xfId="0" applyFont="1" applyFill="1" applyBorder="1" applyAlignment="1">
      <alignment horizontal="center" vertical="center"/>
    </xf>
    <xf numFmtId="9" fontId="0" fillId="0" borderId="3" xfId="2" applyFont="1" applyBorder="1" applyAlignment="1" applyProtection="1">
      <alignment horizontal="center" vertical="center"/>
    </xf>
    <xf numFmtId="0" fontId="0" fillId="9" borderId="1" xfId="0" applyFont="1" applyFill="1" applyBorder="1" applyAlignment="1">
      <alignment horizontal="center" vertical="center"/>
    </xf>
    <xf numFmtId="0" fontId="15" fillId="17" borderId="1" xfId="0" applyFont="1" applyFill="1" applyBorder="1" applyAlignment="1">
      <alignment horizontal="center" vertical="center"/>
    </xf>
    <xf numFmtId="0" fontId="0" fillId="9" borderId="2" xfId="0" applyFont="1" applyFill="1" applyBorder="1" applyAlignment="1">
      <alignment horizontal="center" vertical="center"/>
    </xf>
    <xf numFmtId="9" fontId="0" fillId="0" borderId="2" xfId="2" applyFont="1" applyBorder="1" applyAlignment="1" applyProtection="1">
      <alignment horizontal="center" vertical="center"/>
    </xf>
    <xf numFmtId="9" fontId="0" fillId="0" borderId="1" xfId="0" applyNumberFormat="1" applyBorder="1" applyAlignment="1">
      <alignment horizontal="center" vertical="center" wrapText="1"/>
    </xf>
    <xf numFmtId="0" fontId="15" fillId="29" borderId="1" xfId="0" applyFont="1" applyFill="1" applyBorder="1" applyAlignment="1">
      <alignment horizontal="center" vertical="center"/>
    </xf>
    <xf numFmtId="0" fontId="27" fillId="33" borderId="1" xfId="0" applyFont="1" applyFill="1" applyBorder="1" applyAlignment="1">
      <alignment horizontal="center"/>
    </xf>
    <xf numFmtId="0" fontId="27" fillId="33" borderId="7" xfId="0" applyFont="1" applyFill="1" applyBorder="1" applyAlignment="1">
      <alignment horizontal="center"/>
    </xf>
    <xf numFmtId="0" fontId="27" fillId="9" borderId="1" xfId="0" applyFont="1" applyFill="1" applyBorder="1" applyAlignment="1">
      <alignment horizontal="center"/>
    </xf>
    <xf numFmtId="0" fontId="0" fillId="10" borderId="1" xfId="0" applyFont="1" applyFill="1" applyBorder="1" applyAlignment="1">
      <alignment horizontal="center"/>
    </xf>
    <xf numFmtId="0" fontId="0" fillId="10" borderId="5" xfId="0" applyFont="1" applyFill="1" applyBorder="1" applyAlignment="1">
      <alignment horizontal="center"/>
    </xf>
    <xf numFmtId="0" fontId="15" fillId="30" borderId="1" xfId="0" applyFont="1" applyFill="1" applyBorder="1" applyAlignment="1">
      <alignment horizontal="center" vertical="center"/>
    </xf>
    <xf numFmtId="0" fontId="15" fillId="28" borderId="1" xfId="0" applyFont="1" applyFill="1" applyBorder="1" applyAlignment="1">
      <alignment horizontal="center"/>
    </xf>
    <xf numFmtId="0" fontId="15" fillId="31" borderId="1" xfId="0" applyFont="1" applyFill="1" applyBorder="1" applyAlignment="1">
      <alignment horizontal="center"/>
    </xf>
    <xf numFmtId="0" fontId="15" fillId="32" borderId="1" xfId="0" applyFont="1" applyFill="1" applyBorder="1" applyAlignment="1">
      <alignment horizontal="center"/>
    </xf>
    <xf numFmtId="0" fontId="26" fillId="0" borderId="1" xfId="0" applyFont="1" applyBorder="1" applyAlignment="1">
      <alignment horizontal="center"/>
    </xf>
    <xf numFmtId="0" fontId="26" fillId="0" borderId="7" xfId="0" applyFont="1" applyBorder="1" applyAlignment="1">
      <alignment horizontal="center"/>
    </xf>
    <xf numFmtId="0" fontId="15" fillId="30" borderId="1" xfId="0" applyFont="1" applyFill="1" applyBorder="1" applyAlignment="1">
      <alignment vertical="top"/>
    </xf>
    <xf numFmtId="0" fontId="26" fillId="5" borderId="1" xfId="0" applyFont="1" applyFill="1" applyBorder="1" applyAlignment="1">
      <alignment horizontal="left" vertical="center" wrapText="1"/>
    </xf>
    <xf numFmtId="0" fontId="33" fillId="5" borderId="1" xfId="0" applyFont="1" applyFill="1" applyBorder="1" applyAlignment="1">
      <alignment horizontal="left" vertical="center" wrapText="1"/>
    </xf>
    <xf numFmtId="0" fontId="0" fillId="9" borderId="1" xfId="0" applyFont="1" applyFill="1" applyBorder="1" applyAlignment="1">
      <alignment horizontal="center"/>
    </xf>
    <xf numFmtId="0" fontId="0" fillId="10" borderId="5" xfId="0" applyFill="1" applyBorder="1" applyAlignment="1">
      <alignment horizontal="center"/>
    </xf>
    <xf numFmtId="0" fontId="15" fillId="29" borderId="1" xfId="0" applyFont="1" applyFill="1" applyBorder="1" applyAlignment="1">
      <alignment horizontal="center"/>
    </xf>
    <xf numFmtId="0" fontId="55" fillId="0" borderId="0" xfId="0" applyFont="1" applyAlignment="1">
      <alignment wrapText="1"/>
    </xf>
  </cellXfs>
  <cellStyles count="3">
    <cellStyle name="Hipervínculo" xfId="1" builtinId="8"/>
    <cellStyle name="Normal" xfId="0" builtinId="0"/>
    <cellStyle name="Texto explicativo" xfId="2" builtinId="53" customBuiltin="1"/>
  </cellStyles>
  <dxfs count="16">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
      <font>
        <color rgb="FF000000"/>
        <name val="Calibri"/>
        <family val="2"/>
        <charset val="1"/>
      </font>
    </dxf>
  </dxfs>
  <tableStyles count="0" defaultTableStyle="TableStyleMedium2" defaultPivotStyle="PivotStyleLight16"/>
  <colors>
    <indexedColors>
      <rgbColor rgb="FF000000"/>
      <rgbColor rgb="FFFFFFFF"/>
      <rgbColor rgb="FFFF0000"/>
      <rgbColor rgb="FFD9D9D9"/>
      <rgbColor rgb="FF0000FF"/>
      <rgbColor rgb="FFFFFF00"/>
      <rgbColor rgb="FFFF00FF"/>
      <rgbColor rgb="FFA9D18E"/>
      <rgbColor rgb="FFC00000"/>
      <rgbColor rgb="FF548235"/>
      <rgbColor rgb="FF000080"/>
      <rgbColor rgb="FF806000"/>
      <rgbColor rgb="FF800080"/>
      <rgbColor rgb="FF009999"/>
      <rgbColor rgb="FFBFBFBF"/>
      <rgbColor rgb="FF808080"/>
      <rgbColor rgb="FF8FAADC"/>
      <rgbColor rgb="FF993366"/>
      <rgbColor rgb="FFFFF2CC"/>
      <rgbColor rgb="FFF2F2F2"/>
      <rgbColor rgb="FF660066"/>
      <rgbColor rgb="FFF4B183"/>
      <rgbColor rgb="FF0563C1"/>
      <rgbColor rgb="FFD0CECE"/>
      <rgbColor rgb="FF000080"/>
      <rgbColor rgb="FFFF00FF"/>
      <rgbColor rgb="FFFFE699"/>
      <rgbColor rgb="FFC5E0B4"/>
      <rgbColor rgb="FF800080"/>
      <rgbColor rgb="FFC55A11"/>
      <rgbColor rgb="FF00B050"/>
      <rgbColor rgb="FF0000FF"/>
      <rgbColor rgb="FF00B0F0"/>
      <rgbColor rgb="FFDBDBDB"/>
      <rgbColor rgb="FFE2F0D9"/>
      <rgbColor rgb="FFFFFF99"/>
      <rgbColor rgb="FF9DC3E6"/>
      <rgbColor rgb="FFFF99FF"/>
      <rgbColor rgb="FFCC99FF"/>
      <rgbColor rgb="FFFFD966"/>
      <rgbColor rgb="FF4472C4"/>
      <rgbColor rgb="FF33CCFF"/>
      <rgbColor rgb="FF92D050"/>
      <rgbColor rgb="FFFFC000"/>
      <rgbColor rgb="FFBF9000"/>
      <rgbColor rgb="FFED7D31"/>
      <rgbColor rgb="FF725E86"/>
      <rgbColor rgb="FF7F7F7F"/>
      <rgbColor rgb="FF0066FF"/>
      <rgbColor rgb="FF31AE20"/>
      <rgbColor rgb="FF385724"/>
      <rgbColor rgb="FF2A2D35"/>
      <rgbColor rgb="FF843C0B"/>
      <rgbColor rgb="FF7030A0"/>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181080</xdr:colOff>
      <xdr:row>0</xdr:row>
      <xdr:rowOff>19080</xdr:rowOff>
    </xdr:from>
    <xdr:to>
      <xdr:col>0</xdr:col>
      <xdr:colOff>1294200</xdr:colOff>
      <xdr:row>1</xdr:row>
      <xdr:rowOff>141480</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a:srcRect t="9838"/>
        <a:stretch/>
      </xdr:blipFill>
      <xdr:spPr>
        <a:xfrm>
          <a:off x="181080" y="19080"/>
          <a:ext cx="1113120" cy="417600"/>
        </a:xfrm>
        <a:prstGeom prst="rect">
          <a:avLst/>
        </a:prstGeom>
        <a:ln w="9360">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781050</xdr:colOff>
      <xdr:row>5</xdr:row>
      <xdr:rowOff>381000</xdr:rowOff>
    </xdr:to>
    <xdr:sp macro="" textlink="">
      <xdr:nvSpPr>
        <xdr:cNvPr id="2056" name="shapetype_202" hidden="1">
          <a:extLst>
            <a:ext uri="{FF2B5EF4-FFF2-40B4-BE49-F238E27FC236}">
              <a16:creationId xmlns:a16="http://schemas.microsoft.com/office/drawing/2014/main" id="{7C645409-AE7C-4A45-BFF0-780E2C243BB8}"/>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4" name="shapetype_202" hidden="1">
          <a:extLst>
            <a:ext uri="{FF2B5EF4-FFF2-40B4-BE49-F238E27FC236}">
              <a16:creationId xmlns:a16="http://schemas.microsoft.com/office/drawing/2014/main" id="{62FA9EB1-733C-41D6-8B23-E02A2A82941A}"/>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2" name="shapetype_202" hidden="1">
          <a:extLst>
            <a:ext uri="{FF2B5EF4-FFF2-40B4-BE49-F238E27FC236}">
              <a16:creationId xmlns:a16="http://schemas.microsoft.com/office/drawing/2014/main" id="{1E4A8503-38CD-4608-AE5C-E4389FC1581B}"/>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781050</xdr:colOff>
      <xdr:row>5</xdr:row>
      <xdr:rowOff>381000</xdr:rowOff>
    </xdr:to>
    <xdr:sp macro="" textlink="">
      <xdr:nvSpPr>
        <xdr:cNvPr id="2050" name="shapetype_202" hidden="1">
          <a:extLst>
            <a:ext uri="{FF2B5EF4-FFF2-40B4-BE49-F238E27FC236}">
              <a16:creationId xmlns:a16="http://schemas.microsoft.com/office/drawing/2014/main" id="{5BB5190C-0197-4C73-93D0-1AB677AE1E34}"/>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781050</xdr:colOff>
      <xdr:row>50</xdr:row>
      <xdr:rowOff>0</xdr:rowOff>
    </xdr:to>
    <xdr:sp macro="" textlink="">
      <xdr:nvSpPr>
        <xdr:cNvPr id="3078" name="shapetype_202" hidden="1">
          <a:extLst>
            <a:ext uri="{FF2B5EF4-FFF2-40B4-BE49-F238E27FC236}">
              <a16:creationId xmlns:a16="http://schemas.microsoft.com/office/drawing/2014/main" id="{90EA34DA-9644-4E2E-9FBE-3A968824C0EA}"/>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3076" name="shapetype_202" hidden="1">
          <a:extLst>
            <a:ext uri="{FF2B5EF4-FFF2-40B4-BE49-F238E27FC236}">
              <a16:creationId xmlns:a16="http://schemas.microsoft.com/office/drawing/2014/main" id="{6FEE8DCD-A54C-4A78-B9EE-7A3D11085B62}"/>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13</xdr:col>
      <xdr:colOff>781050</xdr:colOff>
      <xdr:row>50</xdr:row>
      <xdr:rowOff>0</xdr:rowOff>
    </xdr:to>
    <xdr:sp macro="" textlink="">
      <xdr:nvSpPr>
        <xdr:cNvPr id="3074" name="shapetype_202" hidden="1">
          <a:extLst>
            <a:ext uri="{FF2B5EF4-FFF2-40B4-BE49-F238E27FC236}">
              <a16:creationId xmlns:a16="http://schemas.microsoft.com/office/drawing/2014/main" id="{F6E66018-C30D-4AF8-89C7-0A322B1E7B83}"/>
            </a:ext>
          </a:extLst>
        </xdr:cNvPr>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4</xdr:col>
      <xdr:colOff>608400</xdr:colOff>
      <xdr:row>20</xdr:row>
      <xdr:rowOff>160920</xdr:rowOff>
    </xdr:to>
    <xdr:pic>
      <xdr:nvPicPr>
        <xdr:cNvPr id="2" name="Picture 1">
          <a:extLst>
            <a:ext uri="{FF2B5EF4-FFF2-40B4-BE49-F238E27FC236}">
              <a16:creationId xmlns:a16="http://schemas.microsoft.com/office/drawing/2014/main" id="{00000000-0008-0000-1100-000002000000}"/>
            </a:ext>
          </a:extLst>
        </xdr:cNvPr>
        <xdr:cNvPicPr/>
      </xdr:nvPicPr>
      <xdr:blipFill>
        <a:blip xmlns:r="http://schemas.openxmlformats.org/officeDocument/2006/relationships" r:embed="rId1"/>
        <a:stretch/>
      </xdr:blipFill>
      <xdr:spPr>
        <a:xfrm>
          <a:off x="812520" y="971280"/>
          <a:ext cx="3047040" cy="2427840"/>
        </a:xfrm>
        <a:prstGeom prst="rect">
          <a:avLst/>
        </a:prstGeom>
        <a:ln>
          <a:noFill/>
        </a:ln>
      </xdr:spPr>
    </xdr:pic>
    <xdr:clientData/>
  </xdr:twoCellAnchor>
  <xdr:twoCellAnchor editAs="oneCell">
    <xdr:from>
      <xdr:col>9</xdr:col>
      <xdr:colOff>0</xdr:colOff>
      <xdr:row>6</xdr:row>
      <xdr:rowOff>9360</xdr:rowOff>
    </xdr:from>
    <xdr:to>
      <xdr:col>12</xdr:col>
      <xdr:colOff>608760</xdr:colOff>
      <xdr:row>21</xdr:row>
      <xdr:rowOff>8280</xdr:rowOff>
    </xdr:to>
    <xdr:pic>
      <xdr:nvPicPr>
        <xdr:cNvPr id="3" name="Picture 2">
          <a:extLst>
            <a:ext uri="{FF2B5EF4-FFF2-40B4-BE49-F238E27FC236}">
              <a16:creationId xmlns:a16="http://schemas.microsoft.com/office/drawing/2014/main" id="{00000000-0008-0000-1100-000003000000}"/>
            </a:ext>
          </a:extLst>
        </xdr:cNvPr>
        <xdr:cNvPicPr/>
      </xdr:nvPicPr>
      <xdr:blipFill>
        <a:blip xmlns:r="http://schemas.openxmlformats.org/officeDocument/2006/relationships" r:embed="rId2"/>
        <a:stretch/>
      </xdr:blipFill>
      <xdr:spPr>
        <a:xfrm>
          <a:off x="7315200" y="980640"/>
          <a:ext cx="3047040" cy="24278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1</xdr:col>
      <xdr:colOff>3047040</xdr:colOff>
      <xdr:row>20</xdr:row>
      <xdr:rowOff>160920</xdr:rowOff>
    </xdr:to>
    <xdr:pic>
      <xdr:nvPicPr>
        <xdr:cNvPr id="3" name="Picture 1">
          <a:extLst>
            <a:ext uri="{FF2B5EF4-FFF2-40B4-BE49-F238E27FC236}">
              <a16:creationId xmlns:a16="http://schemas.microsoft.com/office/drawing/2014/main" id="{00000000-0008-0000-1200-000003000000}"/>
            </a:ext>
          </a:extLst>
        </xdr:cNvPr>
        <xdr:cNvPicPr/>
      </xdr:nvPicPr>
      <xdr:blipFill>
        <a:blip xmlns:r="http://schemas.openxmlformats.org/officeDocument/2006/relationships" r:embed="rId1"/>
        <a:stretch/>
      </xdr:blipFill>
      <xdr:spPr>
        <a:xfrm>
          <a:off x="13146840" y="971280"/>
          <a:ext cx="3047040" cy="2427840"/>
        </a:xfrm>
        <a:prstGeom prst="rect">
          <a:avLst/>
        </a:prstGeom>
        <a:ln>
          <a:noFill/>
        </a:ln>
      </xdr:spPr>
    </xdr:pic>
    <xdr:clientData/>
  </xdr:twoCellAnchor>
  <xdr:twoCellAnchor editAs="oneCell">
    <xdr:from>
      <xdr:col>9</xdr:col>
      <xdr:colOff>0</xdr:colOff>
      <xdr:row>6</xdr:row>
      <xdr:rowOff>9360</xdr:rowOff>
    </xdr:from>
    <xdr:to>
      <xdr:col>12</xdr:col>
      <xdr:colOff>608760</xdr:colOff>
      <xdr:row>21</xdr:row>
      <xdr:rowOff>8280</xdr:rowOff>
    </xdr:to>
    <xdr:pic>
      <xdr:nvPicPr>
        <xdr:cNvPr id="4" name="Picture 2">
          <a:extLst>
            <a:ext uri="{FF2B5EF4-FFF2-40B4-BE49-F238E27FC236}">
              <a16:creationId xmlns:a16="http://schemas.microsoft.com/office/drawing/2014/main" id="{00000000-0008-0000-1200-000004000000}"/>
            </a:ext>
          </a:extLst>
        </xdr:cNvPr>
        <xdr:cNvPicPr/>
      </xdr:nvPicPr>
      <xdr:blipFill>
        <a:blip xmlns:r="http://schemas.openxmlformats.org/officeDocument/2006/relationships" r:embed="rId2"/>
        <a:stretch/>
      </xdr:blipFill>
      <xdr:spPr>
        <a:xfrm>
          <a:off x="26470440" y="980640"/>
          <a:ext cx="3047040" cy="2427840"/>
        </a:xfrm>
        <a:prstGeom prst="rect">
          <a:avLst/>
        </a:prstGeom>
        <a:ln>
          <a:noFill/>
        </a:ln>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amas" displayName="Ramas" ref="A1:A7" totalsRowShown="0">
  <tableColumns count="1">
    <tableColumn id="1" xr3:uid="{00000000-0010-0000-0000-000001000000}" name="Arquitectura"/>
  </tableColumns>
  <tableStyleInfo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watch?v=pW6nZXeWlGM" TargetMode="External"/><Relationship Id="rId2" Type="http://schemas.openxmlformats.org/officeDocument/2006/relationships/hyperlink" Target="https://wrnch.ai/" TargetMode="External"/><Relationship Id="rId1" Type="http://schemas.openxmlformats.org/officeDocument/2006/relationships/hyperlink" Target="https://github.com/CMU-Perceptual-Computing-Lab/openpose/blob/master/doc/modules/python_module.md" TargetMode="External"/><Relationship Id="rId5" Type="http://schemas.openxmlformats.org/officeDocument/2006/relationships/drawing" Target="../drawings/drawing1.xml"/><Relationship Id="rId4" Type="http://schemas.openxmlformats.org/officeDocument/2006/relationships/hyperlink" Target="https://www.youtube.com/watch?v=C1Sxk6zxWLM" TargetMode="Externa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14"/>
  <sheetViews>
    <sheetView zoomScale="75" zoomScaleNormal="75" workbookViewId="0">
      <selection activeCell="D97" sqref="D97"/>
    </sheetView>
  </sheetViews>
  <sheetFormatPr baseColWidth="10" defaultColWidth="9.140625" defaultRowHeight="15" x14ac:dyDescent="0.25"/>
  <cols>
    <col min="1" max="1" width="22" customWidth="1"/>
    <col min="2" max="2" width="3.85546875" customWidth="1"/>
    <col min="3" max="3" width="28.85546875" customWidth="1"/>
    <col min="4" max="4" width="30.85546875" customWidth="1"/>
    <col min="5" max="5" width="87.85546875" customWidth="1"/>
    <col min="6" max="6" width="63" customWidth="1"/>
    <col min="7" max="1025" width="10.5703125" customWidth="1"/>
  </cols>
  <sheetData>
    <row r="1" spans="1:6" s="1" customFormat="1" ht="23.25" customHeight="1" x14ac:dyDescent="0.2">
      <c r="A1" s="180"/>
      <c r="B1" s="181" t="s">
        <v>0</v>
      </c>
      <c r="C1" s="181"/>
      <c r="D1" s="181"/>
    </row>
    <row r="2" spans="1:6" ht="12.75" customHeight="1" x14ac:dyDescent="0.25">
      <c r="A2" s="180"/>
      <c r="B2" s="182" t="s">
        <v>1</v>
      </c>
      <c r="C2" s="182"/>
      <c r="D2" s="182"/>
    </row>
    <row r="3" spans="1:6" ht="15" customHeight="1" x14ac:dyDescent="0.25">
      <c r="A3" s="183" t="s">
        <v>2</v>
      </c>
      <c r="B3" s="183"/>
      <c r="C3" s="183"/>
      <c r="D3" s="183"/>
    </row>
    <row r="4" spans="1:6" ht="15" customHeight="1" x14ac:dyDescent="0.25">
      <c r="A4" s="183" t="s">
        <v>3</v>
      </c>
      <c r="B4" s="183"/>
      <c r="C4" s="183"/>
      <c r="D4" s="183"/>
    </row>
    <row r="5" spans="1:6" ht="15" customHeight="1" x14ac:dyDescent="0.25">
      <c r="A5" s="184" t="s">
        <v>4</v>
      </c>
      <c r="B5" s="184"/>
      <c r="C5" s="185" t="s">
        <v>5</v>
      </c>
      <c r="D5" s="185"/>
    </row>
    <row r="6" spans="1:6" x14ac:dyDescent="0.25">
      <c r="A6" s="184"/>
      <c r="B6" s="184"/>
      <c r="C6" s="2" t="s">
        <v>6</v>
      </c>
      <c r="D6" s="3" t="s">
        <v>7</v>
      </c>
    </row>
    <row r="7" spans="1:6" ht="15" customHeight="1" x14ac:dyDescent="0.25">
      <c r="A7" s="186" t="s">
        <v>8</v>
      </c>
      <c r="B7" s="186"/>
      <c r="C7" s="4" t="s">
        <v>9</v>
      </c>
      <c r="D7" s="4" t="s">
        <v>10</v>
      </c>
      <c r="E7" s="187"/>
      <c r="F7" s="188"/>
    </row>
    <row r="8" spans="1:6" x14ac:dyDescent="0.25">
      <c r="A8" s="186"/>
      <c r="B8" s="186"/>
      <c r="C8" s="4" t="s">
        <v>11</v>
      </c>
      <c r="D8" s="4" t="s">
        <v>12</v>
      </c>
      <c r="E8" s="187"/>
      <c r="F8" s="188"/>
    </row>
    <row r="9" spans="1:6" x14ac:dyDescent="0.25">
      <c r="A9" s="186"/>
      <c r="B9" s="186"/>
      <c r="C9" s="4" t="s">
        <v>13</v>
      </c>
      <c r="D9" s="4" t="s">
        <v>14</v>
      </c>
      <c r="E9" s="187"/>
      <c r="F9" s="188"/>
    </row>
    <row r="10" spans="1:6" x14ac:dyDescent="0.25">
      <c r="A10" s="186"/>
      <c r="B10" s="186"/>
      <c r="C10" s="4" t="s">
        <v>15</v>
      </c>
      <c r="D10" s="5"/>
      <c r="E10" s="187"/>
      <c r="F10" s="188"/>
    </row>
    <row r="11" spans="1:6" ht="15" customHeight="1" x14ac:dyDescent="0.25">
      <c r="A11" s="189" t="s">
        <v>16</v>
      </c>
      <c r="B11" s="189"/>
      <c r="C11" s="189"/>
      <c r="D11" s="189"/>
    </row>
    <row r="12" spans="1:6" ht="15" customHeight="1" x14ac:dyDescent="0.25">
      <c r="A12" s="190" t="s">
        <v>17</v>
      </c>
      <c r="B12" s="190"/>
      <c r="C12" s="5" t="s">
        <v>18</v>
      </c>
      <c r="D12" s="5" t="s">
        <v>19</v>
      </c>
      <c r="E12" s="187"/>
    </row>
    <row r="13" spans="1:6" ht="24" x14ac:dyDescent="0.25">
      <c r="A13" s="190"/>
      <c r="B13" s="190"/>
      <c r="C13" s="5" t="s">
        <v>20</v>
      </c>
      <c r="D13" s="5" t="s">
        <v>21</v>
      </c>
      <c r="E13" s="187"/>
    </row>
    <row r="14" spans="1:6" x14ac:dyDescent="0.25">
      <c r="A14" s="190"/>
      <c r="B14" s="190"/>
      <c r="C14" s="5" t="s">
        <v>22</v>
      </c>
      <c r="D14" s="5"/>
      <c r="E14" s="187"/>
    </row>
    <row r="15" spans="1:6" x14ac:dyDescent="0.25">
      <c r="A15" s="190"/>
      <c r="B15" s="190"/>
      <c r="C15" s="5" t="s">
        <v>23</v>
      </c>
      <c r="D15" s="5" t="s">
        <v>24</v>
      </c>
      <c r="E15" s="187"/>
    </row>
    <row r="16" spans="1:6" x14ac:dyDescent="0.25">
      <c r="A16" s="190"/>
      <c r="B16" s="190"/>
      <c r="C16" s="5" t="s">
        <v>25</v>
      </c>
      <c r="D16" s="5" t="s">
        <v>26</v>
      </c>
      <c r="E16" s="187"/>
    </row>
    <row r="17" spans="1:5" ht="24" x14ac:dyDescent="0.25">
      <c r="A17" s="190"/>
      <c r="B17" s="190"/>
      <c r="C17" s="5" t="s">
        <v>27</v>
      </c>
      <c r="D17" s="5" t="s">
        <v>28</v>
      </c>
      <c r="E17" s="187"/>
    </row>
    <row r="18" spans="1:5" x14ac:dyDescent="0.25">
      <c r="A18" s="190"/>
      <c r="B18" s="190"/>
      <c r="C18" s="5" t="s">
        <v>29</v>
      </c>
      <c r="D18" s="5" t="s">
        <v>30</v>
      </c>
      <c r="E18" s="187"/>
    </row>
    <row r="19" spans="1:5" x14ac:dyDescent="0.25">
      <c r="A19" s="190"/>
      <c r="B19" s="190"/>
      <c r="C19" s="5" t="s">
        <v>31</v>
      </c>
      <c r="D19" s="5" t="s">
        <v>32</v>
      </c>
      <c r="E19" s="187"/>
    </row>
    <row r="20" spans="1:5" x14ac:dyDescent="0.25">
      <c r="A20" s="190"/>
      <c r="B20" s="190"/>
      <c r="C20" s="5" t="s">
        <v>33</v>
      </c>
      <c r="D20" s="5" t="s">
        <v>34</v>
      </c>
      <c r="E20" s="187"/>
    </row>
    <row r="21" spans="1:5" ht="24" x14ac:dyDescent="0.25">
      <c r="A21" s="190"/>
      <c r="B21" s="190"/>
      <c r="C21" s="5" t="s">
        <v>35</v>
      </c>
      <c r="D21" s="5" t="s">
        <v>36</v>
      </c>
      <c r="E21" s="187"/>
    </row>
    <row r="22" spans="1:5" x14ac:dyDescent="0.25">
      <c r="A22" s="190"/>
      <c r="B22" s="190"/>
      <c r="C22" s="5" t="s">
        <v>37</v>
      </c>
      <c r="D22" s="5"/>
      <c r="E22" s="187"/>
    </row>
    <row r="23" spans="1:5" x14ac:dyDescent="0.25">
      <c r="A23" s="190"/>
      <c r="B23" s="190"/>
      <c r="C23" s="4" t="s">
        <v>38</v>
      </c>
      <c r="D23" s="4" t="s">
        <v>39</v>
      </c>
      <c r="E23" s="187"/>
    </row>
    <row r="24" spans="1:5" x14ac:dyDescent="0.25">
      <c r="A24" s="190"/>
      <c r="B24" s="190"/>
      <c r="C24" s="4" t="s">
        <v>40</v>
      </c>
      <c r="D24" s="4" t="s">
        <v>41</v>
      </c>
      <c r="E24" s="187"/>
    </row>
    <row r="25" spans="1:5" x14ac:dyDescent="0.25">
      <c r="A25" s="190"/>
      <c r="B25" s="190"/>
      <c r="C25" s="5" t="s">
        <v>42</v>
      </c>
      <c r="D25" s="5" t="s">
        <v>43</v>
      </c>
      <c r="E25" s="187"/>
    </row>
    <row r="26" spans="1:5" x14ac:dyDescent="0.25">
      <c r="A26" s="190"/>
      <c r="B26" s="190"/>
      <c r="C26" s="5" t="s">
        <v>44</v>
      </c>
      <c r="D26" s="5" t="s">
        <v>45</v>
      </c>
      <c r="E26" s="187"/>
    </row>
    <row r="27" spans="1:5" x14ac:dyDescent="0.25">
      <c r="A27" s="190"/>
      <c r="B27" s="190"/>
      <c r="C27" s="5" t="s">
        <v>46</v>
      </c>
      <c r="D27" s="5" t="s">
        <v>47</v>
      </c>
      <c r="E27" s="187"/>
    </row>
    <row r="28" spans="1:5" x14ac:dyDescent="0.25">
      <c r="A28" s="190"/>
      <c r="B28" s="190"/>
      <c r="C28" s="5" t="s">
        <v>48</v>
      </c>
      <c r="D28" s="5" t="s">
        <v>49</v>
      </c>
      <c r="E28" s="187"/>
    </row>
    <row r="29" spans="1:5" x14ac:dyDescent="0.25">
      <c r="A29" s="190"/>
      <c r="B29" s="190"/>
      <c r="C29" s="5" t="s">
        <v>50</v>
      </c>
      <c r="D29" s="5" t="s">
        <v>51</v>
      </c>
      <c r="E29" s="187"/>
    </row>
    <row r="30" spans="1:5" ht="24" x14ac:dyDescent="0.25">
      <c r="A30" s="190"/>
      <c r="B30" s="190"/>
      <c r="C30" s="5" t="s">
        <v>52</v>
      </c>
      <c r="D30" s="5" t="s">
        <v>53</v>
      </c>
      <c r="E30" s="187"/>
    </row>
    <row r="31" spans="1:5" x14ac:dyDescent="0.25">
      <c r="A31" s="190"/>
      <c r="B31" s="190"/>
      <c r="C31" s="5" t="s">
        <v>54</v>
      </c>
      <c r="D31" s="5" t="s">
        <v>55</v>
      </c>
      <c r="E31" s="187"/>
    </row>
    <row r="32" spans="1:5" x14ac:dyDescent="0.25">
      <c r="A32" s="190"/>
      <c r="B32" s="190"/>
      <c r="C32" s="5" t="s">
        <v>56</v>
      </c>
      <c r="D32" s="5" t="s">
        <v>57</v>
      </c>
      <c r="E32" s="187"/>
    </row>
    <row r="33" spans="1:5" x14ac:dyDescent="0.25">
      <c r="A33" s="190"/>
      <c r="B33" s="190"/>
      <c r="C33" s="5" t="s">
        <v>58</v>
      </c>
      <c r="D33" s="5" t="s">
        <v>59</v>
      </c>
      <c r="E33" s="187"/>
    </row>
    <row r="34" spans="1:5" x14ac:dyDescent="0.25">
      <c r="A34" s="190"/>
      <c r="B34" s="190"/>
      <c r="C34" s="5" t="s">
        <v>60</v>
      </c>
      <c r="D34" s="5" t="s">
        <v>59</v>
      </c>
      <c r="E34" s="187"/>
    </row>
    <row r="35" spans="1:5" ht="24" x14ac:dyDescent="0.25">
      <c r="A35" s="190"/>
      <c r="B35" s="190"/>
      <c r="C35" s="5" t="s">
        <v>61</v>
      </c>
      <c r="D35" s="5" t="s">
        <v>62</v>
      </c>
      <c r="E35" s="187"/>
    </row>
    <row r="36" spans="1:5" ht="24" x14ac:dyDescent="0.25">
      <c r="A36" s="190"/>
      <c r="B36" s="190"/>
      <c r="C36" s="5" t="s">
        <v>63</v>
      </c>
      <c r="D36" s="5" t="s">
        <v>62</v>
      </c>
      <c r="E36" s="187"/>
    </row>
    <row r="37" spans="1:5" x14ac:dyDescent="0.25">
      <c r="A37" s="190"/>
      <c r="B37" s="190"/>
      <c r="C37" s="6"/>
      <c r="D37" s="7"/>
    </row>
    <row r="38" spans="1:5" ht="15" customHeight="1" x14ac:dyDescent="0.25">
      <c r="A38" s="189" t="s">
        <v>16</v>
      </c>
      <c r="B38" s="189"/>
      <c r="C38" s="189"/>
      <c r="D38" s="189"/>
    </row>
    <row r="39" spans="1:5" ht="15" customHeight="1" x14ac:dyDescent="0.25">
      <c r="A39" s="186" t="s">
        <v>64</v>
      </c>
      <c r="B39" s="186"/>
      <c r="C39" s="5" t="s">
        <v>65</v>
      </c>
      <c r="D39" s="5"/>
      <c r="E39" s="8"/>
    </row>
    <row r="40" spans="1:5" ht="15" customHeight="1" x14ac:dyDescent="0.25">
      <c r="A40" s="186"/>
      <c r="B40" s="186"/>
      <c r="C40" s="5" t="s">
        <v>66</v>
      </c>
      <c r="D40" s="5"/>
      <c r="E40" s="8"/>
    </row>
    <row r="41" spans="1:5" ht="15" customHeight="1" x14ac:dyDescent="0.25">
      <c r="A41" s="186"/>
      <c r="B41" s="186"/>
      <c r="C41" s="5" t="s">
        <v>67</v>
      </c>
      <c r="D41" s="5"/>
      <c r="E41" s="8"/>
    </row>
    <row r="42" spans="1:5" ht="15" customHeight="1" x14ac:dyDescent="0.25">
      <c r="A42" s="186"/>
      <c r="B42" s="186"/>
      <c r="C42" s="5" t="s">
        <v>68</v>
      </c>
      <c r="D42" s="5"/>
      <c r="E42" s="8"/>
    </row>
    <row r="43" spans="1:5" ht="15" customHeight="1" x14ac:dyDescent="0.25">
      <c r="A43" s="186"/>
      <c r="B43" s="186"/>
      <c r="C43" s="5" t="s">
        <v>69</v>
      </c>
      <c r="D43" s="5"/>
      <c r="E43" s="8"/>
    </row>
    <row r="44" spans="1:5" ht="15" customHeight="1" x14ac:dyDescent="0.25">
      <c r="A44" s="186"/>
      <c r="B44" s="186"/>
      <c r="C44" s="5" t="s">
        <v>70</v>
      </c>
      <c r="D44" s="5"/>
      <c r="E44" s="8"/>
    </row>
    <row r="45" spans="1:5" ht="15" customHeight="1" x14ac:dyDescent="0.25">
      <c r="A45" s="186"/>
      <c r="B45" s="186"/>
      <c r="C45" s="5" t="s">
        <v>71</v>
      </c>
      <c r="D45" s="5"/>
      <c r="E45" s="8"/>
    </row>
    <row r="46" spans="1:5" x14ac:dyDescent="0.25">
      <c r="A46" s="186"/>
      <c r="B46" s="186"/>
      <c r="C46" s="5" t="s">
        <v>72</v>
      </c>
      <c r="D46" s="5" t="s">
        <v>73</v>
      </c>
    </row>
    <row r="47" spans="1:5" x14ac:dyDescent="0.25">
      <c r="A47" s="186"/>
      <c r="B47" s="186"/>
      <c r="C47" s="5" t="s">
        <v>74</v>
      </c>
      <c r="D47" s="5" t="s">
        <v>75</v>
      </c>
    </row>
    <row r="48" spans="1:5" x14ac:dyDescent="0.25">
      <c r="A48" s="186"/>
      <c r="B48" s="186"/>
      <c r="C48" s="5" t="s">
        <v>76</v>
      </c>
      <c r="D48" s="5" t="s">
        <v>77</v>
      </c>
    </row>
    <row r="49" spans="1:5" x14ac:dyDescent="0.25">
      <c r="A49" s="186"/>
      <c r="B49" s="186"/>
      <c r="C49" s="5" t="s">
        <v>78</v>
      </c>
      <c r="D49" s="5"/>
    </row>
    <row r="50" spans="1:5" x14ac:dyDescent="0.25">
      <c r="A50" s="186"/>
      <c r="B50" s="186"/>
      <c r="C50" s="5" t="s">
        <v>79</v>
      </c>
      <c r="D50" s="5"/>
    </row>
    <row r="51" spans="1:5" x14ac:dyDescent="0.25">
      <c r="A51" s="186"/>
      <c r="B51" s="186"/>
      <c r="C51" s="5" t="s">
        <v>80</v>
      </c>
      <c r="D51" s="5"/>
    </row>
    <row r="52" spans="1:5" x14ac:dyDescent="0.25">
      <c r="A52" s="186"/>
      <c r="B52" s="186"/>
      <c r="C52" s="5" t="s">
        <v>81</v>
      </c>
      <c r="D52" s="5"/>
    </row>
    <row r="53" spans="1:5" x14ac:dyDescent="0.25">
      <c r="A53" s="186"/>
      <c r="B53" s="186"/>
      <c r="C53" s="5" t="s">
        <v>82</v>
      </c>
      <c r="D53" s="5"/>
    </row>
    <row r="54" spans="1:5" x14ac:dyDescent="0.25">
      <c r="A54" s="186"/>
      <c r="B54" s="186"/>
      <c r="C54" s="5" t="s">
        <v>83</v>
      </c>
      <c r="D54" s="5"/>
    </row>
    <row r="55" spans="1:5" x14ac:dyDescent="0.25">
      <c r="A55" s="186"/>
      <c r="B55" s="186"/>
      <c r="C55" s="6"/>
      <c r="D55" s="5"/>
    </row>
    <row r="56" spans="1:5" x14ac:dyDescent="0.25">
      <c r="A56" s="189"/>
      <c r="B56" s="189"/>
      <c r="C56" s="189"/>
      <c r="D56" s="189"/>
    </row>
    <row r="57" spans="1:5" ht="15" customHeight="1" x14ac:dyDescent="0.25">
      <c r="A57" s="186" t="s">
        <v>84</v>
      </c>
      <c r="B57" s="186"/>
      <c r="C57" s="5" t="s">
        <v>85</v>
      </c>
      <c r="D57" s="5"/>
      <c r="E57" s="8"/>
    </row>
    <row r="58" spans="1:5" ht="15" customHeight="1" x14ac:dyDescent="0.25">
      <c r="A58" s="186"/>
      <c r="B58" s="186"/>
      <c r="C58" s="5" t="s">
        <v>86</v>
      </c>
      <c r="D58" s="5"/>
      <c r="E58" s="8"/>
    </row>
    <row r="59" spans="1:5" ht="15" customHeight="1" x14ac:dyDescent="0.25">
      <c r="A59" s="186"/>
      <c r="B59" s="186"/>
      <c r="C59" s="5" t="s">
        <v>87</v>
      </c>
      <c r="D59" s="5"/>
      <c r="E59" s="8"/>
    </row>
    <row r="60" spans="1:5" ht="15" customHeight="1" x14ac:dyDescent="0.25">
      <c r="A60" s="186"/>
      <c r="B60" s="186"/>
      <c r="C60" s="5" t="s">
        <v>88</v>
      </c>
      <c r="D60" s="5"/>
      <c r="E60" s="8"/>
    </row>
    <row r="61" spans="1:5" ht="15" customHeight="1" x14ac:dyDescent="0.25">
      <c r="A61" s="186"/>
      <c r="B61" s="186"/>
      <c r="C61" s="5" t="s">
        <v>89</v>
      </c>
      <c r="D61" s="5"/>
      <c r="E61" s="8"/>
    </row>
    <row r="62" spans="1:5" ht="15" customHeight="1" x14ac:dyDescent="0.25">
      <c r="A62" s="186"/>
      <c r="B62" s="186"/>
      <c r="C62" s="5" t="s">
        <v>90</v>
      </c>
      <c r="D62" s="5"/>
      <c r="E62" s="8"/>
    </row>
    <row r="63" spans="1:5" ht="15" customHeight="1" x14ac:dyDescent="0.25">
      <c r="A63" s="186"/>
      <c r="B63" s="186"/>
      <c r="C63" s="5" t="s">
        <v>91</v>
      </c>
      <c r="D63" s="5"/>
      <c r="E63" s="8"/>
    </row>
    <row r="64" spans="1:5" ht="15" customHeight="1" x14ac:dyDescent="0.25">
      <c r="A64" s="186"/>
      <c r="B64" s="186"/>
      <c r="C64" s="5" t="s">
        <v>92</v>
      </c>
      <c r="D64" s="5"/>
      <c r="E64" s="8"/>
    </row>
    <row r="65" spans="1:5" ht="15" customHeight="1" x14ac:dyDescent="0.25">
      <c r="A65" s="186"/>
      <c r="B65" s="186"/>
      <c r="C65" s="5" t="s">
        <v>93</v>
      </c>
      <c r="D65" s="5"/>
      <c r="E65" s="8"/>
    </row>
    <row r="66" spans="1:5" x14ac:dyDescent="0.25">
      <c r="A66" s="186"/>
      <c r="B66" s="186"/>
      <c r="C66" s="5" t="s">
        <v>94</v>
      </c>
      <c r="D66" s="5"/>
    </row>
    <row r="67" spans="1:5" x14ac:dyDescent="0.25">
      <c r="A67" s="186"/>
      <c r="B67" s="186"/>
      <c r="C67" s="5" t="s">
        <v>95</v>
      </c>
      <c r="D67" s="5"/>
    </row>
    <row r="68" spans="1:5" x14ac:dyDescent="0.25">
      <c r="A68" s="186"/>
      <c r="B68" s="186"/>
      <c r="C68" s="5" t="s">
        <v>96</v>
      </c>
      <c r="D68" s="5"/>
    </row>
    <row r="69" spans="1:5" x14ac:dyDescent="0.25">
      <c r="A69" s="186"/>
      <c r="B69" s="186"/>
      <c r="C69" s="5" t="s">
        <v>97</v>
      </c>
      <c r="D69" s="5"/>
    </row>
    <row r="70" spans="1:5" x14ac:dyDescent="0.25">
      <c r="A70" s="186"/>
      <c r="B70" s="186"/>
      <c r="C70" s="5" t="s">
        <v>98</v>
      </c>
      <c r="D70" s="5"/>
    </row>
    <row r="71" spans="1:5" x14ac:dyDescent="0.25">
      <c r="A71" s="186"/>
      <c r="B71" s="186"/>
      <c r="C71" s="5" t="s">
        <v>99</v>
      </c>
      <c r="D71" s="5"/>
    </row>
    <row r="72" spans="1:5" x14ac:dyDescent="0.25">
      <c r="A72" s="186"/>
      <c r="B72" s="186"/>
      <c r="C72" s="5" t="s">
        <v>100</v>
      </c>
      <c r="D72" s="5"/>
    </row>
    <row r="73" spans="1:5" x14ac:dyDescent="0.25">
      <c r="A73" s="189"/>
      <c r="B73" s="189"/>
      <c r="C73" s="189"/>
      <c r="D73" s="189"/>
    </row>
    <row r="74" spans="1:5" ht="15" customHeight="1" x14ac:dyDescent="0.25">
      <c r="A74" s="191" t="s">
        <v>101</v>
      </c>
      <c r="B74" s="191"/>
      <c r="C74" s="191"/>
      <c r="D74" s="191"/>
    </row>
    <row r="75" spans="1:5" ht="15" customHeight="1" x14ac:dyDescent="0.25">
      <c r="A75" s="186" t="s">
        <v>102</v>
      </c>
      <c r="B75" s="186"/>
      <c r="C75" s="5" t="s">
        <v>103</v>
      </c>
      <c r="D75" s="5" t="s">
        <v>104</v>
      </c>
      <c r="E75" s="8"/>
    </row>
    <row r="76" spans="1:5" ht="15" customHeight="1" x14ac:dyDescent="0.25">
      <c r="A76" s="186"/>
      <c r="B76" s="186"/>
      <c r="C76" s="5" t="s">
        <v>105</v>
      </c>
      <c r="D76" s="5" t="s">
        <v>106</v>
      </c>
      <c r="E76" s="8"/>
    </row>
    <row r="77" spans="1:5" ht="15" customHeight="1" x14ac:dyDescent="0.25">
      <c r="A77" s="186"/>
      <c r="B77" s="186"/>
      <c r="C77" s="5" t="s">
        <v>107</v>
      </c>
      <c r="D77" s="5" t="s">
        <v>108</v>
      </c>
      <c r="E77" s="8"/>
    </row>
    <row r="78" spans="1:5" ht="15" customHeight="1" x14ac:dyDescent="0.25">
      <c r="A78" s="186"/>
      <c r="B78" s="186"/>
      <c r="C78" s="5" t="s">
        <v>109</v>
      </c>
      <c r="D78" s="5" t="s">
        <v>110</v>
      </c>
      <c r="E78" s="8"/>
    </row>
    <row r="79" spans="1:5" x14ac:dyDescent="0.25">
      <c r="A79" s="189"/>
      <c r="B79" s="189"/>
      <c r="C79" s="189"/>
      <c r="D79" s="189"/>
    </row>
    <row r="80" spans="1:5" ht="15" customHeight="1" x14ac:dyDescent="0.25">
      <c r="A80" s="186" t="s">
        <v>111</v>
      </c>
      <c r="B80" s="186"/>
      <c r="C80" s="4" t="s">
        <v>112</v>
      </c>
      <c r="D80" s="4" t="s">
        <v>113</v>
      </c>
      <c r="E80" s="8"/>
    </row>
    <row r="81" spans="1:4" x14ac:dyDescent="0.25">
      <c r="A81" s="186"/>
      <c r="B81" s="186"/>
      <c r="C81" s="4" t="s">
        <v>114</v>
      </c>
      <c r="D81" s="4" t="s">
        <v>115</v>
      </c>
    </row>
    <row r="82" spans="1:4" x14ac:dyDescent="0.25">
      <c r="A82" s="186"/>
      <c r="B82" s="186"/>
      <c r="C82" s="4" t="s">
        <v>116</v>
      </c>
      <c r="D82" s="4" t="s">
        <v>117</v>
      </c>
    </row>
    <row r="83" spans="1:4" x14ac:dyDescent="0.25">
      <c r="A83" s="186"/>
      <c r="B83" s="186"/>
      <c r="C83" s="6"/>
      <c r="D83" s="5"/>
    </row>
    <row r="84" spans="1:4" x14ac:dyDescent="0.25">
      <c r="A84" s="189"/>
      <c r="B84" s="189"/>
      <c r="C84" s="189"/>
      <c r="D84" s="189"/>
    </row>
    <row r="85" spans="1:4" ht="15" customHeight="1" x14ac:dyDescent="0.25">
      <c r="A85" s="190" t="s">
        <v>118</v>
      </c>
      <c r="B85" s="190"/>
      <c r="C85" s="5" t="s">
        <v>119</v>
      </c>
      <c r="D85" s="5" t="s">
        <v>119</v>
      </c>
    </row>
    <row r="86" spans="1:4" x14ac:dyDescent="0.25">
      <c r="A86" s="190"/>
      <c r="B86" s="190"/>
      <c r="C86" s="4" t="s">
        <v>120</v>
      </c>
      <c r="D86" s="4" t="s">
        <v>121</v>
      </c>
    </row>
    <row r="87" spans="1:4" ht="15" customHeight="1" x14ac:dyDescent="0.25">
      <c r="A87" s="190"/>
      <c r="B87" s="190"/>
      <c r="C87" s="5" t="s">
        <v>122</v>
      </c>
      <c r="D87" s="5" t="s">
        <v>123</v>
      </c>
    </row>
    <row r="88" spans="1:4" x14ac:dyDescent="0.25">
      <c r="A88" s="190"/>
      <c r="B88" s="190"/>
      <c r="C88" s="5" t="s">
        <v>124</v>
      </c>
      <c r="D88" s="5" t="s">
        <v>125</v>
      </c>
    </row>
    <row r="89" spans="1:4" x14ac:dyDescent="0.25">
      <c r="A89" s="190"/>
      <c r="B89" s="190"/>
      <c r="C89" s="5" t="s">
        <v>126</v>
      </c>
      <c r="D89" s="5" t="s">
        <v>127</v>
      </c>
    </row>
    <row r="90" spans="1:4" x14ac:dyDescent="0.25">
      <c r="A90" s="190"/>
      <c r="B90" s="190"/>
      <c r="C90" s="5" t="s">
        <v>128</v>
      </c>
      <c r="D90" s="5" t="s">
        <v>129</v>
      </c>
    </row>
    <row r="91" spans="1:4" x14ac:dyDescent="0.25">
      <c r="A91" s="190"/>
      <c r="B91" s="190"/>
      <c r="C91" s="5" t="s">
        <v>130</v>
      </c>
      <c r="D91" s="5" t="s">
        <v>131</v>
      </c>
    </row>
    <row r="92" spans="1:4" x14ac:dyDescent="0.25">
      <c r="A92" s="190"/>
      <c r="B92" s="190"/>
      <c r="C92" s="5" t="s">
        <v>132</v>
      </c>
      <c r="D92" s="5" t="s">
        <v>133</v>
      </c>
    </row>
    <row r="93" spans="1:4" x14ac:dyDescent="0.25">
      <c r="A93" s="190"/>
      <c r="B93" s="190"/>
      <c r="C93" s="5" t="s">
        <v>134</v>
      </c>
      <c r="D93" s="5" t="s">
        <v>135</v>
      </c>
    </row>
    <row r="94" spans="1:4" x14ac:dyDescent="0.25">
      <c r="A94" s="190"/>
      <c r="B94" s="190"/>
      <c r="C94" s="5" t="s">
        <v>136</v>
      </c>
      <c r="D94" s="5" t="s">
        <v>137</v>
      </c>
    </row>
    <row r="95" spans="1:4" x14ac:dyDescent="0.25">
      <c r="A95" s="190"/>
      <c r="B95" s="190"/>
      <c r="C95" s="5" t="s">
        <v>138</v>
      </c>
      <c r="D95" s="5" t="s">
        <v>139</v>
      </c>
    </row>
    <row r="96" spans="1:4" ht="15" customHeight="1" x14ac:dyDescent="0.25">
      <c r="A96" s="190"/>
      <c r="B96" s="190"/>
      <c r="C96" s="4" t="s">
        <v>140</v>
      </c>
      <c r="D96" s="4" t="s">
        <v>141</v>
      </c>
    </row>
    <row r="97" spans="1:4" x14ac:dyDescent="0.25">
      <c r="A97" s="190"/>
      <c r="B97" s="190"/>
      <c r="C97" s="6"/>
      <c r="D97" s="7"/>
    </row>
    <row r="99" spans="1:4" x14ac:dyDescent="0.25">
      <c r="C99" t="s">
        <v>142</v>
      </c>
    </row>
    <row r="100" spans="1:4" x14ac:dyDescent="0.25">
      <c r="C100" t="s">
        <v>143</v>
      </c>
    </row>
    <row r="101" spans="1:4" x14ac:dyDescent="0.25">
      <c r="C101" t="s">
        <v>144</v>
      </c>
    </row>
    <row r="103" spans="1:4" x14ac:dyDescent="0.25">
      <c r="C103" t="s">
        <v>145</v>
      </c>
    </row>
    <row r="104" spans="1:4" x14ac:dyDescent="0.25">
      <c r="C104" s="9" t="s">
        <v>146</v>
      </c>
    </row>
    <row r="105" spans="1:4" x14ac:dyDescent="0.25">
      <c r="C105" s="9" t="s">
        <v>147</v>
      </c>
    </row>
    <row r="106" spans="1:4" x14ac:dyDescent="0.25">
      <c r="C106" s="9" t="s">
        <v>148</v>
      </c>
    </row>
    <row r="107" spans="1:4" x14ac:dyDescent="0.25">
      <c r="C107" s="9" t="s">
        <v>149</v>
      </c>
    </row>
    <row r="108" spans="1:4" x14ac:dyDescent="0.25">
      <c r="C108" t="s">
        <v>150</v>
      </c>
    </row>
    <row r="109" spans="1:4" x14ac:dyDescent="0.25">
      <c r="C109" t="s">
        <v>151</v>
      </c>
    </row>
    <row r="111" spans="1:4" x14ac:dyDescent="0.25">
      <c r="C111" t="s">
        <v>152</v>
      </c>
    </row>
    <row r="112" spans="1:4" x14ac:dyDescent="0.25">
      <c r="C112" t="s">
        <v>153</v>
      </c>
    </row>
    <row r="113" spans="3:3" x14ac:dyDescent="0.25">
      <c r="C113" t="s">
        <v>154</v>
      </c>
    </row>
    <row r="114" spans="3:3" x14ac:dyDescent="0.25">
      <c r="C114" t="s">
        <v>155</v>
      </c>
    </row>
  </sheetData>
  <mergeCells count="24">
    <mergeCell ref="A79:D79"/>
    <mergeCell ref="A80:B83"/>
    <mergeCell ref="A84:D84"/>
    <mergeCell ref="A85:B97"/>
    <mergeCell ref="A56:D56"/>
    <mergeCell ref="A57:B72"/>
    <mergeCell ref="A73:D73"/>
    <mergeCell ref="A74:D74"/>
    <mergeCell ref="A75:B78"/>
    <mergeCell ref="A11:D11"/>
    <mergeCell ref="A12:B37"/>
    <mergeCell ref="E12:E36"/>
    <mergeCell ref="A38:D38"/>
    <mergeCell ref="A39:B55"/>
    <mergeCell ref="A5:B6"/>
    <mergeCell ref="C5:D5"/>
    <mergeCell ref="A7:B10"/>
    <mergeCell ref="E7:E10"/>
    <mergeCell ref="F7:F10"/>
    <mergeCell ref="A1:A2"/>
    <mergeCell ref="B1:D1"/>
    <mergeCell ref="B2:D2"/>
    <mergeCell ref="A3:D3"/>
    <mergeCell ref="A4:D4"/>
  </mergeCells>
  <hyperlinks>
    <hyperlink ref="C104" r:id="rId1" xr:uid="{00000000-0004-0000-0000-000000000000}"/>
    <hyperlink ref="C105" r:id="rId2" xr:uid="{00000000-0004-0000-0000-000001000000}"/>
    <hyperlink ref="C106" r:id="rId3" xr:uid="{00000000-0004-0000-0000-000002000000}"/>
    <hyperlink ref="C107" r:id="rId4" xr:uid="{00000000-0004-0000-0000-000003000000}"/>
  </hyperlinks>
  <printOptions horizontalCentered="1" verticalCentered="1"/>
  <pageMargins left="0.7" right="0.7" top="0.75" bottom="0.75" header="0.51180555555555496" footer="0.51180555555555496"/>
  <pageSetup firstPageNumber="0" orientation="portrait" horizontalDpi="300" verticalDpi="30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E125"/>
  <sheetViews>
    <sheetView topLeftCell="A105" zoomScale="75" zoomScaleNormal="75" workbookViewId="0">
      <selection activeCell="B125" sqref="B125"/>
    </sheetView>
  </sheetViews>
  <sheetFormatPr baseColWidth="10" defaultColWidth="9.140625" defaultRowHeight="15" x14ac:dyDescent="0.25"/>
  <cols>
    <col min="1" max="1" width="8.7109375" customWidth="1"/>
    <col min="2" max="2" width="50.140625" customWidth="1"/>
    <col min="3" max="3" width="8.7109375" customWidth="1"/>
    <col min="4" max="4" width="16.140625" customWidth="1"/>
    <col min="5" max="1025" width="10.5703125" customWidth="1"/>
  </cols>
  <sheetData>
    <row r="1" spans="1:4" ht="21" x14ac:dyDescent="0.35">
      <c r="A1" s="192" t="s">
        <v>156</v>
      </c>
      <c r="B1" s="192"/>
      <c r="C1" s="192"/>
      <c r="D1" s="192"/>
    </row>
    <row r="2" spans="1:4" x14ac:dyDescent="0.25">
      <c r="A2" s="10" t="s">
        <v>157</v>
      </c>
      <c r="B2" s="11" t="s">
        <v>158</v>
      </c>
      <c r="C2" s="11" t="s">
        <v>159</v>
      </c>
      <c r="D2" s="11" t="s">
        <v>160</v>
      </c>
    </row>
    <row r="3" spans="1:4" ht="264" x14ac:dyDescent="0.25">
      <c r="A3" s="12">
        <v>1</v>
      </c>
      <c r="B3" s="13" t="s">
        <v>161</v>
      </c>
      <c r="C3" s="12">
        <v>7514</v>
      </c>
      <c r="D3" s="14" t="s">
        <v>162</v>
      </c>
    </row>
    <row r="4" spans="1:4" ht="324" x14ac:dyDescent="0.25">
      <c r="A4" s="12">
        <v>2</v>
      </c>
      <c r="B4" s="13" t="s">
        <v>163</v>
      </c>
      <c r="C4" s="12">
        <v>4134</v>
      </c>
      <c r="D4" s="14" t="s">
        <v>164</v>
      </c>
    </row>
    <row r="5" spans="1:4" ht="192" x14ac:dyDescent="0.25">
      <c r="A5" s="12">
        <v>3</v>
      </c>
      <c r="B5" s="13" t="s">
        <v>165</v>
      </c>
      <c r="C5" s="12">
        <v>1577</v>
      </c>
      <c r="D5" s="14" t="s">
        <v>166</v>
      </c>
    </row>
    <row r="6" spans="1:4" ht="228" x14ac:dyDescent="0.25">
      <c r="A6" s="12">
        <v>4</v>
      </c>
      <c r="B6" s="13" t="s">
        <v>167</v>
      </c>
      <c r="C6" s="12">
        <v>884</v>
      </c>
      <c r="D6" s="14" t="s">
        <v>168</v>
      </c>
    </row>
    <row r="7" spans="1:4" ht="192" x14ac:dyDescent="0.25">
      <c r="A7" s="12">
        <v>5</v>
      </c>
      <c r="B7" s="13" t="s">
        <v>169</v>
      </c>
      <c r="C7" s="12">
        <v>1205</v>
      </c>
      <c r="D7" s="14" t="s">
        <v>170</v>
      </c>
    </row>
    <row r="8" spans="1:4" ht="192" x14ac:dyDescent="0.25">
      <c r="A8" s="12">
        <v>6</v>
      </c>
      <c r="B8" s="13" t="s">
        <v>171</v>
      </c>
      <c r="C8" s="12">
        <v>967</v>
      </c>
      <c r="D8" s="14" t="s">
        <v>172</v>
      </c>
    </row>
    <row r="9" spans="1:4" ht="216" x14ac:dyDescent="0.25">
      <c r="A9" s="12">
        <v>7</v>
      </c>
      <c r="B9" s="13" t="s">
        <v>173</v>
      </c>
      <c r="C9" s="12">
        <v>478</v>
      </c>
      <c r="D9" s="14" t="s">
        <v>174</v>
      </c>
    </row>
    <row r="10" spans="1:4" ht="96" x14ac:dyDescent="0.25">
      <c r="A10" s="12">
        <v>8</v>
      </c>
      <c r="B10" s="13" t="s">
        <v>175</v>
      </c>
      <c r="C10" s="12">
        <v>1680</v>
      </c>
      <c r="D10" s="14" t="s">
        <v>176</v>
      </c>
    </row>
    <row r="11" spans="1:4" ht="228" x14ac:dyDescent="0.25">
      <c r="A11" s="12">
        <v>9</v>
      </c>
      <c r="B11" s="15" t="s">
        <v>177</v>
      </c>
      <c r="C11" s="12">
        <v>4</v>
      </c>
      <c r="D11" s="14" t="s">
        <v>178</v>
      </c>
    </row>
    <row r="12" spans="1:4" ht="324" x14ac:dyDescent="0.25">
      <c r="A12" s="12">
        <v>10</v>
      </c>
      <c r="B12" s="15" t="s">
        <v>179</v>
      </c>
      <c r="C12" s="12">
        <v>42</v>
      </c>
      <c r="D12" s="14" t="s">
        <v>180</v>
      </c>
    </row>
    <row r="13" spans="1:4" ht="228" x14ac:dyDescent="0.25">
      <c r="A13" s="12">
        <v>11</v>
      </c>
      <c r="B13" s="13" t="s">
        <v>181</v>
      </c>
      <c r="C13" s="12">
        <v>14592</v>
      </c>
      <c r="D13" s="14" t="s">
        <v>182</v>
      </c>
    </row>
    <row r="14" spans="1:4" ht="228" x14ac:dyDescent="0.25">
      <c r="A14" s="12">
        <v>12</v>
      </c>
      <c r="B14" s="13" t="s">
        <v>183</v>
      </c>
      <c r="C14" s="12">
        <v>5</v>
      </c>
      <c r="D14" s="14" t="s">
        <v>184</v>
      </c>
    </row>
    <row r="15" spans="1:4" x14ac:dyDescent="0.25">
      <c r="A15" s="16"/>
      <c r="B15" s="17"/>
      <c r="C15" s="16"/>
      <c r="D15" s="18"/>
    </row>
    <row r="16" spans="1:4" x14ac:dyDescent="0.25">
      <c r="A16" s="16"/>
      <c r="B16" s="17"/>
      <c r="C16" s="16"/>
      <c r="D16" s="18"/>
    </row>
    <row r="17" spans="1:4" x14ac:dyDescent="0.25">
      <c r="A17" s="16"/>
      <c r="B17" s="17"/>
      <c r="C17" s="16"/>
      <c r="D17" s="18"/>
    </row>
    <row r="18" spans="1:4" x14ac:dyDescent="0.25">
      <c r="A18" s="16"/>
      <c r="B18" s="17"/>
      <c r="C18" s="16"/>
      <c r="D18" s="18"/>
    </row>
    <row r="19" spans="1:4" ht="21" x14ac:dyDescent="0.35">
      <c r="A19" s="193" t="s">
        <v>185</v>
      </c>
      <c r="B19" s="193"/>
      <c r="C19" s="193"/>
      <c r="D19" s="193"/>
    </row>
    <row r="20" spans="1:4" x14ac:dyDescent="0.25">
      <c r="A20" s="10" t="s">
        <v>157</v>
      </c>
      <c r="B20" s="11" t="s">
        <v>158</v>
      </c>
      <c r="C20" s="11" t="s">
        <v>159</v>
      </c>
      <c r="D20" s="11" t="s">
        <v>160</v>
      </c>
    </row>
    <row r="21" spans="1:4" ht="165.75" x14ac:dyDescent="0.25">
      <c r="A21" s="19">
        <v>13</v>
      </c>
      <c r="B21" s="20" t="s">
        <v>186</v>
      </c>
      <c r="C21" s="19">
        <v>1365</v>
      </c>
      <c r="D21" s="21" t="s">
        <v>187</v>
      </c>
    </row>
    <row r="22" spans="1:4" ht="242.25" x14ac:dyDescent="0.25">
      <c r="A22" s="19">
        <v>14</v>
      </c>
      <c r="B22" s="20" t="s">
        <v>188</v>
      </c>
      <c r="C22" s="19">
        <v>36685</v>
      </c>
      <c r="D22" s="21" t="s">
        <v>189</v>
      </c>
    </row>
    <row r="23" spans="1:4" ht="216.75" x14ac:dyDescent="0.25">
      <c r="A23" s="19">
        <v>15</v>
      </c>
      <c r="B23" s="20" t="s">
        <v>190</v>
      </c>
      <c r="C23" s="19">
        <v>50</v>
      </c>
      <c r="D23" s="21" t="s">
        <v>191</v>
      </c>
    </row>
    <row r="24" spans="1:4" ht="102" x14ac:dyDescent="0.25">
      <c r="A24" s="19">
        <v>16</v>
      </c>
      <c r="B24" s="20" t="s">
        <v>192</v>
      </c>
      <c r="C24" s="19">
        <v>102</v>
      </c>
      <c r="D24" s="21" t="s">
        <v>193</v>
      </c>
    </row>
    <row r="25" spans="1:4" ht="114.75" x14ac:dyDescent="0.25">
      <c r="A25" s="19">
        <v>17</v>
      </c>
      <c r="B25" s="20" t="s">
        <v>194</v>
      </c>
      <c r="C25" s="19">
        <v>152</v>
      </c>
      <c r="D25" s="21" t="s">
        <v>195</v>
      </c>
    </row>
    <row r="35" spans="1:4" ht="21" x14ac:dyDescent="0.35">
      <c r="A35" s="193" t="s">
        <v>196</v>
      </c>
      <c r="B35" s="193"/>
      <c r="C35" s="193"/>
      <c r="D35" s="193"/>
    </row>
    <row r="36" spans="1:4" x14ac:dyDescent="0.25">
      <c r="A36" s="10" t="s">
        <v>157</v>
      </c>
      <c r="B36" s="11" t="s">
        <v>158</v>
      </c>
      <c r="C36" s="11" t="s">
        <v>159</v>
      </c>
      <c r="D36" s="11" t="s">
        <v>160</v>
      </c>
    </row>
    <row r="37" spans="1:4" ht="15" customHeight="1" x14ac:dyDescent="0.25">
      <c r="A37" s="10">
        <v>18</v>
      </c>
      <c r="B37" s="22" t="s">
        <v>197</v>
      </c>
      <c r="C37" s="21">
        <v>1370</v>
      </c>
      <c r="D37" s="194" t="s">
        <v>198</v>
      </c>
    </row>
    <row r="38" spans="1:4" ht="131.25" customHeight="1" x14ac:dyDescent="0.25">
      <c r="A38" s="10">
        <v>19</v>
      </c>
      <c r="B38" s="22" t="s">
        <v>199</v>
      </c>
      <c r="C38" s="21">
        <v>36868</v>
      </c>
      <c r="D38" s="194"/>
    </row>
    <row r="39" spans="1:4" ht="224.25" customHeight="1" x14ac:dyDescent="0.25">
      <c r="A39" s="10">
        <v>20</v>
      </c>
      <c r="B39" s="22" t="s">
        <v>200</v>
      </c>
      <c r="C39" s="21">
        <v>13467</v>
      </c>
      <c r="D39" s="194"/>
    </row>
    <row r="40" spans="1:4" ht="15" customHeight="1" x14ac:dyDescent="0.25">
      <c r="A40" s="10">
        <v>21</v>
      </c>
      <c r="B40" s="23" t="s">
        <v>201</v>
      </c>
      <c r="C40" s="21">
        <v>2</v>
      </c>
      <c r="D40" s="194"/>
    </row>
    <row r="41" spans="1:4" x14ac:dyDescent="0.25">
      <c r="A41" s="10">
        <v>22</v>
      </c>
      <c r="B41" s="23" t="s">
        <v>202</v>
      </c>
      <c r="C41" s="21">
        <v>699</v>
      </c>
      <c r="D41" s="194"/>
    </row>
    <row r="42" spans="1:4" x14ac:dyDescent="0.25">
      <c r="A42" s="10">
        <v>23</v>
      </c>
      <c r="B42" s="23" t="s">
        <v>203</v>
      </c>
      <c r="C42" s="21">
        <v>3827</v>
      </c>
      <c r="D42" s="194"/>
    </row>
    <row r="43" spans="1:4" ht="25.5" x14ac:dyDescent="0.25">
      <c r="A43" s="10">
        <v>24</v>
      </c>
      <c r="B43" s="23" t="s">
        <v>204</v>
      </c>
      <c r="C43" s="21">
        <v>0</v>
      </c>
      <c r="D43" s="194"/>
    </row>
    <row r="44" spans="1:4" ht="25.5" x14ac:dyDescent="0.25">
      <c r="A44" s="10">
        <v>25</v>
      </c>
      <c r="B44" s="23" t="s">
        <v>205</v>
      </c>
      <c r="C44" s="21">
        <v>0</v>
      </c>
      <c r="D44" s="194"/>
    </row>
    <row r="45" spans="1:4" x14ac:dyDescent="0.25">
      <c r="A45" s="10">
        <v>26</v>
      </c>
      <c r="B45" s="23" t="s">
        <v>206</v>
      </c>
      <c r="C45" s="21">
        <v>4227</v>
      </c>
      <c r="D45" s="194"/>
    </row>
    <row r="46" spans="1:4" ht="25.5" x14ac:dyDescent="0.25">
      <c r="A46" s="10">
        <v>27</v>
      </c>
      <c r="B46" s="23" t="s">
        <v>207</v>
      </c>
      <c r="C46" s="21">
        <v>21</v>
      </c>
      <c r="D46" s="194"/>
    </row>
    <row r="47" spans="1:4" x14ac:dyDescent="0.25">
      <c r="A47" s="10">
        <v>28</v>
      </c>
      <c r="B47" s="23" t="s">
        <v>208</v>
      </c>
      <c r="C47" s="21">
        <v>2</v>
      </c>
      <c r="D47" s="194"/>
    </row>
    <row r="48" spans="1:4" x14ac:dyDescent="0.25">
      <c r="A48" s="10">
        <v>29</v>
      </c>
      <c r="B48" s="23" t="s">
        <v>209</v>
      </c>
      <c r="C48" s="21">
        <v>686</v>
      </c>
      <c r="D48" s="194"/>
    </row>
    <row r="49" spans="1:4" x14ac:dyDescent="0.25">
      <c r="A49" s="10">
        <v>30</v>
      </c>
      <c r="B49" s="23" t="s">
        <v>210</v>
      </c>
      <c r="C49" s="21">
        <v>208</v>
      </c>
      <c r="D49" s="194"/>
    </row>
    <row r="50" spans="1:4" x14ac:dyDescent="0.25">
      <c r="A50" s="10">
        <v>31</v>
      </c>
      <c r="B50" s="23" t="s">
        <v>211</v>
      </c>
      <c r="C50" s="21">
        <v>730</v>
      </c>
      <c r="D50" s="194"/>
    </row>
    <row r="51" spans="1:4" x14ac:dyDescent="0.25">
      <c r="A51" s="10">
        <v>32</v>
      </c>
      <c r="B51" s="23" t="s">
        <v>212</v>
      </c>
      <c r="C51" s="21">
        <v>7690</v>
      </c>
      <c r="D51" s="194"/>
    </row>
    <row r="52" spans="1:4" ht="25.5" x14ac:dyDescent="0.25">
      <c r="A52" s="10">
        <v>33</v>
      </c>
      <c r="B52" s="23" t="s">
        <v>213</v>
      </c>
      <c r="C52" s="21">
        <v>92</v>
      </c>
      <c r="D52" s="194"/>
    </row>
    <row r="53" spans="1:4" x14ac:dyDescent="0.25">
      <c r="A53" s="10">
        <v>34</v>
      </c>
      <c r="B53" s="23" t="s">
        <v>214</v>
      </c>
      <c r="C53" s="21">
        <v>383</v>
      </c>
      <c r="D53" s="194"/>
    </row>
    <row r="54" spans="1:4" ht="25.5" x14ac:dyDescent="0.25">
      <c r="A54" s="10">
        <v>35</v>
      </c>
      <c r="B54" s="23" t="s">
        <v>215</v>
      </c>
      <c r="C54" s="21">
        <v>0</v>
      </c>
      <c r="D54" s="194"/>
    </row>
    <row r="55" spans="1:4" ht="25.5" x14ac:dyDescent="0.25">
      <c r="A55" s="10">
        <v>36</v>
      </c>
      <c r="B55" s="23" t="s">
        <v>216</v>
      </c>
      <c r="C55" s="21">
        <v>0</v>
      </c>
      <c r="D55" s="194"/>
    </row>
    <row r="56" spans="1:4" ht="25.5" x14ac:dyDescent="0.25">
      <c r="A56" s="10">
        <v>37</v>
      </c>
      <c r="B56" s="23" t="s">
        <v>217</v>
      </c>
      <c r="C56" s="21">
        <v>0</v>
      </c>
      <c r="D56" s="194"/>
    </row>
    <row r="57" spans="1:4" x14ac:dyDescent="0.25">
      <c r="A57" s="10">
        <v>38</v>
      </c>
      <c r="B57" s="23" t="s">
        <v>218</v>
      </c>
      <c r="C57" s="21">
        <v>3</v>
      </c>
      <c r="D57" s="194"/>
    </row>
    <row r="58" spans="1:4" x14ac:dyDescent="0.25">
      <c r="A58" s="10">
        <v>39</v>
      </c>
      <c r="B58" s="23" t="s">
        <v>219</v>
      </c>
      <c r="C58" s="21">
        <v>24</v>
      </c>
      <c r="D58" s="194"/>
    </row>
    <row r="59" spans="1:4" x14ac:dyDescent="0.25">
      <c r="A59" s="10">
        <v>40</v>
      </c>
      <c r="B59" s="23" t="s">
        <v>220</v>
      </c>
      <c r="C59" s="21">
        <v>86</v>
      </c>
      <c r="D59" s="194"/>
    </row>
    <row r="60" spans="1:4" x14ac:dyDescent="0.25">
      <c r="A60" s="10">
        <v>41</v>
      </c>
      <c r="B60" s="23" t="s">
        <v>221</v>
      </c>
      <c r="C60" s="21">
        <v>121</v>
      </c>
      <c r="D60" s="194"/>
    </row>
    <row r="61" spans="1:4" ht="15.75" customHeight="1" x14ac:dyDescent="0.25">
      <c r="A61" s="10">
        <v>42</v>
      </c>
      <c r="B61" s="23" t="s">
        <v>222</v>
      </c>
      <c r="C61" s="21">
        <v>4</v>
      </c>
      <c r="D61" s="194"/>
    </row>
    <row r="62" spans="1:4" x14ac:dyDescent="0.25">
      <c r="A62" s="10">
        <v>43</v>
      </c>
      <c r="B62" s="23" t="s">
        <v>223</v>
      </c>
      <c r="C62" s="21">
        <v>143</v>
      </c>
      <c r="D62" s="194"/>
    </row>
    <row r="63" spans="1:4" x14ac:dyDescent="0.25">
      <c r="A63" s="10">
        <v>44</v>
      </c>
      <c r="B63" s="23" t="s">
        <v>224</v>
      </c>
      <c r="C63" s="21">
        <v>5318</v>
      </c>
      <c r="D63" s="194"/>
    </row>
    <row r="64" spans="1:4" x14ac:dyDescent="0.25">
      <c r="A64" s="10">
        <v>45</v>
      </c>
      <c r="B64" s="23" t="s">
        <v>225</v>
      </c>
      <c r="C64" s="21">
        <v>265</v>
      </c>
      <c r="D64" s="194"/>
    </row>
    <row r="65" spans="1:4" x14ac:dyDescent="0.25">
      <c r="A65" s="10">
        <v>46</v>
      </c>
      <c r="B65" s="23" t="s">
        <v>226</v>
      </c>
      <c r="C65" s="21">
        <v>15</v>
      </c>
      <c r="D65" s="194"/>
    </row>
    <row r="66" spans="1:4" x14ac:dyDescent="0.25">
      <c r="A66" s="10">
        <v>47</v>
      </c>
      <c r="B66" s="23" t="s">
        <v>227</v>
      </c>
      <c r="C66" s="21">
        <v>708</v>
      </c>
      <c r="D66" s="194"/>
    </row>
    <row r="67" spans="1:4" x14ac:dyDescent="0.25">
      <c r="A67" s="10">
        <v>48</v>
      </c>
      <c r="B67" s="23" t="s">
        <v>228</v>
      </c>
      <c r="C67" s="21">
        <v>1295</v>
      </c>
      <c r="D67" s="194"/>
    </row>
    <row r="68" spans="1:4" x14ac:dyDescent="0.25">
      <c r="A68" s="10">
        <v>49</v>
      </c>
      <c r="B68" s="23" t="s">
        <v>229</v>
      </c>
      <c r="C68" s="21">
        <v>55</v>
      </c>
      <c r="D68" s="194"/>
    </row>
    <row r="69" spans="1:4" x14ac:dyDescent="0.25">
      <c r="A69" s="10">
        <v>50</v>
      </c>
      <c r="B69" s="23" t="s">
        <v>230</v>
      </c>
      <c r="C69" s="24">
        <v>13893</v>
      </c>
      <c r="D69" s="194"/>
    </row>
    <row r="70" spans="1:4" x14ac:dyDescent="0.25">
      <c r="A70" s="10">
        <v>51</v>
      </c>
      <c r="B70" s="23" t="s">
        <v>231</v>
      </c>
      <c r="C70" s="21">
        <v>5175</v>
      </c>
      <c r="D70" s="194"/>
    </row>
    <row r="71" spans="1:4" x14ac:dyDescent="0.25">
      <c r="A71" s="10">
        <v>52</v>
      </c>
      <c r="B71" s="23" t="s">
        <v>232</v>
      </c>
      <c r="C71" s="21">
        <v>125</v>
      </c>
      <c r="D71" s="194"/>
    </row>
    <row r="72" spans="1:4" x14ac:dyDescent="0.25">
      <c r="A72" s="10">
        <v>53</v>
      </c>
      <c r="B72" s="23" t="s">
        <v>233</v>
      </c>
      <c r="C72" s="21">
        <v>13</v>
      </c>
      <c r="D72" s="194"/>
    </row>
    <row r="73" spans="1:4" x14ac:dyDescent="0.25">
      <c r="A73" s="10">
        <v>54</v>
      </c>
      <c r="B73" s="23" t="s">
        <v>234</v>
      </c>
      <c r="C73" s="21">
        <v>31</v>
      </c>
      <c r="D73" s="194"/>
    </row>
    <row r="74" spans="1:4" ht="25.5" x14ac:dyDescent="0.25">
      <c r="A74" s="10">
        <v>55</v>
      </c>
      <c r="B74" s="23" t="s">
        <v>235</v>
      </c>
      <c r="C74" s="21">
        <v>0</v>
      </c>
      <c r="D74" s="194"/>
    </row>
    <row r="75" spans="1:4" ht="25.5" x14ac:dyDescent="0.25">
      <c r="A75" s="10">
        <v>56</v>
      </c>
      <c r="B75" s="23" t="s">
        <v>236</v>
      </c>
      <c r="C75" s="21">
        <v>0</v>
      </c>
      <c r="D75" s="194"/>
    </row>
    <row r="76" spans="1:4" x14ac:dyDescent="0.25">
      <c r="A76" s="10">
        <v>57</v>
      </c>
      <c r="B76" s="23" t="s">
        <v>237</v>
      </c>
      <c r="C76" s="21">
        <v>67</v>
      </c>
      <c r="D76" s="194"/>
    </row>
    <row r="77" spans="1:4" x14ac:dyDescent="0.25">
      <c r="A77" s="10">
        <v>58</v>
      </c>
      <c r="B77" s="23" t="s">
        <v>238</v>
      </c>
      <c r="C77" s="21">
        <v>6</v>
      </c>
      <c r="D77" s="194"/>
    </row>
    <row r="78" spans="1:4" x14ac:dyDescent="0.25">
      <c r="A78" s="10">
        <v>59</v>
      </c>
      <c r="B78" s="23" t="s">
        <v>239</v>
      </c>
      <c r="C78" s="21">
        <v>60</v>
      </c>
      <c r="D78" s="194"/>
    </row>
    <row r="79" spans="1:4" x14ac:dyDescent="0.25">
      <c r="A79" s="10">
        <v>60</v>
      </c>
      <c r="B79" s="23" t="s">
        <v>240</v>
      </c>
      <c r="C79" s="21">
        <v>732</v>
      </c>
      <c r="D79" s="194"/>
    </row>
    <row r="80" spans="1:4" x14ac:dyDescent="0.25">
      <c r="A80" s="10">
        <v>61</v>
      </c>
      <c r="B80" s="25" t="s">
        <v>241</v>
      </c>
      <c r="C80" s="21">
        <v>119</v>
      </c>
      <c r="D80" s="194"/>
    </row>
    <row r="81" spans="1:4" x14ac:dyDescent="0.25">
      <c r="A81" s="10">
        <v>62</v>
      </c>
      <c r="B81" s="25" t="s">
        <v>242</v>
      </c>
      <c r="C81" s="21">
        <v>12</v>
      </c>
      <c r="D81" s="194"/>
    </row>
    <row r="82" spans="1:4" x14ac:dyDescent="0.25">
      <c r="A82" s="10">
        <v>63</v>
      </c>
      <c r="B82" s="25" t="s">
        <v>243</v>
      </c>
      <c r="C82" s="21">
        <v>25</v>
      </c>
      <c r="D82" s="194"/>
    </row>
    <row r="83" spans="1:4" x14ac:dyDescent="0.25">
      <c r="A83" s="10">
        <v>64</v>
      </c>
      <c r="B83" s="25" t="s">
        <v>244</v>
      </c>
      <c r="C83" s="21">
        <v>99</v>
      </c>
      <c r="D83" s="194"/>
    </row>
    <row r="84" spans="1:4" x14ac:dyDescent="0.25">
      <c r="A84" s="10">
        <v>65</v>
      </c>
      <c r="B84" s="25" t="s">
        <v>245</v>
      </c>
      <c r="C84" s="21">
        <v>14</v>
      </c>
      <c r="D84" s="194"/>
    </row>
    <row r="85" spans="1:4" x14ac:dyDescent="0.25">
      <c r="A85" s="10">
        <v>66</v>
      </c>
      <c r="B85" s="25" t="s">
        <v>246</v>
      </c>
      <c r="C85" s="21">
        <v>11779</v>
      </c>
      <c r="D85" s="194"/>
    </row>
    <row r="86" spans="1:4" x14ac:dyDescent="0.25">
      <c r="A86" s="10">
        <v>67</v>
      </c>
      <c r="B86" s="25" t="s">
        <v>247</v>
      </c>
      <c r="C86" s="21">
        <v>594</v>
      </c>
      <c r="D86" s="194"/>
    </row>
    <row r="87" spans="1:4" x14ac:dyDescent="0.25">
      <c r="A87" s="10">
        <v>68</v>
      </c>
      <c r="B87" s="25" t="s">
        <v>248</v>
      </c>
      <c r="C87" s="21">
        <v>17439</v>
      </c>
      <c r="D87" s="194"/>
    </row>
    <row r="88" spans="1:4" x14ac:dyDescent="0.25">
      <c r="A88" s="10">
        <v>69</v>
      </c>
      <c r="B88" s="25" t="s">
        <v>249</v>
      </c>
      <c r="C88" s="21">
        <v>7647</v>
      </c>
      <c r="D88" s="194"/>
    </row>
    <row r="89" spans="1:4" x14ac:dyDescent="0.25">
      <c r="A89" s="10">
        <v>70</v>
      </c>
      <c r="B89" s="25" t="s">
        <v>250</v>
      </c>
      <c r="C89" s="21">
        <v>0</v>
      </c>
      <c r="D89" s="194"/>
    </row>
    <row r="90" spans="1:4" x14ac:dyDescent="0.25">
      <c r="A90" s="10">
        <v>71</v>
      </c>
      <c r="B90" s="25" t="s">
        <v>251</v>
      </c>
      <c r="C90" s="21">
        <v>201</v>
      </c>
      <c r="D90" s="194"/>
    </row>
    <row r="91" spans="1:4" x14ac:dyDescent="0.25">
      <c r="A91" s="10">
        <v>72</v>
      </c>
      <c r="B91" s="25" t="s">
        <v>252</v>
      </c>
      <c r="C91" s="21">
        <v>105</v>
      </c>
      <c r="D91" s="194"/>
    </row>
    <row r="92" spans="1:4" x14ac:dyDescent="0.25">
      <c r="A92" s="10">
        <v>73</v>
      </c>
      <c r="B92" s="25" t="s">
        <v>253</v>
      </c>
      <c r="C92" s="21">
        <v>5166</v>
      </c>
      <c r="D92" s="194"/>
    </row>
    <row r="93" spans="1:4" x14ac:dyDescent="0.25">
      <c r="A93" s="10">
        <v>74</v>
      </c>
      <c r="B93" s="25" t="s">
        <v>254</v>
      </c>
      <c r="C93" s="21">
        <v>782</v>
      </c>
      <c r="D93" s="194"/>
    </row>
    <row r="94" spans="1:4" x14ac:dyDescent="0.25">
      <c r="A94" s="10">
        <v>75</v>
      </c>
      <c r="B94" s="21" t="s">
        <v>255</v>
      </c>
      <c r="C94" s="21"/>
      <c r="D94" s="194"/>
    </row>
    <row r="95" spans="1:4" x14ac:dyDescent="0.25">
      <c r="A95" s="10">
        <v>76</v>
      </c>
      <c r="B95" s="21" t="s">
        <v>256</v>
      </c>
      <c r="C95" s="21">
        <v>79</v>
      </c>
      <c r="D95" s="194"/>
    </row>
    <row r="98" spans="1:5" ht="21" x14ac:dyDescent="0.35">
      <c r="A98" s="195" t="s">
        <v>257</v>
      </c>
      <c r="B98" s="195"/>
      <c r="C98" s="195"/>
      <c r="D98" s="195"/>
    </row>
    <row r="99" spans="1:5" x14ac:dyDescent="0.25">
      <c r="A99" s="10" t="s">
        <v>157</v>
      </c>
      <c r="B99" s="11" t="s">
        <v>158</v>
      </c>
      <c r="C99" s="11" t="s">
        <v>159</v>
      </c>
      <c r="D99" s="11" t="s">
        <v>160</v>
      </c>
    </row>
    <row r="100" spans="1:5" ht="197.25" customHeight="1" x14ac:dyDescent="0.25">
      <c r="A100" s="19">
        <v>77</v>
      </c>
      <c r="B100" s="26" t="s">
        <v>258</v>
      </c>
      <c r="C100" s="19">
        <v>828</v>
      </c>
      <c r="D100" s="21" t="s">
        <v>259</v>
      </c>
      <c r="E100" s="27"/>
    </row>
    <row r="101" spans="1:5" ht="318.75" x14ac:dyDescent="0.25">
      <c r="A101" s="19">
        <v>78</v>
      </c>
      <c r="B101" s="26" t="s">
        <v>260</v>
      </c>
      <c r="C101" s="19">
        <v>6</v>
      </c>
      <c r="D101" s="21" t="s">
        <v>261</v>
      </c>
    </row>
    <row r="102" spans="1:5" ht="114.75" x14ac:dyDescent="0.25">
      <c r="A102" s="21">
        <v>79</v>
      </c>
      <c r="B102" s="21" t="s">
        <v>262</v>
      </c>
      <c r="C102" s="21">
        <v>197</v>
      </c>
      <c r="D102" s="21" t="s">
        <v>263</v>
      </c>
    </row>
    <row r="103" spans="1:5" ht="25.5" x14ac:dyDescent="0.25">
      <c r="A103" s="21">
        <v>80</v>
      </c>
      <c r="B103" s="21" t="s">
        <v>264</v>
      </c>
      <c r="C103" s="21">
        <v>4</v>
      </c>
      <c r="D103" s="21" t="s">
        <v>265</v>
      </c>
    </row>
    <row r="104" spans="1:5" ht="25.5" x14ac:dyDescent="0.25">
      <c r="A104" s="21">
        <v>81</v>
      </c>
      <c r="B104" s="21" t="s">
        <v>266</v>
      </c>
      <c r="C104" s="21">
        <v>16</v>
      </c>
      <c r="D104" s="21" t="s">
        <v>267</v>
      </c>
    </row>
    <row r="105" spans="1:5" ht="38.25" x14ac:dyDescent="0.25">
      <c r="A105" s="21">
        <v>82</v>
      </c>
      <c r="B105" s="21" t="s">
        <v>268</v>
      </c>
      <c r="C105" s="21">
        <v>12</v>
      </c>
      <c r="D105" s="21" t="s">
        <v>269</v>
      </c>
    </row>
    <row r="106" spans="1:5" ht="25.5" x14ac:dyDescent="0.25">
      <c r="A106" s="21">
        <v>83</v>
      </c>
      <c r="B106" s="21" t="s">
        <v>270</v>
      </c>
      <c r="C106" s="21">
        <v>74</v>
      </c>
      <c r="D106" s="21" t="s">
        <v>271</v>
      </c>
    </row>
    <row r="109" spans="1:5" x14ac:dyDescent="0.25">
      <c r="B109" s="18" t="s">
        <v>272</v>
      </c>
    </row>
    <row r="110" spans="1:5" ht="25.5" x14ac:dyDescent="0.25">
      <c r="A110">
        <v>84</v>
      </c>
      <c r="B110" s="28" t="s">
        <v>273</v>
      </c>
      <c r="C110">
        <v>44</v>
      </c>
      <c r="D110" s="21" t="s">
        <v>274</v>
      </c>
    </row>
    <row r="111" spans="1:5" x14ac:dyDescent="0.25">
      <c r="A111">
        <v>85</v>
      </c>
      <c r="B111" t="s">
        <v>275</v>
      </c>
      <c r="C111">
        <v>15</v>
      </c>
      <c r="D111">
        <v>2</v>
      </c>
    </row>
    <row r="112" spans="1:5" x14ac:dyDescent="0.25">
      <c r="B112" t="s">
        <v>276</v>
      </c>
    </row>
    <row r="113" spans="2:4" x14ac:dyDescent="0.25">
      <c r="B113" t="s">
        <v>277</v>
      </c>
    </row>
    <row r="114" spans="2:4" x14ac:dyDescent="0.25">
      <c r="B114" t="s">
        <v>278</v>
      </c>
    </row>
    <row r="115" spans="2:4" ht="60" x14ac:dyDescent="0.25">
      <c r="B115" s="29" t="s">
        <v>279</v>
      </c>
    </row>
    <row r="117" spans="2:4" x14ac:dyDescent="0.25">
      <c r="B117" t="s">
        <v>280</v>
      </c>
      <c r="C117">
        <v>26</v>
      </c>
    </row>
    <row r="118" spans="2:4" ht="45" x14ac:dyDescent="0.25">
      <c r="B118" s="29" t="s">
        <v>281</v>
      </c>
      <c r="C118">
        <v>14</v>
      </c>
    </row>
    <row r="119" spans="2:4" x14ac:dyDescent="0.25">
      <c r="B119" t="s">
        <v>282</v>
      </c>
      <c r="C119">
        <v>157</v>
      </c>
      <c r="D119" t="s">
        <v>283</v>
      </c>
    </row>
    <row r="120" spans="2:4" x14ac:dyDescent="0.25">
      <c r="B120" t="s">
        <v>284</v>
      </c>
      <c r="C120">
        <v>18</v>
      </c>
      <c r="D120" t="s">
        <v>283</v>
      </c>
    </row>
    <row r="122" spans="2:4" x14ac:dyDescent="0.25">
      <c r="B122" t="s">
        <v>285</v>
      </c>
      <c r="D122" t="s">
        <v>286</v>
      </c>
    </row>
    <row r="123" spans="2:4" x14ac:dyDescent="0.25">
      <c r="B123" t="s">
        <v>287</v>
      </c>
      <c r="D123" t="s">
        <v>288</v>
      </c>
    </row>
    <row r="124" spans="2:4" x14ac:dyDescent="0.25">
      <c r="B124" t="s">
        <v>289</v>
      </c>
    </row>
    <row r="125" spans="2:4" x14ac:dyDescent="0.25">
      <c r="B125" t="s">
        <v>290</v>
      </c>
    </row>
  </sheetData>
  <mergeCells count="5">
    <mergeCell ref="A1:D1"/>
    <mergeCell ref="A19:D19"/>
    <mergeCell ref="A35:D35"/>
    <mergeCell ref="D37:D95"/>
    <mergeCell ref="A98:D98"/>
  </mergeCells>
  <pageMargins left="0.7" right="0.7" top="0.75" bottom="0.75" header="0.51180555555555496" footer="0.51180555555555496"/>
  <pageSetup firstPageNumber="0" orientation="landscape"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99"/>
  <sheetViews>
    <sheetView topLeftCell="B1" zoomScale="75" zoomScaleNormal="75" workbookViewId="0">
      <selection activeCell="H8" sqref="H8"/>
    </sheetView>
  </sheetViews>
  <sheetFormatPr baseColWidth="10" defaultColWidth="9.140625" defaultRowHeight="15" x14ac:dyDescent="0.25"/>
  <cols>
    <col min="1" max="1" width="81.42578125" hidden="1" customWidth="1"/>
    <col min="2" max="2" width="43" customWidth="1"/>
    <col min="3" max="3" width="22.28515625" hidden="1" customWidth="1"/>
    <col min="4" max="4" width="11.140625" hidden="1" customWidth="1"/>
    <col min="5" max="5" width="17.28515625" customWidth="1"/>
    <col min="6" max="6" width="16.140625" customWidth="1"/>
    <col min="7" max="1025" width="10.5703125" customWidth="1"/>
  </cols>
  <sheetData>
    <row r="1" spans="1:12" x14ac:dyDescent="0.25">
      <c r="A1" t="s">
        <v>291</v>
      </c>
      <c r="B1" s="30" t="s">
        <v>292</v>
      </c>
      <c r="C1" s="30" t="s">
        <v>293</v>
      </c>
      <c r="D1" s="30" t="s">
        <v>294</v>
      </c>
      <c r="E1" s="30" t="s">
        <v>295</v>
      </c>
      <c r="F1" s="30" t="s">
        <v>296</v>
      </c>
      <c r="H1" s="31"/>
      <c r="I1" s="31"/>
      <c r="J1" s="31"/>
      <c r="K1" s="31"/>
      <c r="L1" s="31"/>
    </row>
    <row r="2" spans="1:12" ht="30" x14ac:dyDescent="0.25">
      <c r="A2" s="32" t="s">
        <v>297</v>
      </c>
      <c r="B2" s="33" t="s">
        <v>298</v>
      </c>
      <c r="C2" s="34"/>
      <c r="D2" s="34"/>
      <c r="E2" s="35">
        <f t="shared" ref="E2:E49" si="0">COUNTIF(A:A,B2)</f>
        <v>21</v>
      </c>
      <c r="F2" s="35">
        <f>SUMIFS('savedrecs186-e77'!AS:AS,'savedrecs186-e77'!R:R,'Lista de Revistas'!B8)</f>
        <v>757</v>
      </c>
      <c r="H2" s="31"/>
      <c r="I2" s="31"/>
      <c r="J2" s="31"/>
      <c r="K2" s="31"/>
      <c r="L2" s="31"/>
    </row>
    <row r="3" spans="1:12" ht="30" x14ac:dyDescent="0.25">
      <c r="A3" s="32" t="s">
        <v>299</v>
      </c>
      <c r="B3" s="33" t="s">
        <v>300</v>
      </c>
      <c r="C3" s="34"/>
      <c r="D3" s="34"/>
      <c r="E3" s="35">
        <f t="shared" si="0"/>
        <v>18</v>
      </c>
      <c r="F3" s="35">
        <f>SUMIFS('savedrecs186-e77'!AS:AS,'savedrecs186-e77'!R:R,'Lista de Revistas'!B16)</f>
        <v>6</v>
      </c>
      <c r="H3" s="31"/>
      <c r="I3" s="31"/>
      <c r="J3" s="31"/>
      <c r="K3" s="31"/>
      <c r="L3" s="31"/>
    </row>
    <row r="4" spans="1:12" x14ac:dyDescent="0.25">
      <c r="A4" s="32" t="s">
        <v>301</v>
      </c>
      <c r="B4" s="33" t="s">
        <v>302</v>
      </c>
      <c r="C4" s="34"/>
      <c r="D4" s="34"/>
      <c r="E4" s="35">
        <f t="shared" si="0"/>
        <v>17</v>
      </c>
      <c r="F4" s="35">
        <f>SUMIFS('savedrecs186-e77'!AS:AS,'savedrecs186-e77'!R:R,'Lista de Revistas'!B20)</f>
        <v>96</v>
      </c>
      <c r="H4" s="31"/>
      <c r="I4" s="31"/>
      <c r="J4" s="31"/>
      <c r="K4" s="31"/>
      <c r="L4" s="31"/>
    </row>
    <row r="5" spans="1:12" ht="30" x14ac:dyDescent="0.25">
      <c r="A5" s="32" t="s">
        <v>301</v>
      </c>
      <c r="B5" s="33" t="s">
        <v>303</v>
      </c>
      <c r="C5" s="34"/>
      <c r="D5" s="34"/>
      <c r="E5" s="35">
        <f t="shared" si="0"/>
        <v>15</v>
      </c>
      <c r="F5" s="35">
        <f>SUMIFS('savedrecs186-e77'!AS:AS,'savedrecs186-e77'!R:R,'Lista de Revistas'!B23)</f>
        <v>4</v>
      </c>
      <c r="H5" s="31"/>
      <c r="I5" s="31"/>
      <c r="J5" s="31"/>
      <c r="K5" s="31"/>
      <c r="L5" s="31"/>
    </row>
    <row r="6" spans="1:12" x14ac:dyDescent="0.25">
      <c r="A6" s="32" t="s">
        <v>304</v>
      </c>
      <c r="B6" s="33" t="s">
        <v>305</v>
      </c>
      <c r="C6" s="34"/>
      <c r="D6" s="34"/>
      <c r="E6" s="35">
        <f t="shared" si="0"/>
        <v>14</v>
      </c>
      <c r="F6" s="35">
        <f>SUMIFS('savedrecs186-e77'!AS:AS,'savedrecs186-e77'!R:R,'Lista de Revistas'!B46)</f>
        <v>2</v>
      </c>
      <c r="H6" s="31"/>
      <c r="I6" s="31"/>
      <c r="J6" s="31"/>
      <c r="K6" s="31"/>
      <c r="L6" s="31"/>
    </row>
    <row r="7" spans="1:12" x14ac:dyDescent="0.25">
      <c r="A7" s="32" t="s">
        <v>304</v>
      </c>
      <c r="B7" s="33" t="s">
        <v>306</v>
      </c>
      <c r="C7" s="34"/>
      <c r="D7" s="34"/>
      <c r="E7" s="35">
        <f t="shared" si="0"/>
        <v>12</v>
      </c>
      <c r="F7" s="35">
        <f>SUMIFS('savedrecs186-e77'!AS:AS,'savedrecs186-e77'!R:R,'Lista de Revistas'!B43)</f>
        <v>1</v>
      </c>
      <c r="H7" s="31"/>
      <c r="I7" s="31"/>
      <c r="J7" s="31"/>
      <c r="K7" s="31"/>
      <c r="L7" s="31"/>
    </row>
    <row r="8" spans="1:12" x14ac:dyDescent="0.25">
      <c r="A8" s="32" t="s">
        <v>307</v>
      </c>
      <c r="B8" s="33" t="s">
        <v>308</v>
      </c>
      <c r="C8" s="34"/>
      <c r="D8" s="34"/>
      <c r="E8" s="35">
        <f t="shared" si="0"/>
        <v>11</v>
      </c>
      <c r="F8" s="35">
        <f>SUMIFS('savedrecs186-e77'!AS:AS,'savedrecs186-e77'!R:R,'Lista de Revistas'!B45)</f>
        <v>37</v>
      </c>
      <c r="H8" s="31"/>
      <c r="I8" s="31"/>
      <c r="J8" s="31"/>
      <c r="K8" s="31"/>
      <c r="L8" s="31"/>
    </row>
    <row r="9" spans="1:12" x14ac:dyDescent="0.25">
      <c r="A9" s="32" t="s">
        <v>309</v>
      </c>
      <c r="B9" s="33" t="s">
        <v>310</v>
      </c>
      <c r="C9" s="34"/>
      <c r="D9" s="34"/>
      <c r="E9" s="35">
        <f t="shared" si="0"/>
        <v>9</v>
      </c>
      <c r="F9" s="35">
        <f>SUMIFS('savedrecs186-e77'!AS:AS,'savedrecs186-e77'!R:R,'Lista de Revistas'!B18)</f>
        <v>3</v>
      </c>
      <c r="H9" s="31"/>
      <c r="I9" s="31"/>
      <c r="J9" s="31"/>
      <c r="K9" s="31"/>
      <c r="L9" s="31"/>
    </row>
    <row r="10" spans="1:12" x14ac:dyDescent="0.25">
      <c r="A10" s="32" t="s">
        <v>298</v>
      </c>
      <c r="B10" s="33" t="s">
        <v>311</v>
      </c>
      <c r="C10" s="34"/>
      <c r="D10" s="34"/>
      <c r="E10" s="35">
        <f t="shared" si="0"/>
        <v>10</v>
      </c>
      <c r="F10" s="35">
        <f>SUMIFS('savedrecs186-e77'!AS:AS,'savedrecs186-e77'!R:R,'Lista de Revistas'!B14)</f>
        <v>153</v>
      </c>
      <c r="H10" s="31"/>
      <c r="I10" s="31"/>
      <c r="J10" s="31"/>
      <c r="K10" s="31"/>
      <c r="L10" s="31"/>
    </row>
    <row r="11" spans="1:12" x14ac:dyDescent="0.25">
      <c r="A11" s="32" t="s">
        <v>298</v>
      </c>
      <c r="B11" s="33" t="s">
        <v>312</v>
      </c>
      <c r="C11" s="34"/>
      <c r="D11" s="34"/>
      <c r="E11" s="35">
        <f t="shared" si="0"/>
        <v>7</v>
      </c>
      <c r="F11" s="35">
        <f>SUMIFS('savedrecs186-e77'!AS:AS,'savedrecs186-e77'!R:R,'Lista de Revistas'!B36)</f>
        <v>98</v>
      </c>
      <c r="H11" s="31"/>
      <c r="I11" s="31"/>
      <c r="J11" s="31"/>
      <c r="K11" s="31"/>
      <c r="L11" s="31"/>
    </row>
    <row r="12" spans="1:12" x14ac:dyDescent="0.25">
      <c r="A12" s="32" t="s">
        <v>298</v>
      </c>
      <c r="B12" s="33" t="s">
        <v>313</v>
      </c>
      <c r="C12" s="34"/>
      <c r="D12" s="34"/>
      <c r="E12" s="35">
        <f t="shared" si="0"/>
        <v>6</v>
      </c>
      <c r="F12" s="35">
        <f>SUMIFS('savedrecs186-e77'!AS:AS,'savedrecs186-e77'!R:R,'Lista de Revistas'!B11)</f>
        <v>41</v>
      </c>
      <c r="H12" s="31"/>
      <c r="I12" s="31"/>
      <c r="J12" s="31"/>
      <c r="K12" s="31"/>
      <c r="L12" s="31"/>
    </row>
    <row r="13" spans="1:12" x14ac:dyDescent="0.25">
      <c r="A13" s="32" t="s">
        <v>298</v>
      </c>
      <c r="B13" s="33" t="s">
        <v>314</v>
      </c>
      <c r="C13" s="34"/>
      <c r="D13" s="34"/>
      <c r="E13" s="35">
        <f t="shared" si="0"/>
        <v>5</v>
      </c>
      <c r="F13" s="35">
        <f>SUMIFS('savedrecs186-e77'!AS:AS,'savedrecs186-e77'!R:R,'Lista de Revistas'!B13)</f>
        <v>122</v>
      </c>
      <c r="H13" s="31"/>
      <c r="I13" s="31"/>
      <c r="J13" s="31"/>
      <c r="K13" s="31"/>
      <c r="L13" s="31"/>
    </row>
    <row r="14" spans="1:12" x14ac:dyDescent="0.25">
      <c r="A14" s="32" t="s">
        <v>298</v>
      </c>
      <c r="B14" s="33" t="s">
        <v>315</v>
      </c>
      <c r="C14" s="34"/>
      <c r="D14" s="34"/>
      <c r="E14" s="35">
        <f t="shared" si="0"/>
        <v>6</v>
      </c>
      <c r="F14" s="35">
        <f>SUMIFS('savedrecs186-e77'!AS:AS,'savedrecs186-e77'!R:R,'Lista de Revistas'!B37)</f>
        <v>2</v>
      </c>
      <c r="H14" s="31"/>
      <c r="I14" s="31"/>
      <c r="J14" s="31"/>
      <c r="K14" s="31"/>
      <c r="L14" s="31"/>
    </row>
    <row r="15" spans="1:12" x14ac:dyDescent="0.25">
      <c r="A15" s="32" t="s">
        <v>298</v>
      </c>
      <c r="B15" s="33" t="s">
        <v>316</v>
      </c>
      <c r="C15" s="34"/>
      <c r="D15" s="34"/>
      <c r="E15" s="35">
        <f t="shared" si="0"/>
        <v>3</v>
      </c>
      <c r="F15" s="35">
        <f>SUMIFS('savedrecs186-e77'!AS:AS,'savedrecs186-e77'!R:R,'Lista de Revistas'!B19)</f>
        <v>18</v>
      </c>
      <c r="H15" s="31"/>
      <c r="I15" s="31"/>
      <c r="J15" s="31"/>
      <c r="K15" s="31"/>
      <c r="L15" s="31"/>
    </row>
    <row r="16" spans="1:12" x14ac:dyDescent="0.25">
      <c r="A16" s="32" t="s">
        <v>298</v>
      </c>
      <c r="B16" s="36" t="s">
        <v>317</v>
      </c>
      <c r="C16" s="36"/>
      <c r="D16" s="36"/>
      <c r="E16" s="37">
        <f t="shared" si="0"/>
        <v>3</v>
      </c>
      <c r="F16" s="37">
        <f>SUMIFS('savedrecs186-e77'!AS:AS,'savedrecs186-e77'!R:R,'Lista de Revistas'!B40)</f>
        <v>1</v>
      </c>
    </row>
    <row r="17" spans="1:6" x14ac:dyDescent="0.25">
      <c r="A17" s="32" t="s">
        <v>298</v>
      </c>
      <c r="B17" s="36" t="s">
        <v>301</v>
      </c>
      <c r="C17" s="36"/>
      <c r="D17" s="36"/>
      <c r="E17" s="37">
        <f t="shared" si="0"/>
        <v>2</v>
      </c>
      <c r="F17" s="37">
        <f>SUMIFS('savedrecs186-e77'!AS:AS,'savedrecs186-e77'!R:R,'Lista de Revistas'!B4)</f>
        <v>582</v>
      </c>
    </row>
    <row r="18" spans="1:6" x14ac:dyDescent="0.25">
      <c r="A18" s="32" t="s">
        <v>298</v>
      </c>
      <c r="B18" s="36" t="s">
        <v>318</v>
      </c>
      <c r="C18" s="36"/>
      <c r="D18" s="36"/>
      <c r="E18" s="37">
        <f t="shared" si="0"/>
        <v>3</v>
      </c>
      <c r="F18" s="37">
        <f>SUMIFS('savedrecs186-e77'!AS:AS,'savedrecs186-e77'!R:R,'Lista de Revistas'!B29)</f>
        <v>31</v>
      </c>
    </row>
    <row r="19" spans="1:6" x14ac:dyDescent="0.25">
      <c r="A19" s="32" t="s">
        <v>298</v>
      </c>
      <c r="B19" s="36" t="s">
        <v>319</v>
      </c>
      <c r="C19" s="36"/>
      <c r="D19" s="36"/>
      <c r="E19" s="37">
        <f t="shared" si="0"/>
        <v>2</v>
      </c>
      <c r="F19" s="37">
        <f>SUMIFS('savedrecs186-e77'!AS:AS,'savedrecs186-e77'!R:R,'Lista de Revistas'!B34)</f>
        <v>24</v>
      </c>
    </row>
    <row r="20" spans="1:6" x14ac:dyDescent="0.25">
      <c r="A20" s="32" t="s">
        <v>298</v>
      </c>
      <c r="B20" s="36" t="s">
        <v>320</v>
      </c>
      <c r="C20" s="36"/>
      <c r="D20" s="36"/>
      <c r="E20" s="37">
        <f t="shared" si="0"/>
        <v>2</v>
      </c>
      <c r="F20" s="37">
        <f>SUMIFS('savedrecs186-e77'!AS:AS,'savedrecs186-e77'!R:R,'Lista de Revistas'!B39)</f>
        <v>3</v>
      </c>
    </row>
    <row r="21" spans="1:6" x14ac:dyDescent="0.25">
      <c r="A21" s="32" t="s">
        <v>298</v>
      </c>
      <c r="B21" s="36" t="s">
        <v>297</v>
      </c>
      <c r="C21" s="36" t="s">
        <v>321</v>
      </c>
      <c r="D21" s="36">
        <v>864</v>
      </c>
      <c r="E21" s="37">
        <f t="shared" si="0"/>
        <v>1</v>
      </c>
      <c r="F21" s="37">
        <f>SUMIFS('savedrecs186-e77'!AS:AS,'savedrecs186-e77'!R:R,'Lista de Revistas'!B2)</f>
        <v>7718</v>
      </c>
    </row>
    <row r="22" spans="1:6" x14ac:dyDescent="0.25">
      <c r="A22" s="32" t="s">
        <v>298</v>
      </c>
      <c r="B22" s="36" t="s">
        <v>299</v>
      </c>
      <c r="C22" s="36"/>
      <c r="D22" s="36">
        <v>168</v>
      </c>
      <c r="E22" s="37">
        <f t="shared" si="0"/>
        <v>1</v>
      </c>
      <c r="F22" s="37">
        <f>SUMIFS('savedrecs186-e77'!AS:AS,'savedrecs186-e77'!R:R,'Lista de Revistas'!B3)</f>
        <v>3206</v>
      </c>
    </row>
    <row r="23" spans="1:6" x14ac:dyDescent="0.25">
      <c r="A23" s="32" t="s">
        <v>298</v>
      </c>
      <c r="B23" s="36" t="s">
        <v>304</v>
      </c>
      <c r="C23" s="36"/>
      <c r="D23" s="36"/>
      <c r="E23" s="37">
        <f t="shared" si="0"/>
        <v>2</v>
      </c>
      <c r="F23" s="37">
        <f>SUMIFS('savedrecs186-e77'!AS:AS,'savedrecs186-e77'!R:R,'Lista de Revistas'!B5)</f>
        <v>3421</v>
      </c>
    </row>
    <row r="24" spans="1:6" x14ac:dyDescent="0.25">
      <c r="A24" s="32" t="s">
        <v>298</v>
      </c>
      <c r="B24" s="36" t="s">
        <v>307</v>
      </c>
      <c r="C24" s="36"/>
      <c r="D24" s="36"/>
      <c r="E24" s="37">
        <f t="shared" si="0"/>
        <v>1</v>
      </c>
      <c r="F24" s="37">
        <f>SUMIFS('savedrecs186-e77'!AS:AS,'savedrecs186-e77'!R:R,'Lista de Revistas'!B6)</f>
        <v>752</v>
      </c>
    </row>
    <row r="25" spans="1:6" x14ac:dyDescent="0.25">
      <c r="A25" s="32" t="s">
        <v>298</v>
      </c>
      <c r="B25" s="36" t="s">
        <v>309</v>
      </c>
      <c r="C25" s="36"/>
      <c r="D25" s="36"/>
      <c r="E25" s="37">
        <f t="shared" si="0"/>
        <v>1</v>
      </c>
      <c r="F25" s="37">
        <f>SUMIFS('savedrecs186-e77'!AS:AS,'savedrecs186-e77'!R:R,'Lista de Revistas'!B7)</f>
        <v>504</v>
      </c>
    </row>
    <row r="26" spans="1:6" x14ac:dyDescent="0.25">
      <c r="A26" s="32" t="s">
        <v>298</v>
      </c>
      <c r="B26" s="36" t="s">
        <v>322</v>
      </c>
      <c r="C26" s="36"/>
      <c r="D26" s="36"/>
      <c r="E26" s="37">
        <f t="shared" si="0"/>
        <v>1</v>
      </c>
      <c r="F26" s="37">
        <f>SUMIFS('savedrecs186-e77'!AS:AS,'savedrecs186-e77'!R:R,'Lista de Revistas'!B9)</f>
        <v>65</v>
      </c>
    </row>
    <row r="27" spans="1:6" x14ac:dyDescent="0.25">
      <c r="A27" s="32" t="s">
        <v>298</v>
      </c>
      <c r="B27" s="36" t="s">
        <v>323</v>
      </c>
      <c r="C27" s="36"/>
      <c r="D27" s="36"/>
      <c r="E27" s="37">
        <f t="shared" si="0"/>
        <v>1</v>
      </c>
      <c r="F27" s="37">
        <f>SUMIFS('savedrecs186-e77'!AS:AS,'savedrecs186-e77'!R:R,'Lista de Revistas'!B10)</f>
        <v>798</v>
      </c>
    </row>
    <row r="28" spans="1:6" x14ac:dyDescent="0.25">
      <c r="A28" s="32" t="s">
        <v>298</v>
      </c>
      <c r="B28" s="36" t="s">
        <v>324</v>
      </c>
      <c r="C28" s="36"/>
      <c r="D28" s="36"/>
      <c r="E28" s="37">
        <f t="shared" si="0"/>
        <v>1</v>
      </c>
      <c r="F28" s="37">
        <f>SUMIFS('savedrecs186-e77'!AS:AS,'savedrecs186-e77'!R:R,'Lista de Revistas'!B12)</f>
        <v>83</v>
      </c>
    </row>
    <row r="29" spans="1:6" x14ac:dyDescent="0.25">
      <c r="A29" s="32" t="s">
        <v>298</v>
      </c>
      <c r="B29" s="36" t="s">
        <v>325</v>
      </c>
      <c r="C29" s="36"/>
      <c r="D29" s="36"/>
      <c r="E29" s="37">
        <f t="shared" si="0"/>
        <v>1</v>
      </c>
      <c r="F29" s="37">
        <f>SUMIFS('savedrecs186-e77'!AS:AS,'savedrecs186-e77'!R:R,'Lista de Revistas'!B15)</f>
        <v>0</v>
      </c>
    </row>
    <row r="30" spans="1:6" x14ac:dyDescent="0.25">
      <c r="A30" s="32" t="s">
        <v>298</v>
      </c>
      <c r="B30" s="36" t="s">
        <v>326</v>
      </c>
      <c r="C30" s="36"/>
      <c r="D30" s="36"/>
      <c r="E30" s="37">
        <f t="shared" si="0"/>
        <v>1</v>
      </c>
      <c r="F30" s="37">
        <f>SUMIFS('savedrecs186-e77'!AS:AS,'savedrecs186-e77'!R:R,'Lista de Revistas'!B17)</f>
        <v>31</v>
      </c>
    </row>
    <row r="31" spans="1:6" x14ac:dyDescent="0.25">
      <c r="A31" s="32" t="s">
        <v>322</v>
      </c>
      <c r="B31" s="36" t="s">
        <v>327</v>
      </c>
      <c r="C31" s="36"/>
      <c r="D31" s="36"/>
      <c r="E31" s="37">
        <f t="shared" si="0"/>
        <v>1</v>
      </c>
      <c r="F31" s="37">
        <f>SUMIFS('savedrecs186-e77'!AS:AS,'savedrecs186-e77'!R:R,'Lista de Revistas'!B21)</f>
        <v>55</v>
      </c>
    </row>
    <row r="32" spans="1:6" x14ac:dyDescent="0.25">
      <c r="A32" s="32" t="s">
        <v>328</v>
      </c>
      <c r="B32" s="36" t="s">
        <v>329</v>
      </c>
      <c r="C32" s="36"/>
      <c r="D32" s="36"/>
      <c r="E32" s="37">
        <f t="shared" si="0"/>
        <v>1</v>
      </c>
      <c r="F32" s="37">
        <f>SUMIFS('savedrecs186-e77'!AS:AS,'savedrecs186-e77'!R:R,'Lista de Revistas'!B22)</f>
        <v>3</v>
      </c>
    </row>
    <row r="33" spans="1:6" x14ac:dyDescent="0.25">
      <c r="A33" s="32" t="s">
        <v>323</v>
      </c>
      <c r="B33" s="36" t="s">
        <v>330</v>
      </c>
      <c r="C33" s="36"/>
      <c r="D33" s="36"/>
      <c r="E33" s="37">
        <f t="shared" si="0"/>
        <v>1</v>
      </c>
      <c r="F33" s="37">
        <f>SUMIFS('savedrecs186-e77'!AS:AS,'savedrecs186-e77'!R:R,'Lista de Revistas'!B24)</f>
        <v>0</v>
      </c>
    </row>
    <row r="34" spans="1:6" x14ac:dyDescent="0.25">
      <c r="A34" s="32" t="s">
        <v>313</v>
      </c>
      <c r="B34" s="36" t="s">
        <v>331</v>
      </c>
      <c r="C34" s="36"/>
      <c r="D34" s="36"/>
      <c r="E34" s="37">
        <f t="shared" si="0"/>
        <v>1</v>
      </c>
      <c r="F34" s="37">
        <f>SUMIFS('savedrecs186-e77'!AS:AS,'savedrecs186-e77'!R:R,'Lista de Revistas'!B25)</f>
        <v>14</v>
      </c>
    </row>
    <row r="35" spans="1:6" x14ac:dyDescent="0.25">
      <c r="A35" s="32" t="s">
        <v>313</v>
      </c>
      <c r="B35" s="36" t="s">
        <v>332</v>
      </c>
      <c r="C35" s="36"/>
      <c r="D35" s="36"/>
      <c r="E35" s="37">
        <f t="shared" si="0"/>
        <v>1</v>
      </c>
      <c r="F35" s="37">
        <f>SUMIFS('savedrecs186-e77'!AS:AS,'savedrecs186-e77'!R:R,'Lista de Revistas'!B26)</f>
        <v>2</v>
      </c>
    </row>
    <row r="36" spans="1:6" x14ac:dyDescent="0.25">
      <c r="A36" s="32" t="s">
        <v>313</v>
      </c>
      <c r="B36" s="36" t="s">
        <v>333</v>
      </c>
      <c r="C36" s="36"/>
      <c r="D36" s="36"/>
      <c r="E36" s="37">
        <f t="shared" si="0"/>
        <v>1</v>
      </c>
      <c r="F36" s="37">
        <f>SUMIFS('savedrecs186-e77'!AS:AS,'savedrecs186-e77'!R:R,'Lista de Revistas'!B27)</f>
        <v>58</v>
      </c>
    </row>
    <row r="37" spans="1:6" x14ac:dyDescent="0.25">
      <c r="A37" s="32" t="s">
        <v>313</v>
      </c>
      <c r="B37" s="36" t="s">
        <v>334</v>
      </c>
      <c r="C37" s="36"/>
      <c r="D37" s="36"/>
      <c r="E37" s="37">
        <f t="shared" si="0"/>
        <v>1</v>
      </c>
      <c r="F37" s="37">
        <f>SUMIFS('savedrecs186-e77'!AS:AS,'savedrecs186-e77'!R:R,'Lista de Revistas'!B28)</f>
        <v>0</v>
      </c>
    </row>
    <row r="38" spans="1:6" x14ac:dyDescent="0.25">
      <c r="A38" s="32" t="s">
        <v>313</v>
      </c>
      <c r="B38" s="36" t="s">
        <v>335</v>
      </c>
      <c r="C38" s="36"/>
      <c r="D38" s="36"/>
      <c r="E38" s="37">
        <f t="shared" si="0"/>
        <v>1</v>
      </c>
      <c r="F38" s="37">
        <f>SUMIFS('savedrecs186-e77'!AS:AS,'savedrecs186-e77'!R:R,'Lista de Revistas'!B30)</f>
        <v>14</v>
      </c>
    </row>
    <row r="39" spans="1:6" x14ac:dyDescent="0.25">
      <c r="A39" s="32" t="s">
        <v>313</v>
      </c>
      <c r="B39" s="36" t="s">
        <v>336</v>
      </c>
      <c r="C39" s="36"/>
      <c r="D39" s="36"/>
      <c r="E39" s="37">
        <f t="shared" si="0"/>
        <v>1</v>
      </c>
      <c r="F39" s="37">
        <f>SUMIFS('savedrecs186-e77'!AS:AS,'savedrecs186-e77'!R:R,'Lista de Revistas'!B31)</f>
        <v>0</v>
      </c>
    </row>
    <row r="40" spans="1:6" x14ac:dyDescent="0.25">
      <c r="A40" s="32" t="s">
        <v>324</v>
      </c>
      <c r="B40" s="36" t="s">
        <v>337</v>
      </c>
      <c r="C40" s="36"/>
      <c r="D40" s="36"/>
      <c r="E40" s="37">
        <f t="shared" si="0"/>
        <v>1</v>
      </c>
      <c r="F40" s="37">
        <f>SUMIFS('savedrecs186-e77'!AS:AS,'savedrecs186-e77'!R:R,'Lista de Revistas'!B32)</f>
        <v>1</v>
      </c>
    </row>
    <row r="41" spans="1:6" x14ac:dyDescent="0.25">
      <c r="A41" s="32" t="s">
        <v>314</v>
      </c>
      <c r="B41" s="36" t="s">
        <v>338</v>
      </c>
      <c r="C41" s="36"/>
      <c r="D41" s="36"/>
      <c r="E41" s="37">
        <f t="shared" si="0"/>
        <v>1</v>
      </c>
      <c r="F41" s="37">
        <f>SUMIFS('savedrecs186-e77'!AS:AS,'savedrecs186-e77'!R:R,'Lista de Revistas'!B33)</f>
        <v>5</v>
      </c>
    </row>
    <row r="42" spans="1:6" x14ac:dyDescent="0.25">
      <c r="A42" s="32" t="s">
        <v>314</v>
      </c>
      <c r="B42" s="36" t="s">
        <v>339</v>
      </c>
      <c r="C42" s="36"/>
      <c r="D42" s="36"/>
      <c r="E42" s="37">
        <f t="shared" si="0"/>
        <v>1</v>
      </c>
      <c r="F42" s="37">
        <f>SUMIFS('savedrecs186-e77'!AS:AS,'savedrecs186-e77'!R:R,'Lista de Revistas'!B35)</f>
        <v>45</v>
      </c>
    </row>
    <row r="43" spans="1:6" x14ac:dyDescent="0.25">
      <c r="A43" s="32" t="s">
        <v>314</v>
      </c>
      <c r="B43" s="36" t="s">
        <v>340</v>
      </c>
      <c r="C43" s="36"/>
      <c r="D43" s="36"/>
      <c r="E43" s="37">
        <f t="shared" si="0"/>
        <v>1</v>
      </c>
      <c r="F43" s="37">
        <f>SUMIFS('savedrecs186-e77'!AS:AS,'savedrecs186-e77'!R:R,'Lista de Revistas'!B38)</f>
        <v>146</v>
      </c>
    </row>
    <row r="44" spans="1:6" x14ac:dyDescent="0.25">
      <c r="A44" s="32" t="s">
        <v>314</v>
      </c>
      <c r="B44" s="36" t="s">
        <v>341</v>
      </c>
      <c r="C44" s="36"/>
      <c r="D44" s="36"/>
      <c r="E44" s="37">
        <f t="shared" si="0"/>
        <v>1</v>
      </c>
      <c r="F44" s="37">
        <f>SUMIFS('savedrecs186-e77'!AS:AS,'savedrecs186-e77'!R:R,'Lista de Revistas'!B41)</f>
        <v>4</v>
      </c>
    </row>
    <row r="45" spans="1:6" x14ac:dyDescent="0.25">
      <c r="A45" s="32" t="s">
        <v>314</v>
      </c>
      <c r="B45" s="36" t="s">
        <v>342</v>
      </c>
      <c r="C45" s="36"/>
      <c r="D45" s="36"/>
      <c r="E45" s="37">
        <f t="shared" si="0"/>
        <v>1</v>
      </c>
      <c r="F45" s="37">
        <f>SUMIFS('savedrecs186-e77'!AS:AS,'savedrecs186-e77'!R:R,'Lista de Revistas'!B42)</f>
        <v>13</v>
      </c>
    </row>
    <row r="46" spans="1:6" x14ac:dyDescent="0.25">
      <c r="A46" s="32" t="s">
        <v>311</v>
      </c>
      <c r="B46" s="36" t="s">
        <v>343</v>
      </c>
      <c r="C46" s="36"/>
      <c r="D46" s="36"/>
      <c r="E46" s="37">
        <f t="shared" si="0"/>
        <v>1</v>
      </c>
      <c r="F46" s="37">
        <f>SUMIFS('savedrecs186-e77'!AS:AS,'savedrecs186-e77'!R:R,'Lista de Revistas'!B44)</f>
        <v>8</v>
      </c>
    </row>
    <row r="47" spans="1:6" x14ac:dyDescent="0.25">
      <c r="A47" s="32" t="s">
        <v>311</v>
      </c>
      <c r="B47" s="36" t="s">
        <v>344</v>
      </c>
      <c r="C47" s="36"/>
      <c r="D47" s="36"/>
      <c r="E47" s="37">
        <f t="shared" si="0"/>
        <v>1</v>
      </c>
      <c r="F47" s="37">
        <f>SUMIFS('savedrecs186-e77'!AS:AS,'savedrecs186-e77'!R:R,'Lista de Revistas'!B47)</f>
        <v>213</v>
      </c>
    </row>
    <row r="48" spans="1:6" x14ac:dyDescent="0.25">
      <c r="A48" s="32" t="s">
        <v>311</v>
      </c>
      <c r="B48" s="36" t="s">
        <v>345</v>
      </c>
      <c r="C48" s="36"/>
      <c r="D48" s="36"/>
      <c r="E48" s="37">
        <f t="shared" si="0"/>
        <v>1</v>
      </c>
      <c r="F48" s="37">
        <f>SUMIFS('savedrecs186-e77'!AS:AS,'savedrecs186-e77'!R:R,'Lista de Revistas'!B48)</f>
        <v>2</v>
      </c>
    </row>
    <row r="49" spans="1:6" x14ac:dyDescent="0.25">
      <c r="A49" s="32" t="s">
        <v>311</v>
      </c>
      <c r="B49" s="36" t="s">
        <v>346</v>
      </c>
      <c r="C49" s="36"/>
      <c r="D49" s="36"/>
      <c r="E49" s="37">
        <f t="shared" si="0"/>
        <v>1</v>
      </c>
      <c r="F49" s="37">
        <f>SUMIFS('savedrecs186-e77'!AS:AS,'savedrecs186-e77'!R:R,'Lista de Revistas'!B49)</f>
        <v>15</v>
      </c>
    </row>
    <row r="50" spans="1:6" x14ac:dyDescent="0.25">
      <c r="A50" s="32" t="s">
        <v>311</v>
      </c>
    </row>
    <row r="51" spans="1:6" x14ac:dyDescent="0.25">
      <c r="A51" s="32" t="s">
        <v>311</v>
      </c>
    </row>
    <row r="52" spans="1:6" x14ac:dyDescent="0.25">
      <c r="A52" s="32" t="s">
        <v>311</v>
      </c>
    </row>
    <row r="53" spans="1:6" x14ac:dyDescent="0.25">
      <c r="A53" s="32" t="s">
        <v>311</v>
      </c>
    </row>
    <row r="54" spans="1:6" x14ac:dyDescent="0.25">
      <c r="A54" s="32" t="s">
        <v>311</v>
      </c>
    </row>
    <row r="55" spans="1:6" x14ac:dyDescent="0.25">
      <c r="A55" s="32" t="s">
        <v>311</v>
      </c>
    </row>
    <row r="56" spans="1:6" x14ac:dyDescent="0.25">
      <c r="A56" s="32" t="s">
        <v>325</v>
      </c>
    </row>
    <row r="57" spans="1:6" x14ac:dyDescent="0.25">
      <c r="A57" s="32" t="s">
        <v>300</v>
      </c>
    </row>
    <row r="58" spans="1:6" x14ac:dyDescent="0.25">
      <c r="A58" s="32" t="s">
        <v>300</v>
      </c>
    </row>
    <row r="59" spans="1:6" x14ac:dyDescent="0.25">
      <c r="A59" s="32" t="s">
        <v>300</v>
      </c>
    </row>
    <row r="60" spans="1:6" x14ac:dyDescent="0.25">
      <c r="A60" s="32" t="s">
        <v>300</v>
      </c>
    </row>
    <row r="61" spans="1:6" x14ac:dyDescent="0.25">
      <c r="A61" s="32" t="s">
        <v>300</v>
      </c>
    </row>
    <row r="62" spans="1:6" x14ac:dyDescent="0.25">
      <c r="A62" s="32" t="s">
        <v>300</v>
      </c>
    </row>
    <row r="63" spans="1:6" x14ac:dyDescent="0.25">
      <c r="A63" s="32" t="s">
        <v>300</v>
      </c>
    </row>
    <row r="64" spans="1:6" x14ac:dyDescent="0.25">
      <c r="A64" s="32" t="s">
        <v>300</v>
      </c>
    </row>
    <row r="65" spans="1:1" x14ac:dyDescent="0.25">
      <c r="A65" s="32" t="s">
        <v>300</v>
      </c>
    </row>
    <row r="66" spans="1:1" x14ac:dyDescent="0.25">
      <c r="A66" s="32" t="s">
        <v>300</v>
      </c>
    </row>
    <row r="67" spans="1:1" x14ac:dyDescent="0.25">
      <c r="A67" s="32" t="s">
        <v>300</v>
      </c>
    </row>
    <row r="68" spans="1:1" x14ac:dyDescent="0.25">
      <c r="A68" s="32" t="s">
        <v>300</v>
      </c>
    </row>
    <row r="69" spans="1:1" x14ac:dyDescent="0.25">
      <c r="A69" s="32" t="s">
        <v>300</v>
      </c>
    </row>
    <row r="70" spans="1:1" x14ac:dyDescent="0.25">
      <c r="A70" s="32" t="s">
        <v>300</v>
      </c>
    </row>
    <row r="71" spans="1:1" x14ac:dyDescent="0.25">
      <c r="A71" s="32" t="s">
        <v>300</v>
      </c>
    </row>
    <row r="72" spans="1:1" x14ac:dyDescent="0.25">
      <c r="A72" s="32" t="s">
        <v>300</v>
      </c>
    </row>
    <row r="73" spans="1:1" x14ac:dyDescent="0.25">
      <c r="A73" s="32" t="s">
        <v>300</v>
      </c>
    </row>
    <row r="74" spans="1:1" x14ac:dyDescent="0.25">
      <c r="A74" s="32" t="s">
        <v>300</v>
      </c>
    </row>
    <row r="75" spans="1:1" x14ac:dyDescent="0.25">
      <c r="A75" s="32" t="s">
        <v>326</v>
      </c>
    </row>
    <row r="76" spans="1:1" ht="30" x14ac:dyDescent="0.25">
      <c r="A76" s="32" t="s">
        <v>347</v>
      </c>
    </row>
    <row r="77" spans="1:1" x14ac:dyDescent="0.25">
      <c r="A77" s="32" t="s">
        <v>310</v>
      </c>
    </row>
    <row r="78" spans="1:1" x14ac:dyDescent="0.25">
      <c r="A78" s="32" t="s">
        <v>310</v>
      </c>
    </row>
    <row r="79" spans="1:1" x14ac:dyDescent="0.25">
      <c r="A79" s="32" t="s">
        <v>310</v>
      </c>
    </row>
    <row r="80" spans="1:1" x14ac:dyDescent="0.25">
      <c r="A80" s="32" t="s">
        <v>310</v>
      </c>
    </row>
    <row r="81" spans="1:1" x14ac:dyDescent="0.25">
      <c r="A81" s="32" t="s">
        <v>310</v>
      </c>
    </row>
    <row r="82" spans="1:1" x14ac:dyDescent="0.25">
      <c r="A82" s="32" t="s">
        <v>310</v>
      </c>
    </row>
    <row r="83" spans="1:1" x14ac:dyDescent="0.25">
      <c r="A83" s="32" t="s">
        <v>310</v>
      </c>
    </row>
    <row r="84" spans="1:1" x14ac:dyDescent="0.25">
      <c r="A84" s="32" t="s">
        <v>310</v>
      </c>
    </row>
    <row r="85" spans="1:1" x14ac:dyDescent="0.25">
      <c r="A85" s="32" t="s">
        <v>310</v>
      </c>
    </row>
    <row r="86" spans="1:1" x14ac:dyDescent="0.25">
      <c r="A86" s="32" t="s">
        <v>316</v>
      </c>
    </row>
    <row r="87" spans="1:1" x14ac:dyDescent="0.25">
      <c r="A87" s="32" t="s">
        <v>316</v>
      </c>
    </row>
    <row r="88" spans="1:1" x14ac:dyDescent="0.25">
      <c r="A88" s="32" t="s">
        <v>316</v>
      </c>
    </row>
    <row r="89" spans="1:1" x14ac:dyDescent="0.25">
      <c r="A89" s="32" t="s">
        <v>302</v>
      </c>
    </row>
    <row r="90" spans="1:1" x14ac:dyDescent="0.25">
      <c r="A90" s="32" t="s">
        <v>302</v>
      </c>
    </row>
    <row r="91" spans="1:1" x14ac:dyDescent="0.25">
      <c r="A91" s="32" t="s">
        <v>302</v>
      </c>
    </row>
    <row r="92" spans="1:1" x14ac:dyDescent="0.25">
      <c r="A92" s="32" t="s">
        <v>302</v>
      </c>
    </row>
    <row r="93" spans="1:1" x14ac:dyDescent="0.25">
      <c r="A93" s="32" t="s">
        <v>302</v>
      </c>
    </row>
    <row r="94" spans="1:1" x14ac:dyDescent="0.25">
      <c r="A94" s="32" t="s">
        <v>302</v>
      </c>
    </row>
    <row r="95" spans="1:1" x14ac:dyDescent="0.25">
      <c r="A95" s="32" t="s">
        <v>302</v>
      </c>
    </row>
    <row r="96" spans="1:1" x14ac:dyDescent="0.25">
      <c r="A96" s="32" t="s">
        <v>302</v>
      </c>
    </row>
    <row r="97" spans="1:1" x14ac:dyDescent="0.25">
      <c r="A97" s="32" t="s">
        <v>302</v>
      </c>
    </row>
    <row r="98" spans="1:1" x14ac:dyDescent="0.25">
      <c r="A98" s="32" t="s">
        <v>302</v>
      </c>
    </row>
    <row r="99" spans="1:1" x14ac:dyDescent="0.25">
      <c r="A99" s="32" t="s">
        <v>302</v>
      </c>
    </row>
    <row r="100" spans="1:1" x14ac:dyDescent="0.25">
      <c r="A100" s="32" t="s">
        <v>302</v>
      </c>
    </row>
    <row r="101" spans="1:1" x14ac:dyDescent="0.25">
      <c r="A101" s="32" t="s">
        <v>302</v>
      </c>
    </row>
    <row r="102" spans="1:1" x14ac:dyDescent="0.25">
      <c r="A102" s="32" t="s">
        <v>302</v>
      </c>
    </row>
    <row r="103" spans="1:1" x14ac:dyDescent="0.25">
      <c r="A103" s="32" t="s">
        <v>302</v>
      </c>
    </row>
    <row r="104" spans="1:1" x14ac:dyDescent="0.25">
      <c r="A104" s="32" t="s">
        <v>302</v>
      </c>
    </row>
    <row r="105" spans="1:1" x14ac:dyDescent="0.25">
      <c r="A105" s="32" t="s">
        <v>302</v>
      </c>
    </row>
    <row r="106" spans="1:1" x14ac:dyDescent="0.25">
      <c r="A106" s="32" t="s">
        <v>327</v>
      </c>
    </row>
    <row r="107" spans="1:1" x14ac:dyDescent="0.25">
      <c r="A107" s="32" t="s">
        <v>329</v>
      </c>
    </row>
    <row r="108" spans="1:1" x14ac:dyDescent="0.25">
      <c r="A108" s="32" t="s">
        <v>303</v>
      </c>
    </row>
    <row r="109" spans="1:1" x14ac:dyDescent="0.25">
      <c r="A109" s="32" t="s">
        <v>303</v>
      </c>
    </row>
    <row r="110" spans="1:1" x14ac:dyDescent="0.25">
      <c r="A110" s="32" t="s">
        <v>303</v>
      </c>
    </row>
    <row r="111" spans="1:1" x14ac:dyDescent="0.25">
      <c r="A111" s="32" t="s">
        <v>303</v>
      </c>
    </row>
    <row r="112" spans="1:1" x14ac:dyDescent="0.25">
      <c r="A112" s="32" t="s">
        <v>303</v>
      </c>
    </row>
    <row r="113" spans="1:1" x14ac:dyDescent="0.25">
      <c r="A113" s="32" t="s">
        <v>303</v>
      </c>
    </row>
    <row r="114" spans="1:1" x14ac:dyDescent="0.25">
      <c r="A114" s="32" t="s">
        <v>303</v>
      </c>
    </row>
    <row r="115" spans="1:1" x14ac:dyDescent="0.25">
      <c r="A115" s="32" t="s">
        <v>303</v>
      </c>
    </row>
    <row r="116" spans="1:1" x14ac:dyDescent="0.25">
      <c r="A116" s="32" t="s">
        <v>303</v>
      </c>
    </row>
    <row r="117" spans="1:1" x14ac:dyDescent="0.25">
      <c r="A117" s="32" t="s">
        <v>303</v>
      </c>
    </row>
    <row r="118" spans="1:1" x14ac:dyDescent="0.25">
      <c r="A118" s="32" t="s">
        <v>303</v>
      </c>
    </row>
    <row r="119" spans="1:1" x14ac:dyDescent="0.25">
      <c r="A119" s="32" t="s">
        <v>303</v>
      </c>
    </row>
    <row r="120" spans="1:1" x14ac:dyDescent="0.25">
      <c r="A120" s="32" t="s">
        <v>303</v>
      </c>
    </row>
    <row r="121" spans="1:1" x14ac:dyDescent="0.25">
      <c r="A121" s="32" t="s">
        <v>303</v>
      </c>
    </row>
    <row r="122" spans="1:1" x14ac:dyDescent="0.25">
      <c r="A122" s="32" t="s">
        <v>303</v>
      </c>
    </row>
    <row r="123" spans="1:1" x14ac:dyDescent="0.25">
      <c r="A123" s="32" t="s">
        <v>330</v>
      </c>
    </row>
    <row r="124" spans="1:1" x14ac:dyDescent="0.25">
      <c r="A124" s="32" t="s">
        <v>331</v>
      </c>
    </row>
    <row r="125" spans="1:1" x14ac:dyDescent="0.25">
      <c r="A125" s="32" t="s">
        <v>332</v>
      </c>
    </row>
    <row r="126" spans="1:1" x14ac:dyDescent="0.25">
      <c r="A126" s="32" t="s">
        <v>333</v>
      </c>
    </row>
    <row r="127" spans="1:1" x14ac:dyDescent="0.25">
      <c r="A127" s="32" t="s">
        <v>334</v>
      </c>
    </row>
    <row r="128" spans="1:1" x14ac:dyDescent="0.25">
      <c r="A128" s="32" t="s">
        <v>318</v>
      </c>
    </row>
    <row r="129" spans="1:1" x14ac:dyDescent="0.25">
      <c r="A129" s="32" t="s">
        <v>318</v>
      </c>
    </row>
    <row r="130" spans="1:1" x14ac:dyDescent="0.25">
      <c r="A130" s="32" t="s">
        <v>318</v>
      </c>
    </row>
    <row r="131" spans="1:1" x14ac:dyDescent="0.25">
      <c r="A131" s="32" t="s">
        <v>335</v>
      </c>
    </row>
    <row r="132" spans="1:1" x14ac:dyDescent="0.25">
      <c r="A132" s="32" t="s">
        <v>336</v>
      </c>
    </row>
    <row r="133" spans="1:1" x14ac:dyDescent="0.25">
      <c r="A133" s="32" t="s">
        <v>337</v>
      </c>
    </row>
    <row r="134" spans="1:1" x14ac:dyDescent="0.25">
      <c r="A134" s="32" t="s">
        <v>338</v>
      </c>
    </row>
    <row r="135" spans="1:1" x14ac:dyDescent="0.25">
      <c r="A135" s="32" t="s">
        <v>319</v>
      </c>
    </row>
    <row r="136" spans="1:1" x14ac:dyDescent="0.25">
      <c r="A136" s="32" t="s">
        <v>319</v>
      </c>
    </row>
    <row r="137" spans="1:1" x14ac:dyDescent="0.25">
      <c r="A137" s="32" t="s">
        <v>339</v>
      </c>
    </row>
    <row r="138" spans="1:1" x14ac:dyDescent="0.25">
      <c r="A138" s="32" t="s">
        <v>312</v>
      </c>
    </row>
    <row r="139" spans="1:1" x14ac:dyDescent="0.25">
      <c r="A139" s="32" t="s">
        <v>312</v>
      </c>
    </row>
    <row r="140" spans="1:1" x14ac:dyDescent="0.25">
      <c r="A140" s="32" t="s">
        <v>312</v>
      </c>
    </row>
    <row r="141" spans="1:1" x14ac:dyDescent="0.25">
      <c r="A141" s="32" t="s">
        <v>312</v>
      </c>
    </row>
    <row r="142" spans="1:1" x14ac:dyDescent="0.25">
      <c r="A142" s="32" t="s">
        <v>312</v>
      </c>
    </row>
    <row r="143" spans="1:1" x14ac:dyDescent="0.25">
      <c r="A143" s="32" t="s">
        <v>312</v>
      </c>
    </row>
    <row r="144" spans="1:1" x14ac:dyDescent="0.25">
      <c r="A144" s="32" t="s">
        <v>312</v>
      </c>
    </row>
    <row r="145" spans="1:1" x14ac:dyDescent="0.25">
      <c r="A145" s="32" t="s">
        <v>315</v>
      </c>
    </row>
    <row r="146" spans="1:1" x14ac:dyDescent="0.25">
      <c r="A146" s="32" t="s">
        <v>315</v>
      </c>
    </row>
    <row r="147" spans="1:1" x14ac:dyDescent="0.25">
      <c r="A147" s="32" t="s">
        <v>315</v>
      </c>
    </row>
    <row r="148" spans="1:1" x14ac:dyDescent="0.25">
      <c r="A148" s="32" t="s">
        <v>315</v>
      </c>
    </row>
    <row r="149" spans="1:1" x14ac:dyDescent="0.25">
      <c r="A149" s="32" t="s">
        <v>315</v>
      </c>
    </row>
    <row r="150" spans="1:1" x14ac:dyDescent="0.25">
      <c r="A150" s="32" t="s">
        <v>315</v>
      </c>
    </row>
    <row r="151" spans="1:1" x14ac:dyDescent="0.25">
      <c r="A151" s="32" t="s">
        <v>340</v>
      </c>
    </row>
    <row r="152" spans="1:1" x14ac:dyDescent="0.25">
      <c r="A152" s="32" t="s">
        <v>320</v>
      </c>
    </row>
    <row r="153" spans="1:1" x14ac:dyDescent="0.25">
      <c r="A153" s="32" t="s">
        <v>320</v>
      </c>
    </row>
    <row r="154" spans="1:1" x14ac:dyDescent="0.25">
      <c r="A154" s="32" t="s">
        <v>317</v>
      </c>
    </row>
    <row r="155" spans="1:1" x14ac:dyDescent="0.25">
      <c r="A155" s="32" t="s">
        <v>317</v>
      </c>
    </row>
    <row r="156" spans="1:1" x14ac:dyDescent="0.25">
      <c r="A156" s="32" t="s">
        <v>317</v>
      </c>
    </row>
    <row r="157" spans="1:1" x14ac:dyDescent="0.25">
      <c r="A157" s="32" t="s">
        <v>341</v>
      </c>
    </row>
    <row r="158" spans="1:1" x14ac:dyDescent="0.25">
      <c r="A158" s="32" t="s">
        <v>342</v>
      </c>
    </row>
    <row r="159" spans="1:1" x14ac:dyDescent="0.25">
      <c r="A159" s="32" t="s">
        <v>306</v>
      </c>
    </row>
    <row r="160" spans="1:1" x14ac:dyDescent="0.25">
      <c r="A160" s="32" t="s">
        <v>306</v>
      </c>
    </row>
    <row r="161" spans="1:1" x14ac:dyDescent="0.25">
      <c r="A161" s="32" t="s">
        <v>306</v>
      </c>
    </row>
    <row r="162" spans="1:1" x14ac:dyDescent="0.25">
      <c r="A162" s="32" t="s">
        <v>306</v>
      </c>
    </row>
    <row r="163" spans="1:1" x14ac:dyDescent="0.25">
      <c r="A163" s="32" t="s">
        <v>306</v>
      </c>
    </row>
    <row r="164" spans="1:1" x14ac:dyDescent="0.25">
      <c r="A164" s="32" t="s">
        <v>306</v>
      </c>
    </row>
    <row r="165" spans="1:1" x14ac:dyDescent="0.25">
      <c r="A165" s="32" t="s">
        <v>306</v>
      </c>
    </row>
    <row r="166" spans="1:1" x14ac:dyDescent="0.25">
      <c r="A166" s="32" t="s">
        <v>306</v>
      </c>
    </row>
    <row r="167" spans="1:1" x14ac:dyDescent="0.25">
      <c r="A167" s="32" t="s">
        <v>306</v>
      </c>
    </row>
    <row r="168" spans="1:1" x14ac:dyDescent="0.25">
      <c r="A168" s="32" t="s">
        <v>306</v>
      </c>
    </row>
    <row r="169" spans="1:1" x14ac:dyDescent="0.25">
      <c r="A169" s="32" t="s">
        <v>306</v>
      </c>
    </row>
    <row r="170" spans="1:1" x14ac:dyDescent="0.25">
      <c r="A170" s="32" t="s">
        <v>306</v>
      </c>
    </row>
    <row r="171" spans="1:1" x14ac:dyDescent="0.25">
      <c r="A171" s="32" t="s">
        <v>343</v>
      </c>
    </row>
    <row r="172" spans="1:1" x14ac:dyDescent="0.25">
      <c r="A172" s="32" t="s">
        <v>308</v>
      </c>
    </row>
    <row r="173" spans="1:1" x14ac:dyDescent="0.25">
      <c r="A173" s="32" t="s">
        <v>308</v>
      </c>
    </row>
    <row r="174" spans="1:1" x14ac:dyDescent="0.25">
      <c r="A174" s="32" t="s">
        <v>308</v>
      </c>
    </row>
    <row r="175" spans="1:1" x14ac:dyDescent="0.25">
      <c r="A175" s="32" t="s">
        <v>308</v>
      </c>
    </row>
    <row r="176" spans="1:1" x14ac:dyDescent="0.25">
      <c r="A176" s="32" t="s">
        <v>308</v>
      </c>
    </row>
    <row r="177" spans="1:1" x14ac:dyDescent="0.25">
      <c r="A177" s="32" t="s">
        <v>308</v>
      </c>
    </row>
    <row r="178" spans="1:1" x14ac:dyDescent="0.25">
      <c r="A178" s="32" t="s">
        <v>308</v>
      </c>
    </row>
    <row r="179" spans="1:1" x14ac:dyDescent="0.25">
      <c r="A179" s="32" t="s">
        <v>308</v>
      </c>
    </row>
    <row r="180" spans="1:1" x14ac:dyDescent="0.25">
      <c r="A180" s="32" t="s">
        <v>308</v>
      </c>
    </row>
    <row r="181" spans="1:1" x14ac:dyDescent="0.25">
      <c r="A181" s="32" t="s">
        <v>308</v>
      </c>
    </row>
    <row r="182" spans="1:1" x14ac:dyDescent="0.25">
      <c r="A182" s="32" t="s">
        <v>308</v>
      </c>
    </row>
    <row r="183" spans="1:1" x14ac:dyDescent="0.25">
      <c r="A183" s="32" t="s">
        <v>305</v>
      </c>
    </row>
    <row r="184" spans="1:1" x14ac:dyDescent="0.25">
      <c r="A184" s="32" t="s">
        <v>305</v>
      </c>
    </row>
    <row r="185" spans="1:1" x14ac:dyDescent="0.25">
      <c r="A185" s="32" t="s">
        <v>305</v>
      </c>
    </row>
    <row r="186" spans="1:1" x14ac:dyDescent="0.25">
      <c r="A186" s="32" t="s">
        <v>305</v>
      </c>
    </row>
    <row r="187" spans="1:1" x14ac:dyDescent="0.25">
      <c r="A187" s="32" t="s">
        <v>305</v>
      </c>
    </row>
    <row r="188" spans="1:1" x14ac:dyDescent="0.25">
      <c r="A188" s="32" t="s">
        <v>305</v>
      </c>
    </row>
    <row r="189" spans="1:1" x14ac:dyDescent="0.25">
      <c r="A189" s="32" t="s">
        <v>305</v>
      </c>
    </row>
    <row r="190" spans="1:1" x14ac:dyDescent="0.25">
      <c r="A190" s="32" t="s">
        <v>305</v>
      </c>
    </row>
    <row r="191" spans="1:1" x14ac:dyDescent="0.25">
      <c r="A191" s="32" t="s">
        <v>305</v>
      </c>
    </row>
    <row r="192" spans="1:1" x14ac:dyDescent="0.25">
      <c r="A192" s="32" t="s">
        <v>305</v>
      </c>
    </row>
    <row r="193" spans="1:1" x14ac:dyDescent="0.25">
      <c r="A193" s="32" t="s">
        <v>305</v>
      </c>
    </row>
    <row r="194" spans="1:1" x14ac:dyDescent="0.25">
      <c r="A194" s="32" t="s">
        <v>305</v>
      </c>
    </row>
    <row r="195" spans="1:1" x14ac:dyDescent="0.25">
      <c r="A195" s="32" t="s">
        <v>305</v>
      </c>
    </row>
    <row r="196" spans="1:1" x14ac:dyDescent="0.25">
      <c r="A196" s="32" t="s">
        <v>305</v>
      </c>
    </row>
    <row r="197" spans="1:1" x14ac:dyDescent="0.25">
      <c r="A197" s="32" t="s">
        <v>344</v>
      </c>
    </row>
    <row r="198" spans="1:1" x14ac:dyDescent="0.25">
      <c r="A198" s="32" t="s">
        <v>345</v>
      </c>
    </row>
    <row r="199" spans="1:1" x14ac:dyDescent="0.25">
      <c r="A199" s="32" t="s">
        <v>346</v>
      </c>
    </row>
  </sheetData>
  <pageMargins left="0.7" right="0.7" top="0.75" bottom="0.75" header="0.51180555555555496" footer="0.51180555555555496"/>
  <pageSetup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639"/>
  <sheetViews>
    <sheetView topLeftCell="C16" zoomScale="75" zoomScaleNormal="75" workbookViewId="0">
      <selection activeCell="E31" sqref="E31"/>
    </sheetView>
  </sheetViews>
  <sheetFormatPr baseColWidth="10" defaultColWidth="9.140625" defaultRowHeight="15" x14ac:dyDescent="0.25"/>
  <cols>
    <col min="1" max="1" width="27.5703125" hidden="1" customWidth="1"/>
    <col min="2" max="2" width="22" hidden="1" customWidth="1"/>
    <col min="3" max="3" width="39" customWidth="1"/>
    <col min="4" max="4" width="17.28515625" customWidth="1"/>
    <col min="5" max="5" width="14.140625" customWidth="1"/>
    <col min="6" max="1025" width="10.5703125" customWidth="1"/>
  </cols>
  <sheetData>
    <row r="1" spans="1:6" x14ac:dyDescent="0.25">
      <c r="A1" s="38" t="s">
        <v>348</v>
      </c>
      <c r="B1" s="38"/>
      <c r="C1" s="39" t="s">
        <v>348</v>
      </c>
      <c r="D1" s="39" t="s">
        <v>296</v>
      </c>
      <c r="E1" s="39" t="s">
        <v>349</v>
      </c>
    </row>
    <row r="2" spans="1:6" x14ac:dyDescent="0.25">
      <c r="A2" s="40" t="s">
        <v>350</v>
      </c>
      <c r="B2" s="40"/>
      <c r="C2" s="41" t="s">
        <v>351</v>
      </c>
      <c r="D2" s="41">
        <v>5623</v>
      </c>
      <c r="E2" s="41">
        <v>1</v>
      </c>
      <c r="F2" s="32"/>
    </row>
    <row r="3" spans="1:6" x14ac:dyDescent="0.25">
      <c r="A3" s="40" t="s">
        <v>352</v>
      </c>
      <c r="B3" s="40"/>
      <c r="C3" s="41" t="s">
        <v>353</v>
      </c>
      <c r="D3" s="41">
        <v>2374</v>
      </c>
      <c r="E3" s="41">
        <v>1</v>
      </c>
      <c r="F3" s="32"/>
    </row>
    <row r="4" spans="1:6" x14ac:dyDescent="0.25">
      <c r="A4" s="40" t="s">
        <v>354</v>
      </c>
      <c r="B4" s="40"/>
      <c r="C4" s="41" t="s">
        <v>355</v>
      </c>
      <c r="D4" s="41">
        <v>1184</v>
      </c>
      <c r="E4" s="41">
        <v>1</v>
      </c>
      <c r="F4" s="32"/>
    </row>
    <row r="5" spans="1:6" x14ac:dyDescent="0.25">
      <c r="A5" s="40" t="s">
        <v>356</v>
      </c>
      <c r="B5" s="40"/>
      <c r="C5" s="41" t="s">
        <v>357</v>
      </c>
      <c r="D5" s="41">
        <v>1033</v>
      </c>
      <c r="E5" s="41">
        <v>1</v>
      </c>
      <c r="F5" s="32"/>
    </row>
    <row r="6" spans="1:6" x14ac:dyDescent="0.25">
      <c r="A6" s="40" t="s">
        <v>358</v>
      </c>
      <c r="B6" s="40"/>
      <c r="C6" s="41" t="s">
        <v>359</v>
      </c>
      <c r="D6" s="41">
        <v>930</v>
      </c>
      <c r="E6" s="41">
        <v>2</v>
      </c>
      <c r="F6" s="32"/>
    </row>
    <row r="7" spans="1:6" x14ac:dyDescent="0.25">
      <c r="A7" s="40" t="s">
        <v>360</v>
      </c>
      <c r="B7" s="40"/>
      <c r="C7" s="41" t="s">
        <v>361</v>
      </c>
      <c r="D7" s="41">
        <v>798</v>
      </c>
      <c r="E7" s="41">
        <v>1</v>
      </c>
      <c r="F7" s="32"/>
    </row>
    <row r="8" spans="1:6" x14ac:dyDescent="0.25">
      <c r="A8" s="40" t="s">
        <v>362</v>
      </c>
      <c r="B8" s="40"/>
      <c r="C8" s="41" t="s">
        <v>363</v>
      </c>
      <c r="D8" s="41">
        <v>410</v>
      </c>
      <c r="E8" s="41">
        <v>1</v>
      </c>
      <c r="F8" s="32"/>
    </row>
    <row r="9" spans="1:6" x14ac:dyDescent="0.25">
      <c r="A9" s="40" t="s">
        <v>364</v>
      </c>
      <c r="B9" s="40"/>
      <c r="C9" s="41" t="s">
        <v>365</v>
      </c>
      <c r="D9" s="41">
        <v>396</v>
      </c>
      <c r="E9" s="41">
        <v>1</v>
      </c>
      <c r="F9" s="32"/>
    </row>
    <row r="10" spans="1:6" x14ac:dyDescent="0.25">
      <c r="A10" s="40" t="s">
        <v>351</v>
      </c>
      <c r="B10" s="40"/>
      <c r="C10" s="41" t="s">
        <v>366</v>
      </c>
      <c r="D10" s="41">
        <v>388</v>
      </c>
      <c r="E10" s="41">
        <v>1</v>
      </c>
      <c r="F10" s="32"/>
    </row>
    <row r="11" spans="1:6" x14ac:dyDescent="0.25">
      <c r="A11" s="40" t="s">
        <v>367</v>
      </c>
      <c r="B11" s="40"/>
      <c r="C11" s="41" t="s">
        <v>368</v>
      </c>
      <c r="D11" s="41">
        <v>321</v>
      </c>
      <c r="E11" s="41">
        <v>1</v>
      </c>
      <c r="F11" s="32"/>
    </row>
    <row r="12" spans="1:6" x14ac:dyDescent="0.25">
      <c r="A12" s="40" t="s">
        <v>369</v>
      </c>
      <c r="B12" s="40"/>
      <c r="C12" s="41" t="s">
        <v>370</v>
      </c>
      <c r="D12" s="41">
        <v>306</v>
      </c>
      <c r="E12" s="41">
        <v>2</v>
      </c>
      <c r="F12" s="32"/>
    </row>
    <row r="13" spans="1:6" x14ac:dyDescent="0.25">
      <c r="A13" s="40" t="s">
        <v>371</v>
      </c>
      <c r="B13" s="40"/>
      <c r="C13" s="41" t="s">
        <v>369</v>
      </c>
      <c r="D13" s="41">
        <v>262</v>
      </c>
      <c r="E13" s="41">
        <v>2</v>
      </c>
      <c r="F13" s="32"/>
    </row>
    <row r="14" spans="1:6" x14ac:dyDescent="0.25">
      <c r="A14" s="40" t="s">
        <v>372</v>
      </c>
      <c r="B14" s="40"/>
      <c r="C14" s="41" t="s">
        <v>373</v>
      </c>
      <c r="D14" s="41">
        <v>258</v>
      </c>
      <c r="E14" s="41">
        <v>1</v>
      </c>
      <c r="F14" s="32"/>
    </row>
    <row r="15" spans="1:6" x14ac:dyDescent="0.25">
      <c r="A15" s="40" t="s">
        <v>374</v>
      </c>
      <c r="B15" s="40"/>
      <c r="C15" s="41" t="s">
        <v>375</v>
      </c>
      <c r="D15" s="41">
        <v>249</v>
      </c>
      <c r="E15" s="41">
        <v>1</v>
      </c>
      <c r="F15" s="32"/>
    </row>
    <row r="16" spans="1:6" x14ac:dyDescent="0.25">
      <c r="A16" s="40" t="s">
        <v>376</v>
      </c>
      <c r="B16" s="40"/>
      <c r="C16" s="41" t="s">
        <v>377</v>
      </c>
      <c r="D16" s="41">
        <v>216</v>
      </c>
      <c r="E16" s="41">
        <v>1</v>
      </c>
      <c r="F16" s="32"/>
    </row>
    <row r="17" spans="1:6" x14ac:dyDescent="0.25">
      <c r="A17" s="40" t="s">
        <v>378</v>
      </c>
      <c r="B17" s="40"/>
      <c r="C17" s="41" t="s">
        <v>379</v>
      </c>
      <c r="D17" s="41">
        <v>213</v>
      </c>
      <c r="E17" s="41">
        <v>1</v>
      </c>
      <c r="F17" s="32"/>
    </row>
    <row r="18" spans="1:6" x14ac:dyDescent="0.25">
      <c r="A18" s="40" t="s">
        <v>355</v>
      </c>
      <c r="B18" s="40"/>
      <c r="C18" s="41" t="s">
        <v>380</v>
      </c>
      <c r="D18" s="41">
        <v>197</v>
      </c>
      <c r="E18" s="41">
        <v>1</v>
      </c>
      <c r="F18" s="32"/>
    </row>
    <row r="19" spans="1:6" x14ac:dyDescent="0.25">
      <c r="A19" s="40" t="s">
        <v>381</v>
      </c>
      <c r="B19" s="40"/>
      <c r="C19" s="41" t="s">
        <v>382</v>
      </c>
      <c r="D19" s="41">
        <v>183</v>
      </c>
      <c r="E19" s="41">
        <v>1</v>
      </c>
      <c r="F19" s="32"/>
    </row>
    <row r="20" spans="1:6" x14ac:dyDescent="0.25">
      <c r="A20" s="40" t="s">
        <v>383</v>
      </c>
      <c r="B20" s="40"/>
      <c r="C20" s="41" t="s">
        <v>384</v>
      </c>
      <c r="D20" s="41">
        <v>179</v>
      </c>
      <c r="E20" s="41">
        <v>2</v>
      </c>
      <c r="F20" s="32"/>
    </row>
    <row r="21" spans="1:6" x14ac:dyDescent="0.25">
      <c r="A21" s="40" t="s">
        <v>385</v>
      </c>
      <c r="B21" s="40"/>
      <c r="C21" s="41" t="s">
        <v>386</v>
      </c>
      <c r="D21" s="41">
        <v>176</v>
      </c>
      <c r="E21" s="41">
        <v>1</v>
      </c>
      <c r="F21" s="32"/>
    </row>
    <row r="22" spans="1:6" x14ac:dyDescent="0.25">
      <c r="A22" s="40" t="s">
        <v>387</v>
      </c>
      <c r="B22" s="40"/>
      <c r="C22" s="41" t="s">
        <v>388</v>
      </c>
      <c r="D22" s="41">
        <v>166</v>
      </c>
      <c r="E22" s="41">
        <v>2</v>
      </c>
      <c r="F22" s="32"/>
    </row>
    <row r="23" spans="1:6" x14ac:dyDescent="0.25">
      <c r="A23" s="40" t="s">
        <v>389</v>
      </c>
      <c r="B23" s="40"/>
      <c r="C23" s="41" t="s">
        <v>390</v>
      </c>
      <c r="D23" s="41">
        <v>165</v>
      </c>
      <c r="E23" s="41">
        <v>3</v>
      </c>
      <c r="F23" s="32"/>
    </row>
    <row r="24" spans="1:6" x14ac:dyDescent="0.25">
      <c r="A24" s="40" t="s">
        <v>391</v>
      </c>
      <c r="B24" s="40"/>
      <c r="C24" s="41" t="s">
        <v>392</v>
      </c>
      <c r="D24" s="41">
        <v>150</v>
      </c>
      <c r="E24" s="41">
        <v>1</v>
      </c>
      <c r="F24" s="32"/>
    </row>
    <row r="25" spans="1:6" x14ac:dyDescent="0.25">
      <c r="A25" s="40" t="s">
        <v>388</v>
      </c>
      <c r="B25" s="38"/>
      <c r="C25" s="41" t="s">
        <v>393</v>
      </c>
      <c r="D25" s="41">
        <v>149</v>
      </c>
      <c r="E25" s="41">
        <v>1</v>
      </c>
      <c r="F25" s="32"/>
    </row>
    <row r="26" spans="1:6" x14ac:dyDescent="0.25">
      <c r="A26" s="40" t="s">
        <v>394</v>
      </c>
      <c r="B26" s="38"/>
      <c r="C26" s="41" t="s">
        <v>395</v>
      </c>
      <c r="D26" s="41">
        <v>148</v>
      </c>
      <c r="E26" s="41">
        <v>2</v>
      </c>
      <c r="F26" s="32"/>
    </row>
    <row r="27" spans="1:6" x14ac:dyDescent="0.25">
      <c r="A27" s="40" t="s">
        <v>396</v>
      </c>
      <c r="B27" s="38"/>
      <c r="C27" s="41" t="s">
        <v>397</v>
      </c>
      <c r="D27" s="41">
        <v>139</v>
      </c>
      <c r="E27" s="41">
        <v>1</v>
      </c>
      <c r="F27" s="32"/>
    </row>
    <row r="28" spans="1:6" x14ac:dyDescent="0.25">
      <c r="A28" s="40" t="s">
        <v>398</v>
      </c>
      <c r="B28" s="38"/>
      <c r="C28" s="41" t="s">
        <v>372</v>
      </c>
      <c r="D28" s="41">
        <v>120</v>
      </c>
      <c r="E28" s="41">
        <v>1</v>
      </c>
      <c r="F28" s="32"/>
    </row>
    <row r="29" spans="1:6" x14ac:dyDescent="0.25">
      <c r="A29" s="40" t="s">
        <v>399</v>
      </c>
      <c r="B29" s="38"/>
      <c r="C29" s="41" t="s">
        <v>400</v>
      </c>
      <c r="D29" s="41">
        <v>117</v>
      </c>
      <c r="E29" s="41">
        <v>1</v>
      </c>
      <c r="F29" s="32"/>
    </row>
    <row r="30" spans="1:6" x14ac:dyDescent="0.25">
      <c r="A30" s="40" t="s">
        <v>369</v>
      </c>
      <c r="B30" s="38"/>
      <c r="C30" s="41" t="s">
        <v>401</v>
      </c>
      <c r="D30" s="41">
        <v>100</v>
      </c>
      <c r="E30" s="41">
        <v>1</v>
      </c>
      <c r="F30" s="32"/>
    </row>
    <row r="31" spans="1:6" x14ac:dyDescent="0.25">
      <c r="A31" s="40" t="s">
        <v>402</v>
      </c>
      <c r="B31" s="38"/>
      <c r="C31" s="41" t="s">
        <v>403</v>
      </c>
      <c r="D31" s="41">
        <v>98</v>
      </c>
      <c r="E31" s="41">
        <v>1</v>
      </c>
      <c r="F31" s="32"/>
    </row>
    <row r="32" spans="1:6" x14ac:dyDescent="0.25">
      <c r="A32" s="32" t="s">
        <v>401</v>
      </c>
      <c r="B32" s="32"/>
      <c r="C32" s="42" t="s">
        <v>394</v>
      </c>
      <c r="D32" s="42">
        <v>96</v>
      </c>
      <c r="E32" s="42">
        <v>1</v>
      </c>
      <c r="F32" s="32"/>
    </row>
    <row r="33" spans="1:6" x14ac:dyDescent="0.25">
      <c r="A33" s="32" t="s">
        <v>404</v>
      </c>
      <c r="B33" s="32"/>
      <c r="C33" s="42" t="s">
        <v>405</v>
      </c>
      <c r="D33" s="42">
        <v>96</v>
      </c>
      <c r="E33" s="42">
        <v>1</v>
      </c>
      <c r="F33" s="32"/>
    </row>
    <row r="34" spans="1:6" x14ac:dyDescent="0.25">
      <c r="A34" s="32" t="s">
        <v>406</v>
      </c>
      <c r="B34" s="32"/>
      <c r="C34" s="42" t="s">
        <v>389</v>
      </c>
      <c r="D34" s="42">
        <v>95</v>
      </c>
      <c r="E34" s="42">
        <v>1</v>
      </c>
      <c r="F34" s="32"/>
    </row>
    <row r="35" spans="1:6" x14ac:dyDescent="0.25">
      <c r="A35" s="32" t="s">
        <v>407</v>
      </c>
      <c r="B35" s="32"/>
      <c r="C35" s="42" t="s">
        <v>408</v>
      </c>
      <c r="D35" s="42">
        <v>91</v>
      </c>
      <c r="E35" s="42">
        <v>2</v>
      </c>
      <c r="F35" s="32"/>
    </row>
    <row r="36" spans="1:6" x14ac:dyDescent="0.25">
      <c r="A36" s="32" t="s">
        <v>409</v>
      </c>
      <c r="B36" s="32"/>
      <c r="C36" s="42" t="s">
        <v>376</v>
      </c>
      <c r="D36" s="42">
        <v>91</v>
      </c>
      <c r="E36" s="42">
        <v>1</v>
      </c>
      <c r="F36" s="32"/>
    </row>
    <row r="37" spans="1:6" x14ac:dyDescent="0.25">
      <c r="A37" s="32" t="s">
        <v>410</v>
      </c>
      <c r="B37" s="32"/>
      <c r="C37" s="42" t="s">
        <v>411</v>
      </c>
      <c r="D37" s="42">
        <v>89</v>
      </c>
      <c r="E37" s="42">
        <v>1</v>
      </c>
      <c r="F37" s="32"/>
    </row>
    <row r="38" spans="1:6" x14ac:dyDescent="0.25">
      <c r="A38" s="32" t="s">
        <v>412</v>
      </c>
      <c r="B38" s="32"/>
      <c r="C38" s="42" t="s">
        <v>413</v>
      </c>
      <c r="D38" s="42">
        <v>86</v>
      </c>
      <c r="E38" s="42">
        <v>1</v>
      </c>
      <c r="F38" s="32"/>
    </row>
    <row r="39" spans="1:6" x14ac:dyDescent="0.25">
      <c r="A39" s="32" t="s">
        <v>414</v>
      </c>
      <c r="B39" s="32"/>
      <c r="C39" s="42" t="s">
        <v>415</v>
      </c>
      <c r="D39" s="42">
        <v>85</v>
      </c>
      <c r="E39" s="42">
        <v>1</v>
      </c>
      <c r="F39" s="32"/>
    </row>
    <row r="40" spans="1:6" x14ac:dyDescent="0.25">
      <c r="A40" s="32" t="s">
        <v>416</v>
      </c>
      <c r="B40" s="32"/>
      <c r="C40" s="42" t="s">
        <v>417</v>
      </c>
      <c r="D40" s="42">
        <v>84</v>
      </c>
      <c r="E40" s="42">
        <v>1</v>
      </c>
      <c r="F40" s="32"/>
    </row>
    <row r="41" spans="1:6" x14ac:dyDescent="0.25">
      <c r="A41" s="32" t="s">
        <v>418</v>
      </c>
      <c r="B41" s="32"/>
      <c r="C41" s="42" t="s">
        <v>419</v>
      </c>
      <c r="D41" s="42">
        <v>71</v>
      </c>
      <c r="E41" s="42">
        <v>1</v>
      </c>
      <c r="F41" s="32"/>
    </row>
    <row r="42" spans="1:6" x14ac:dyDescent="0.25">
      <c r="A42" s="32" t="s">
        <v>420</v>
      </c>
      <c r="B42" s="32"/>
      <c r="C42" s="42" t="s">
        <v>421</v>
      </c>
      <c r="D42" s="42">
        <v>69</v>
      </c>
      <c r="E42" s="42">
        <v>1</v>
      </c>
      <c r="F42" s="32"/>
    </row>
    <row r="43" spans="1:6" x14ac:dyDescent="0.25">
      <c r="A43" s="32" t="s">
        <v>422</v>
      </c>
      <c r="B43" s="32"/>
      <c r="C43" s="42" t="s">
        <v>423</v>
      </c>
      <c r="D43" s="42">
        <v>68</v>
      </c>
      <c r="E43" s="42">
        <v>1</v>
      </c>
      <c r="F43" s="32"/>
    </row>
    <row r="44" spans="1:6" x14ac:dyDescent="0.25">
      <c r="A44" s="32" t="s">
        <v>424</v>
      </c>
      <c r="B44" s="32"/>
      <c r="C44" s="42" t="s">
        <v>425</v>
      </c>
      <c r="D44" s="42">
        <v>65</v>
      </c>
      <c r="E44" s="42">
        <v>1</v>
      </c>
      <c r="F44" s="32"/>
    </row>
    <row r="45" spans="1:6" x14ac:dyDescent="0.25">
      <c r="A45" s="32" t="s">
        <v>426</v>
      </c>
      <c r="B45" s="32"/>
      <c r="C45" s="42" t="s">
        <v>427</v>
      </c>
      <c r="D45" s="42">
        <v>65</v>
      </c>
      <c r="E45" s="42">
        <v>1</v>
      </c>
      <c r="F45" s="32"/>
    </row>
    <row r="46" spans="1:6" x14ac:dyDescent="0.25">
      <c r="A46" s="32" t="s">
        <v>370</v>
      </c>
      <c r="B46" s="32"/>
      <c r="C46" s="42" t="s">
        <v>428</v>
      </c>
      <c r="D46" s="42">
        <v>64</v>
      </c>
      <c r="E46" s="42">
        <v>1</v>
      </c>
      <c r="F46" s="32"/>
    </row>
    <row r="47" spans="1:6" x14ac:dyDescent="0.25">
      <c r="A47" s="32" t="s">
        <v>429</v>
      </c>
      <c r="B47" s="32"/>
      <c r="C47" s="42" t="s">
        <v>430</v>
      </c>
      <c r="D47" s="42">
        <v>61</v>
      </c>
      <c r="E47" s="42">
        <v>1</v>
      </c>
      <c r="F47" s="32"/>
    </row>
    <row r="48" spans="1:6" x14ac:dyDescent="0.25">
      <c r="A48" s="32" t="s">
        <v>431</v>
      </c>
      <c r="B48" s="32"/>
      <c r="C48" s="42" t="s">
        <v>432</v>
      </c>
      <c r="D48" s="42">
        <v>59</v>
      </c>
      <c r="E48" s="42">
        <v>1</v>
      </c>
      <c r="F48" s="32"/>
    </row>
    <row r="49" spans="1:6" x14ac:dyDescent="0.25">
      <c r="A49" s="32" t="s">
        <v>433</v>
      </c>
      <c r="B49" s="32"/>
      <c r="C49" s="42" t="s">
        <v>404</v>
      </c>
      <c r="D49" s="42">
        <v>58</v>
      </c>
      <c r="E49" s="42">
        <v>1</v>
      </c>
      <c r="F49" s="32"/>
    </row>
    <row r="50" spans="1:6" x14ac:dyDescent="0.25">
      <c r="A50" s="32" t="s">
        <v>434</v>
      </c>
      <c r="B50" s="32"/>
      <c r="C50" s="42" t="s">
        <v>435</v>
      </c>
      <c r="D50" s="42">
        <v>56</v>
      </c>
      <c r="E50" s="42">
        <v>1</v>
      </c>
      <c r="F50" s="32"/>
    </row>
    <row r="51" spans="1:6" x14ac:dyDescent="0.25">
      <c r="A51" s="32" t="s">
        <v>436</v>
      </c>
      <c r="B51" s="32"/>
      <c r="C51" s="42" t="s">
        <v>350</v>
      </c>
      <c r="D51" s="42">
        <v>55</v>
      </c>
      <c r="E51" s="42">
        <v>1</v>
      </c>
      <c r="F51" s="32"/>
    </row>
    <row r="52" spans="1:6" x14ac:dyDescent="0.25">
      <c r="A52" s="32" t="s">
        <v>437</v>
      </c>
      <c r="B52" s="32"/>
      <c r="C52" s="42" t="s">
        <v>409</v>
      </c>
      <c r="D52" s="42">
        <v>51</v>
      </c>
      <c r="E52" s="42">
        <v>1</v>
      </c>
      <c r="F52" s="32"/>
    </row>
    <row r="53" spans="1:6" x14ac:dyDescent="0.25">
      <c r="A53" s="32" t="s">
        <v>438</v>
      </c>
      <c r="B53" s="32"/>
      <c r="C53" s="42" t="s">
        <v>439</v>
      </c>
      <c r="D53" s="42">
        <v>50</v>
      </c>
      <c r="E53" s="42">
        <v>1</v>
      </c>
      <c r="F53" s="32"/>
    </row>
    <row r="54" spans="1:6" x14ac:dyDescent="0.25">
      <c r="A54" s="32" t="s">
        <v>440</v>
      </c>
      <c r="B54" s="32"/>
      <c r="C54" s="42" t="s">
        <v>441</v>
      </c>
      <c r="D54" s="42">
        <v>47</v>
      </c>
      <c r="E54" s="42">
        <v>1</v>
      </c>
      <c r="F54" s="32"/>
    </row>
    <row r="55" spans="1:6" x14ac:dyDescent="0.25">
      <c r="A55" s="32" t="s">
        <v>366</v>
      </c>
      <c r="B55" s="32"/>
      <c r="C55" s="42" t="s">
        <v>422</v>
      </c>
      <c r="D55" s="42">
        <v>46</v>
      </c>
      <c r="E55" s="42">
        <v>1</v>
      </c>
      <c r="F55" s="32"/>
    </row>
    <row r="56" spans="1:6" x14ac:dyDescent="0.25">
      <c r="A56" s="32" t="s">
        <v>415</v>
      </c>
      <c r="B56" s="32"/>
      <c r="C56" s="42" t="s">
        <v>442</v>
      </c>
      <c r="D56" s="42">
        <v>45</v>
      </c>
      <c r="E56" s="42">
        <v>1</v>
      </c>
      <c r="F56" s="32"/>
    </row>
    <row r="57" spans="1:6" x14ac:dyDescent="0.25">
      <c r="A57" s="32" t="s">
        <v>443</v>
      </c>
      <c r="B57" s="32"/>
      <c r="C57" s="42" t="s">
        <v>437</v>
      </c>
      <c r="D57" s="42">
        <v>39</v>
      </c>
      <c r="E57" s="42">
        <v>1</v>
      </c>
      <c r="F57" s="32"/>
    </row>
    <row r="58" spans="1:6" x14ac:dyDescent="0.25">
      <c r="A58" s="32" t="s">
        <v>359</v>
      </c>
      <c r="B58" s="32"/>
      <c r="C58" s="42" t="s">
        <v>444</v>
      </c>
      <c r="D58" s="42">
        <v>39</v>
      </c>
      <c r="E58" s="42">
        <v>1</v>
      </c>
      <c r="F58" s="32"/>
    </row>
    <row r="59" spans="1:6" x14ac:dyDescent="0.25">
      <c r="A59" s="32" t="s">
        <v>445</v>
      </c>
      <c r="B59" s="32"/>
      <c r="C59" s="42" t="s">
        <v>391</v>
      </c>
      <c r="D59" s="42">
        <v>37</v>
      </c>
      <c r="E59" s="42">
        <v>1</v>
      </c>
      <c r="F59" s="32"/>
    </row>
    <row r="60" spans="1:6" x14ac:dyDescent="0.25">
      <c r="A60" s="32" t="s">
        <v>373</v>
      </c>
      <c r="B60" s="32"/>
      <c r="C60" s="42" t="s">
        <v>420</v>
      </c>
      <c r="D60" s="42">
        <v>37</v>
      </c>
      <c r="E60" s="42">
        <v>1</v>
      </c>
      <c r="F60" s="32"/>
    </row>
    <row r="61" spans="1:6" x14ac:dyDescent="0.25">
      <c r="A61" s="32" t="s">
        <v>397</v>
      </c>
      <c r="B61" s="32"/>
      <c r="C61" s="42" t="s">
        <v>424</v>
      </c>
      <c r="D61" s="42">
        <v>37</v>
      </c>
      <c r="E61" s="42">
        <v>1</v>
      </c>
      <c r="F61" s="32"/>
    </row>
    <row r="62" spans="1:6" x14ac:dyDescent="0.25">
      <c r="A62" s="32" t="s">
        <v>446</v>
      </c>
      <c r="B62" s="32"/>
      <c r="C62" s="42" t="s">
        <v>447</v>
      </c>
      <c r="D62" s="42">
        <v>37</v>
      </c>
      <c r="E62" s="42">
        <v>1</v>
      </c>
      <c r="F62" s="32"/>
    </row>
    <row r="63" spans="1:6" x14ac:dyDescent="0.25">
      <c r="A63" s="32" t="s">
        <v>377</v>
      </c>
      <c r="B63" s="32"/>
      <c r="C63" s="42" t="s">
        <v>448</v>
      </c>
      <c r="D63" s="42">
        <v>36</v>
      </c>
      <c r="E63" s="42">
        <v>1</v>
      </c>
      <c r="F63" s="32"/>
    </row>
    <row r="64" spans="1:6" x14ac:dyDescent="0.25">
      <c r="A64" s="32" t="s">
        <v>449</v>
      </c>
      <c r="B64" s="32"/>
      <c r="C64" s="42" t="s">
        <v>450</v>
      </c>
      <c r="D64" s="42">
        <v>35</v>
      </c>
      <c r="E64" s="42">
        <v>1</v>
      </c>
      <c r="F64" s="32"/>
    </row>
    <row r="65" spans="1:6" x14ac:dyDescent="0.25">
      <c r="A65" s="32" t="s">
        <v>361</v>
      </c>
      <c r="B65" s="32"/>
      <c r="C65" s="42" t="s">
        <v>451</v>
      </c>
      <c r="D65" s="42">
        <v>34</v>
      </c>
      <c r="E65" s="42">
        <v>1</v>
      </c>
      <c r="F65" s="32"/>
    </row>
    <row r="66" spans="1:6" x14ac:dyDescent="0.25">
      <c r="A66" s="32" t="s">
        <v>421</v>
      </c>
      <c r="B66" s="32"/>
      <c r="C66" s="42" t="s">
        <v>374</v>
      </c>
      <c r="D66" s="42">
        <v>33</v>
      </c>
      <c r="E66" s="42">
        <v>1</v>
      </c>
      <c r="F66" s="32"/>
    </row>
    <row r="67" spans="1:6" x14ac:dyDescent="0.25">
      <c r="A67" s="32" t="s">
        <v>430</v>
      </c>
      <c r="B67" s="32"/>
      <c r="C67" s="42" t="s">
        <v>452</v>
      </c>
      <c r="D67" s="42">
        <v>32</v>
      </c>
      <c r="E67" s="42">
        <v>2</v>
      </c>
      <c r="F67" s="32"/>
    </row>
    <row r="68" spans="1:6" x14ac:dyDescent="0.25">
      <c r="A68" s="32" t="s">
        <v>408</v>
      </c>
      <c r="B68" s="32"/>
      <c r="C68" s="42" t="s">
        <v>453</v>
      </c>
      <c r="D68" s="42">
        <v>32</v>
      </c>
      <c r="E68" s="42">
        <v>1</v>
      </c>
      <c r="F68" s="32"/>
    </row>
    <row r="69" spans="1:6" x14ac:dyDescent="0.25">
      <c r="A69" s="32" t="s">
        <v>454</v>
      </c>
      <c r="B69" s="32"/>
      <c r="C69" s="42" t="s">
        <v>387</v>
      </c>
      <c r="D69" s="42">
        <v>31</v>
      </c>
      <c r="E69" s="42">
        <v>1</v>
      </c>
      <c r="F69" s="32"/>
    </row>
    <row r="70" spans="1:6" x14ac:dyDescent="0.25">
      <c r="A70" s="32" t="s">
        <v>390</v>
      </c>
      <c r="B70" s="32"/>
      <c r="C70" s="42" t="s">
        <v>443</v>
      </c>
      <c r="D70" s="42">
        <v>31</v>
      </c>
      <c r="E70" s="42">
        <v>1</v>
      </c>
      <c r="F70" s="32"/>
    </row>
    <row r="71" spans="1:6" x14ac:dyDescent="0.25">
      <c r="A71" s="32" t="s">
        <v>455</v>
      </c>
      <c r="B71" s="32"/>
      <c r="C71" s="42" t="s">
        <v>456</v>
      </c>
      <c r="D71" s="42">
        <v>31</v>
      </c>
      <c r="E71" s="42">
        <v>1</v>
      </c>
      <c r="F71" s="32"/>
    </row>
    <row r="72" spans="1:6" x14ac:dyDescent="0.25">
      <c r="A72" s="32" t="s">
        <v>456</v>
      </c>
      <c r="B72" s="32"/>
      <c r="C72" s="42" t="s">
        <v>457</v>
      </c>
      <c r="D72" s="42">
        <v>31</v>
      </c>
      <c r="E72" s="42">
        <v>1</v>
      </c>
      <c r="F72" s="32"/>
    </row>
    <row r="73" spans="1:6" x14ac:dyDescent="0.25">
      <c r="A73" s="32" t="s">
        <v>375</v>
      </c>
      <c r="B73" s="32"/>
      <c r="C73" s="42" t="s">
        <v>458</v>
      </c>
      <c r="D73" s="42">
        <v>26</v>
      </c>
      <c r="E73" s="42">
        <v>3</v>
      </c>
      <c r="F73" s="32"/>
    </row>
    <row r="74" spans="1:6" x14ac:dyDescent="0.25">
      <c r="A74" s="32" t="s">
        <v>357</v>
      </c>
      <c r="B74" s="32"/>
      <c r="C74" s="42" t="s">
        <v>459</v>
      </c>
      <c r="D74" s="42">
        <v>26</v>
      </c>
      <c r="E74" s="42">
        <v>1</v>
      </c>
      <c r="F74" s="32"/>
    </row>
    <row r="75" spans="1:6" x14ac:dyDescent="0.25">
      <c r="A75" s="32" t="s">
        <v>441</v>
      </c>
      <c r="B75" s="32"/>
      <c r="C75" s="42" t="s">
        <v>454</v>
      </c>
      <c r="D75" s="42">
        <v>25</v>
      </c>
      <c r="E75" s="42">
        <v>2</v>
      </c>
      <c r="F75" s="32"/>
    </row>
    <row r="76" spans="1:6" x14ac:dyDescent="0.25">
      <c r="A76" s="32" t="s">
        <v>460</v>
      </c>
      <c r="B76" s="32"/>
      <c r="C76" s="42" t="s">
        <v>354</v>
      </c>
      <c r="D76" s="42">
        <v>25</v>
      </c>
      <c r="E76" s="42">
        <v>1</v>
      </c>
      <c r="F76" s="32"/>
    </row>
    <row r="77" spans="1:6" x14ac:dyDescent="0.25">
      <c r="A77" s="32" t="s">
        <v>461</v>
      </c>
      <c r="B77" s="32"/>
      <c r="C77" s="42" t="s">
        <v>462</v>
      </c>
      <c r="D77" s="42">
        <v>24</v>
      </c>
      <c r="E77" s="42">
        <v>1</v>
      </c>
      <c r="F77" s="32"/>
    </row>
    <row r="78" spans="1:6" x14ac:dyDescent="0.25">
      <c r="A78" s="32" t="s">
        <v>463</v>
      </c>
      <c r="B78" s="32"/>
      <c r="C78" s="42" t="s">
        <v>464</v>
      </c>
      <c r="D78" s="42">
        <v>24</v>
      </c>
      <c r="E78" s="42">
        <v>1</v>
      </c>
      <c r="F78" s="32"/>
    </row>
    <row r="79" spans="1:6" x14ac:dyDescent="0.25">
      <c r="A79" s="32" t="s">
        <v>462</v>
      </c>
      <c r="B79" s="32"/>
      <c r="C79" s="42" t="s">
        <v>465</v>
      </c>
      <c r="D79" s="42">
        <v>24</v>
      </c>
      <c r="E79" s="42">
        <v>1</v>
      </c>
      <c r="F79" s="32"/>
    </row>
    <row r="80" spans="1:6" x14ac:dyDescent="0.25">
      <c r="A80" s="32" t="s">
        <v>466</v>
      </c>
      <c r="B80" s="32"/>
      <c r="C80" s="42" t="s">
        <v>431</v>
      </c>
      <c r="D80" s="42">
        <v>22</v>
      </c>
      <c r="E80" s="42">
        <v>1</v>
      </c>
      <c r="F80" s="32"/>
    </row>
    <row r="81" spans="1:6" x14ac:dyDescent="0.25">
      <c r="A81" s="32" t="s">
        <v>467</v>
      </c>
      <c r="B81" s="32"/>
      <c r="C81" s="42" t="s">
        <v>399</v>
      </c>
      <c r="D81" s="42">
        <v>21</v>
      </c>
      <c r="E81" s="42">
        <v>1</v>
      </c>
      <c r="F81" s="32"/>
    </row>
    <row r="82" spans="1:6" x14ac:dyDescent="0.25">
      <c r="A82" s="32" t="s">
        <v>468</v>
      </c>
      <c r="B82" s="32"/>
      <c r="C82" s="42" t="s">
        <v>367</v>
      </c>
      <c r="D82" s="42">
        <v>20</v>
      </c>
      <c r="E82" s="42">
        <v>1</v>
      </c>
      <c r="F82" s="32"/>
    </row>
    <row r="83" spans="1:6" x14ac:dyDescent="0.25">
      <c r="A83" s="32" t="s">
        <v>469</v>
      </c>
      <c r="B83" s="32"/>
      <c r="C83" s="42" t="s">
        <v>385</v>
      </c>
      <c r="D83" s="42">
        <v>20</v>
      </c>
      <c r="E83" s="42">
        <v>1</v>
      </c>
      <c r="F83" s="32"/>
    </row>
    <row r="84" spans="1:6" x14ac:dyDescent="0.25">
      <c r="A84" s="32" t="s">
        <v>470</v>
      </c>
      <c r="B84" s="32"/>
      <c r="C84" s="42" t="s">
        <v>471</v>
      </c>
      <c r="D84" s="42">
        <v>20</v>
      </c>
      <c r="E84" s="42">
        <v>1</v>
      </c>
      <c r="F84" s="32"/>
    </row>
    <row r="85" spans="1:6" x14ac:dyDescent="0.25">
      <c r="A85" s="32" t="s">
        <v>472</v>
      </c>
      <c r="B85" s="32"/>
      <c r="C85" s="42" t="s">
        <v>473</v>
      </c>
      <c r="D85" s="42">
        <v>20</v>
      </c>
      <c r="E85" s="42">
        <v>1</v>
      </c>
      <c r="F85" s="32"/>
    </row>
    <row r="86" spans="1:6" x14ac:dyDescent="0.25">
      <c r="A86" s="32" t="s">
        <v>474</v>
      </c>
      <c r="B86" s="32"/>
      <c r="C86" s="42" t="s">
        <v>475</v>
      </c>
      <c r="D86" s="42">
        <v>20</v>
      </c>
      <c r="E86" s="42">
        <v>1</v>
      </c>
      <c r="F86" s="32"/>
    </row>
    <row r="87" spans="1:6" x14ac:dyDescent="0.25">
      <c r="A87" s="32" t="s">
        <v>476</v>
      </c>
      <c r="B87" s="32"/>
      <c r="C87" s="42" t="s">
        <v>463</v>
      </c>
      <c r="D87" s="42">
        <v>19</v>
      </c>
      <c r="E87" s="42">
        <v>1</v>
      </c>
      <c r="F87" s="32"/>
    </row>
    <row r="88" spans="1:6" x14ac:dyDescent="0.25">
      <c r="A88" s="32" t="s">
        <v>477</v>
      </c>
      <c r="B88" s="32"/>
      <c r="C88" s="42" t="s">
        <v>478</v>
      </c>
      <c r="D88" s="42">
        <v>19</v>
      </c>
      <c r="E88" s="42">
        <v>1</v>
      </c>
      <c r="F88" s="32"/>
    </row>
    <row r="89" spans="1:6" x14ac:dyDescent="0.25">
      <c r="A89" s="32" t="s">
        <v>479</v>
      </c>
      <c r="B89" s="32"/>
      <c r="C89" s="42" t="s">
        <v>480</v>
      </c>
      <c r="D89" s="42">
        <v>18</v>
      </c>
      <c r="E89" s="42">
        <v>1</v>
      </c>
      <c r="F89" s="32"/>
    </row>
    <row r="90" spans="1:6" x14ac:dyDescent="0.25">
      <c r="A90" s="32" t="s">
        <v>370</v>
      </c>
      <c r="B90" s="32"/>
      <c r="C90" s="42" t="s">
        <v>414</v>
      </c>
      <c r="D90" s="42">
        <v>17</v>
      </c>
      <c r="E90" s="42">
        <v>1</v>
      </c>
      <c r="F90" s="32"/>
    </row>
    <row r="91" spans="1:6" x14ac:dyDescent="0.25">
      <c r="A91" s="32" t="s">
        <v>481</v>
      </c>
      <c r="B91" s="32"/>
      <c r="C91" s="42" t="s">
        <v>482</v>
      </c>
      <c r="D91" s="42">
        <v>17</v>
      </c>
      <c r="E91" s="42">
        <v>1</v>
      </c>
      <c r="F91" s="32"/>
    </row>
    <row r="92" spans="1:6" x14ac:dyDescent="0.25">
      <c r="A92" s="32" t="s">
        <v>483</v>
      </c>
      <c r="B92" s="32"/>
      <c r="C92" s="42" t="s">
        <v>484</v>
      </c>
      <c r="D92" s="42">
        <v>17</v>
      </c>
      <c r="E92" s="42">
        <v>1</v>
      </c>
      <c r="F92" s="32"/>
    </row>
    <row r="93" spans="1:6" x14ac:dyDescent="0.25">
      <c r="A93" s="32" t="s">
        <v>485</v>
      </c>
      <c r="B93" s="32"/>
      <c r="C93" s="42" t="s">
        <v>396</v>
      </c>
      <c r="D93" s="42">
        <v>16</v>
      </c>
      <c r="E93" s="42">
        <v>1</v>
      </c>
      <c r="F93" s="32"/>
    </row>
    <row r="94" spans="1:6" x14ac:dyDescent="0.25">
      <c r="A94" s="32" t="s">
        <v>368</v>
      </c>
      <c r="B94" s="32"/>
      <c r="C94" s="42" t="s">
        <v>445</v>
      </c>
      <c r="D94" s="42">
        <v>16</v>
      </c>
      <c r="E94" s="42">
        <v>1</v>
      </c>
      <c r="F94" s="32"/>
    </row>
    <row r="95" spans="1:6" x14ac:dyDescent="0.25">
      <c r="A95" s="32" t="s">
        <v>439</v>
      </c>
      <c r="B95" s="32"/>
      <c r="C95" s="42" t="s">
        <v>486</v>
      </c>
      <c r="D95" s="42">
        <v>16</v>
      </c>
      <c r="E95" s="42">
        <v>1</v>
      </c>
      <c r="F95" s="32"/>
    </row>
    <row r="96" spans="1:6" x14ac:dyDescent="0.25">
      <c r="A96" s="32" t="s">
        <v>487</v>
      </c>
      <c r="B96" s="32"/>
      <c r="C96" s="42" t="s">
        <v>481</v>
      </c>
      <c r="D96" s="42">
        <v>15</v>
      </c>
      <c r="E96" s="42">
        <v>1</v>
      </c>
      <c r="F96" s="32"/>
    </row>
    <row r="97" spans="1:6" x14ac:dyDescent="0.25">
      <c r="A97" s="32" t="s">
        <v>488</v>
      </c>
      <c r="B97" s="32"/>
      <c r="C97" s="42" t="s">
        <v>489</v>
      </c>
      <c r="D97" s="42">
        <v>15</v>
      </c>
      <c r="E97" s="42">
        <v>1</v>
      </c>
      <c r="F97" s="32"/>
    </row>
    <row r="98" spans="1:6" x14ac:dyDescent="0.25">
      <c r="A98" s="32" t="s">
        <v>413</v>
      </c>
      <c r="B98" s="32"/>
      <c r="C98" s="42" t="s">
        <v>490</v>
      </c>
      <c r="D98" s="42">
        <v>15</v>
      </c>
      <c r="E98" s="42">
        <v>1</v>
      </c>
      <c r="F98" s="32"/>
    </row>
    <row r="99" spans="1:6" x14ac:dyDescent="0.25">
      <c r="A99" s="32" t="s">
        <v>471</v>
      </c>
      <c r="B99" s="32"/>
      <c r="C99" s="42" t="s">
        <v>491</v>
      </c>
      <c r="D99" s="42">
        <v>15</v>
      </c>
      <c r="E99" s="42">
        <v>1</v>
      </c>
      <c r="F99" s="32"/>
    </row>
    <row r="100" spans="1:6" x14ac:dyDescent="0.25">
      <c r="A100" s="32" t="s">
        <v>473</v>
      </c>
      <c r="B100" s="32"/>
      <c r="C100" s="42" t="s">
        <v>364</v>
      </c>
      <c r="D100" s="42">
        <v>14</v>
      </c>
      <c r="E100" s="42">
        <v>1</v>
      </c>
      <c r="F100" s="32"/>
    </row>
    <row r="101" spans="1:6" x14ac:dyDescent="0.25">
      <c r="A101" s="32" t="s">
        <v>482</v>
      </c>
      <c r="B101" s="32"/>
      <c r="C101" s="42" t="s">
        <v>383</v>
      </c>
      <c r="D101" s="42">
        <v>14</v>
      </c>
      <c r="E101" s="42">
        <v>1</v>
      </c>
      <c r="F101" s="32"/>
    </row>
    <row r="102" spans="1:6" x14ac:dyDescent="0.25">
      <c r="A102" s="32" t="s">
        <v>452</v>
      </c>
      <c r="B102" s="32"/>
      <c r="C102" s="42" t="s">
        <v>433</v>
      </c>
      <c r="D102" s="42">
        <v>14</v>
      </c>
      <c r="E102" s="42">
        <v>1</v>
      </c>
      <c r="F102" s="32"/>
    </row>
    <row r="103" spans="1:6" x14ac:dyDescent="0.25">
      <c r="A103" s="32" t="s">
        <v>492</v>
      </c>
      <c r="B103" s="32"/>
      <c r="C103" s="42" t="s">
        <v>460</v>
      </c>
      <c r="D103" s="42">
        <v>14</v>
      </c>
      <c r="E103" s="42">
        <v>1</v>
      </c>
      <c r="F103" s="32"/>
    </row>
    <row r="104" spans="1:6" x14ac:dyDescent="0.25">
      <c r="A104" s="32" t="s">
        <v>493</v>
      </c>
      <c r="B104" s="32"/>
      <c r="C104" s="42" t="s">
        <v>494</v>
      </c>
      <c r="D104" s="42">
        <v>14</v>
      </c>
      <c r="E104" s="42">
        <v>1</v>
      </c>
      <c r="F104" s="32"/>
    </row>
    <row r="105" spans="1:6" x14ac:dyDescent="0.25">
      <c r="A105" s="32" t="s">
        <v>495</v>
      </c>
      <c r="B105" s="32"/>
      <c r="C105" s="42" t="s">
        <v>496</v>
      </c>
      <c r="D105" s="42">
        <v>14</v>
      </c>
      <c r="E105" s="42">
        <v>1</v>
      </c>
      <c r="F105" s="32"/>
    </row>
    <row r="106" spans="1:6" x14ac:dyDescent="0.25">
      <c r="A106" s="32" t="s">
        <v>497</v>
      </c>
      <c r="B106" s="32"/>
      <c r="C106" s="42" t="s">
        <v>378</v>
      </c>
      <c r="D106" s="42">
        <v>13</v>
      </c>
      <c r="E106" s="42">
        <v>1</v>
      </c>
      <c r="F106" s="32"/>
    </row>
    <row r="107" spans="1:6" x14ac:dyDescent="0.25">
      <c r="A107" s="32" t="s">
        <v>498</v>
      </c>
      <c r="B107" s="32"/>
      <c r="C107" s="42" t="s">
        <v>499</v>
      </c>
      <c r="D107" s="42">
        <v>13</v>
      </c>
      <c r="E107" s="42">
        <v>1</v>
      </c>
      <c r="F107" s="32"/>
    </row>
    <row r="108" spans="1:6" x14ac:dyDescent="0.25">
      <c r="A108" s="32" t="s">
        <v>500</v>
      </c>
      <c r="B108" s="32"/>
      <c r="C108" s="42" t="s">
        <v>501</v>
      </c>
      <c r="D108" s="42">
        <v>13</v>
      </c>
      <c r="E108" s="42">
        <v>1</v>
      </c>
      <c r="F108" s="32"/>
    </row>
    <row r="109" spans="1:6" x14ac:dyDescent="0.25">
      <c r="A109" s="32" t="s">
        <v>425</v>
      </c>
      <c r="B109" s="32"/>
      <c r="C109" s="42" t="s">
        <v>449</v>
      </c>
      <c r="D109" s="42">
        <v>12</v>
      </c>
      <c r="E109" s="42">
        <v>1</v>
      </c>
      <c r="F109" s="32"/>
    </row>
    <row r="110" spans="1:6" x14ac:dyDescent="0.25">
      <c r="A110" s="32" t="s">
        <v>484</v>
      </c>
      <c r="B110" s="32"/>
      <c r="C110" s="42" t="s">
        <v>455</v>
      </c>
      <c r="D110" s="42">
        <v>12</v>
      </c>
      <c r="E110" s="42">
        <v>1</v>
      </c>
      <c r="F110" s="32"/>
    </row>
    <row r="111" spans="1:6" x14ac:dyDescent="0.25">
      <c r="A111" s="32" t="s">
        <v>405</v>
      </c>
      <c r="B111" s="32"/>
      <c r="C111" s="42" t="s">
        <v>436</v>
      </c>
      <c r="D111" s="42">
        <v>11</v>
      </c>
      <c r="E111" s="42">
        <v>1</v>
      </c>
      <c r="F111" s="32"/>
    </row>
    <row r="112" spans="1:6" x14ac:dyDescent="0.25">
      <c r="A112" s="32" t="s">
        <v>502</v>
      </c>
      <c r="B112" s="32"/>
      <c r="C112" s="42" t="s">
        <v>502</v>
      </c>
      <c r="D112" s="42">
        <v>11</v>
      </c>
      <c r="E112" s="42">
        <v>1</v>
      </c>
      <c r="F112" s="32"/>
    </row>
    <row r="113" spans="1:6" x14ac:dyDescent="0.25">
      <c r="A113" s="32" t="s">
        <v>417</v>
      </c>
      <c r="B113" s="32"/>
      <c r="C113" s="42" t="s">
        <v>371</v>
      </c>
      <c r="D113" s="42">
        <v>10</v>
      </c>
      <c r="E113" s="42">
        <v>1</v>
      </c>
      <c r="F113" s="32"/>
    </row>
    <row r="114" spans="1:6" x14ac:dyDescent="0.25">
      <c r="A114" s="32" t="s">
        <v>489</v>
      </c>
      <c r="B114" s="32"/>
      <c r="C114" s="42" t="s">
        <v>398</v>
      </c>
      <c r="D114" s="42">
        <v>10</v>
      </c>
      <c r="E114" s="42">
        <v>1</v>
      </c>
      <c r="F114" s="32"/>
    </row>
    <row r="115" spans="1:6" x14ac:dyDescent="0.25">
      <c r="A115" s="32" t="s">
        <v>451</v>
      </c>
      <c r="B115" s="32"/>
      <c r="C115" s="42" t="s">
        <v>410</v>
      </c>
      <c r="D115" s="42">
        <v>9</v>
      </c>
      <c r="E115" s="42">
        <v>1</v>
      </c>
      <c r="F115" s="32"/>
    </row>
    <row r="116" spans="1:6" x14ac:dyDescent="0.25">
      <c r="A116" s="32" t="s">
        <v>494</v>
      </c>
      <c r="B116" s="32"/>
      <c r="C116" s="42" t="s">
        <v>438</v>
      </c>
      <c r="D116" s="42">
        <v>9</v>
      </c>
      <c r="E116" s="42">
        <v>1</v>
      </c>
      <c r="F116" s="32"/>
    </row>
    <row r="117" spans="1:6" x14ac:dyDescent="0.25">
      <c r="A117" s="32" t="s">
        <v>353</v>
      </c>
      <c r="B117" s="32"/>
      <c r="C117" s="42" t="s">
        <v>429</v>
      </c>
      <c r="D117" s="42">
        <v>8</v>
      </c>
      <c r="E117" s="42">
        <v>1</v>
      </c>
      <c r="F117" s="32"/>
    </row>
    <row r="118" spans="1:6" x14ac:dyDescent="0.25">
      <c r="A118" s="32" t="s">
        <v>363</v>
      </c>
      <c r="C118" s="42" t="s">
        <v>476</v>
      </c>
      <c r="D118" s="42">
        <v>8</v>
      </c>
      <c r="E118" s="42">
        <v>1</v>
      </c>
      <c r="F118" s="32"/>
    </row>
    <row r="119" spans="1:6" x14ac:dyDescent="0.25">
      <c r="A119" s="32" t="s">
        <v>393</v>
      </c>
      <c r="B119" s="32"/>
      <c r="C119" s="42" t="s">
        <v>503</v>
      </c>
      <c r="D119" s="42">
        <v>8</v>
      </c>
      <c r="E119" s="42">
        <v>1</v>
      </c>
      <c r="F119" s="32"/>
    </row>
    <row r="120" spans="1:6" x14ac:dyDescent="0.25">
      <c r="A120" s="32" t="s">
        <v>419</v>
      </c>
      <c r="B120" s="32"/>
      <c r="C120" s="42" t="s">
        <v>504</v>
      </c>
      <c r="D120" s="42">
        <v>8</v>
      </c>
      <c r="E120" s="42">
        <v>1</v>
      </c>
      <c r="F120" s="32"/>
    </row>
    <row r="121" spans="1:6" x14ac:dyDescent="0.25">
      <c r="A121" s="32" t="s">
        <v>448</v>
      </c>
      <c r="B121" s="32"/>
      <c r="C121" s="42" t="s">
        <v>505</v>
      </c>
      <c r="D121" s="42">
        <v>8</v>
      </c>
      <c r="E121" s="42">
        <v>1</v>
      </c>
      <c r="F121" s="32"/>
    </row>
    <row r="122" spans="1:6" x14ac:dyDescent="0.25">
      <c r="A122" s="32" t="s">
        <v>444</v>
      </c>
      <c r="B122" s="32"/>
      <c r="C122" s="42" t="s">
        <v>466</v>
      </c>
      <c r="D122" s="42">
        <v>7</v>
      </c>
      <c r="E122" s="42">
        <v>1</v>
      </c>
      <c r="F122" s="32"/>
    </row>
    <row r="123" spans="1:6" x14ac:dyDescent="0.25">
      <c r="A123" s="32" t="s">
        <v>464</v>
      </c>
      <c r="B123" s="32"/>
      <c r="C123" s="42" t="s">
        <v>493</v>
      </c>
      <c r="D123" s="42">
        <v>7</v>
      </c>
      <c r="E123" s="42">
        <v>1</v>
      </c>
      <c r="F123" s="32"/>
    </row>
    <row r="124" spans="1:6" x14ac:dyDescent="0.25">
      <c r="A124" s="32" t="s">
        <v>506</v>
      </c>
      <c r="B124" s="32"/>
      <c r="C124" s="42" t="s">
        <v>507</v>
      </c>
      <c r="D124" s="42">
        <v>7</v>
      </c>
      <c r="E124" s="42">
        <v>1</v>
      </c>
      <c r="F124" s="32"/>
    </row>
    <row r="125" spans="1:6" x14ac:dyDescent="0.25">
      <c r="A125" s="32" t="s">
        <v>403</v>
      </c>
      <c r="B125" s="32"/>
      <c r="C125" s="42" t="s">
        <v>508</v>
      </c>
      <c r="D125" s="42">
        <v>6</v>
      </c>
      <c r="E125" s="42">
        <v>2</v>
      </c>
      <c r="F125" s="32"/>
    </row>
    <row r="126" spans="1:6" x14ac:dyDescent="0.25">
      <c r="A126" s="32" t="s">
        <v>442</v>
      </c>
      <c r="B126" s="32"/>
      <c r="C126" s="42" t="s">
        <v>356</v>
      </c>
      <c r="D126" s="42">
        <v>6</v>
      </c>
      <c r="E126" s="42">
        <v>1</v>
      </c>
      <c r="F126" s="32"/>
    </row>
    <row r="127" spans="1:6" x14ac:dyDescent="0.25">
      <c r="A127" s="32" t="s">
        <v>509</v>
      </c>
      <c r="B127" s="32"/>
      <c r="C127" s="42" t="s">
        <v>406</v>
      </c>
      <c r="D127" s="42">
        <v>6</v>
      </c>
      <c r="E127" s="42">
        <v>1</v>
      </c>
      <c r="F127" s="32"/>
    </row>
    <row r="128" spans="1:6" x14ac:dyDescent="0.25">
      <c r="A128" s="32" t="s">
        <v>510</v>
      </c>
      <c r="B128" s="32"/>
      <c r="C128" s="42" t="s">
        <v>497</v>
      </c>
      <c r="D128" s="42">
        <v>6</v>
      </c>
      <c r="E128" s="42">
        <v>1</v>
      </c>
      <c r="F128" s="32"/>
    </row>
    <row r="129" spans="1:6" x14ac:dyDescent="0.25">
      <c r="A129" s="32" t="s">
        <v>511</v>
      </c>
      <c r="B129" s="32"/>
      <c r="C129" s="42" t="s">
        <v>512</v>
      </c>
      <c r="D129" s="42">
        <v>6</v>
      </c>
      <c r="E129" s="42">
        <v>1</v>
      </c>
      <c r="F129" s="32"/>
    </row>
    <row r="130" spans="1:6" x14ac:dyDescent="0.25">
      <c r="A130" s="32" t="s">
        <v>513</v>
      </c>
      <c r="B130" s="32"/>
      <c r="C130" s="42" t="s">
        <v>514</v>
      </c>
      <c r="D130" s="42">
        <v>6</v>
      </c>
      <c r="E130" s="42">
        <v>1</v>
      </c>
      <c r="F130" s="32"/>
    </row>
    <row r="131" spans="1:6" x14ac:dyDescent="0.25">
      <c r="A131" s="32" t="s">
        <v>388</v>
      </c>
      <c r="B131" s="32"/>
      <c r="C131" s="42" t="s">
        <v>467</v>
      </c>
      <c r="D131" s="42">
        <v>5</v>
      </c>
      <c r="E131" s="42">
        <v>1</v>
      </c>
      <c r="F131" s="32"/>
    </row>
    <row r="132" spans="1:6" x14ac:dyDescent="0.25">
      <c r="A132" s="32" t="s">
        <v>515</v>
      </c>
      <c r="B132" s="32"/>
      <c r="C132" s="42" t="s">
        <v>506</v>
      </c>
      <c r="D132" s="42">
        <v>5</v>
      </c>
      <c r="E132" s="42">
        <v>1</v>
      </c>
      <c r="F132" s="32"/>
    </row>
    <row r="133" spans="1:6" x14ac:dyDescent="0.25">
      <c r="A133" s="32" t="s">
        <v>516</v>
      </c>
      <c r="B133" s="32"/>
      <c r="C133" s="42" t="s">
        <v>517</v>
      </c>
      <c r="D133" s="42">
        <v>5</v>
      </c>
      <c r="E133" s="42">
        <v>1</v>
      </c>
      <c r="F133" s="32"/>
    </row>
    <row r="134" spans="1:6" x14ac:dyDescent="0.25">
      <c r="A134" s="32" t="s">
        <v>480</v>
      </c>
      <c r="B134" s="32"/>
      <c r="C134" s="42" t="s">
        <v>492</v>
      </c>
      <c r="D134" s="42">
        <v>4</v>
      </c>
      <c r="E134" s="42">
        <v>4</v>
      </c>
      <c r="F134" s="32"/>
    </row>
    <row r="135" spans="1:6" x14ac:dyDescent="0.25">
      <c r="A135" s="32" t="s">
        <v>499</v>
      </c>
      <c r="B135" s="32"/>
      <c r="C135" s="42" t="s">
        <v>468</v>
      </c>
      <c r="D135" s="42">
        <v>4</v>
      </c>
      <c r="E135" s="42">
        <v>1</v>
      </c>
      <c r="F135" s="32"/>
    </row>
    <row r="136" spans="1:6" x14ac:dyDescent="0.25">
      <c r="A136" s="32" t="s">
        <v>518</v>
      </c>
      <c r="B136" s="32"/>
      <c r="C136" s="42" t="s">
        <v>495</v>
      </c>
      <c r="D136" s="42">
        <v>4</v>
      </c>
      <c r="E136" s="42">
        <v>1</v>
      </c>
      <c r="F136" s="32"/>
    </row>
    <row r="137" spans="1:6" x14ac:dyDescent="0.25">
      <c r="A137" s="32" t="s">
        <v>519</v>
      </c>
      <c r="B137" s="32"/>
      <c r="C137" s="42" t="s">
        <v>518</v>
      </c>
      <c r="D137" s="42">
        <v>4</v>
      </c>
      <c r="E137" s="42">
        <v>1</v>
      </c>
      <c r="F137" s="32"/>
    </row>
    <row r="138" spans="1:6" x14ac:dyDescent="0.25">
      <c r="A138" s="32" t="s">
        <v>520</v>
      </c>
      <c r="B138" s="32"/>
      <c r="C138" s="42" t="s">
        <v>521</v>
      </c>
      <c r="D138" s="42">
        <v>4</v>
      </c>
      <c r="E138" s="42">
        <v>1</v>
      </c>
      <c r="F138" s="32"/>
    </row>
    <row r="139" spans="1:6" x14ac:dyDescent="0.25">
      <c r="A139" s="32" t="s">
        <v>522</v>
      </c>
      <c r="B139" s="32"/>
      <c r="C139" s="42" t="s">
        <v>523</v>
      </c>
      <c r="D139" s="42">
        <v>4</v>
      </c>
      <c r="E139" s="42">
        <v>1</v>
      </c>
      <c r="F139" s="32"/>
    </row>
    <row r="140" spans="1:6" x14ac:dyDescent="0.25">
      <c r="A140" s="32" t="s">
        <v>435</v>
      </c>
      <c r="B140" s="32"/>
      <c r="C140" s="42" t="s">
        <v>524</v>
      </c>
      <c r="D140" s="42">
        <v>4</v>
      </c>
      <c r="E140" s="42">
        <v>1</v>
      </c>
      <c r="F140" s="32"/>
    </row>
    <row r="141" spans="1:6" x14ac:dyDescent="0.25">
      <c r="A141" s="32" t="s">
        <v>478</v>
      </c>
      <c r="B141" s="32"/>
      <c r="C141" s="42" t="s">
        <v>352</v>
      </c>
      <c r="D141" s="42">
        <v>3</v>
      </c>
      <c r="E141" s="42">
        <v>1</v>
      </c>
      <c r="F141" s="32"/>
    </row>
    <row r="142" spans="1:6" x14ac:dyDescent="0.25">
      <c r="A142" s="32" t="s">
        <v>503</v>
      </c>
      <c r="B142" s="32"/>
      <c r="C142" s="42" t="s">
        <v>461</v>
      </c>
      <c r="D142" s="42">
        <v>3</v>
      </c>
      <c r="E142" s="42">
        <v>1</v>
      </c>
      <c r="F142" s="32"/>
    </row>
    <row r="143" spans="1:6" x14ac:dyDescent="0.25">
      <c r="A143" s="32" t="s">
        <v>512</v>
      </c>
      <c r="B143" s="32"/>
      <c r="C143" s="42" t="s">
        <v>513</v>
      </c>
      <c r="D143" s="42">
        <v>3</v>
      </c>
      <c r="E143" s="42">
        <v>1</v>
      </c>
      <c r="F143" s="32"/>
    </row>
    <row r="144" spans="1:6" x14ac:dyDescent="0.25">
      <c r="A144" s="32" t="s">
        <v>514</v>
      </c>
      <c r="B144" s="32"/>
      <c r="C144" s="42" t="s">
        <v>525</v>
      </c>
      <c r="D144" s="42">
        <v>3</v>
      </c>
      <c r="E144" s="42">
        <v>1</v>
      </c>
      <c r="F144" s="32"/>
    </row>
    <row r="145" spans="1:6" x14ac:dyDescent="0.25">
      <c r="A145" s="32" t="s">
        <v>525</v>
      </c>
      <c r="B145" s="32"/>
      <c r="C145" s="42" t="s">
        <v>526</v>
      </c>
      <c r="D145" s="42">
        <v>3</v>
      </c>
      <c r="E145" s="42">
        <v>1</v>
      </c>
      <c r="F145" s="32"/>
    </row>
    <row r="146" spans="1:6" x14ac:dyDescent="0.25">
      <c r="A146" s="32" t="s">
        <v>527</v>
      </c>
      <c r="B146" s="32"/>
      <c r="C146" s="42" t="s">
        <v>528</v>
      </c>
      <c r="D146" s="42">
        <v>3</v>
      </c>
      <c r="E146" s="42">
        <v>1</v>
      </c>
      <c r="F146" s="32"/>
    </row>
    <row r="147" spans="1:6" x14ac:dyDescent="0.25">
      <c r="A147" s="32" t="s">
        <v>382</v>
      </c>
      <c r="B147" s="32"/>
      <c r="C147" s="42" t="s">
        <v>529</v>
      </c>
      <c r="D147" s="42">
        <v>3</v>
      </c>
      <c r="E147" s="42">
        <v>1</v>
      </c>
      <c r="F147" s="32"/>
    </row>
    <row r="148" spans="1:6" x14ac:dyDescent="0.25">
      <c r="A148" s="32" t="s">
        <v>392</v>
      </c>
      <c r="B148" s="32"/>
      <c r="C148" s="42" t="s">
        <v>358</v>
      </c>
      <c r="D148" s="42">
        <v>2</v>
      </c>
      <c r="E148" s="42">
        <v>1</v>
      </c>
      <c r="F148" s="32"/>
    </row>
    <row r="149" spans="1:6" x14ac:dyDescent="0.25">
      <c r="A149" s="32" t="s">
        <v>423</v>
      </c>
      <c r="B149" s="32"/>
      <c r="C149" s="42" t="s">
        <v>360</v>
      </c>
      <c r="D149" s="42">
        <v>2</v>
      </c>
      <c r="E149" s="42">
        <v>1</v>
      </c>
      <c r="F149" s="32"/>
    </row>
    <row r="150" spans="1:6" x14ac:dyDescent="0.25">
      <c r="A150" s="32" t="s">
        <v>428</v>
      </c>
      <c r="B150" s="32"/>
      <c r="C150" s="42" t="s">
        <v>381</v>
      </c>
      <c r="D150" s="42">
        <v>2</v>
      </c>
      <c r="E150" s="42">
        <v>1</v>
      </c>
      <c r="F150" s="32"/>
    </row>
    <row r="151" spans="1:6" x14ac:dyDescent="0.25">
      <c r="A151" s="32" t="s">
        <v>447</v>
      </c>
      <c r="B151" s="32"/>
      <c r="C151" s="42" t="s">
        <v>402</v>
      </c>
      <c r="D151" s="42">
        <v>2</v>
      </c>
      <c r="E151" s="42">
        <v>1</v>
      </c>
      <c r="F151" s="32"/>
    </row>
    <row r="152" spans="1:6" x14ac:dyDescent="0.25">
      <c r="A152" s="32" t="s">
        <v>453</v>
      </c>
      <c r="B152" s="32"/>
      <c r="C152" s="42" t="s">
        <v>426</v>
      </c>
      <c r="D152" s="42">
        <v>2</v>
      </c>
      <c r="E152" s="42">
        <v>1</v>
      </c>
      <c r="F152" s="32"/>
    </row>
    <row r="153" spans="1:6" x14ac:dyDescent="0.25">
      <c r="A153" s="32" t="s">
        <v>459</v>
      </c>
      <c r="B153" s="32"/>
      <c r="C153" s="42" t="s">
        <v>446</v>
      </c>
      <c r="D153" s="42">
        <v>2</v>
      </c>
      <c r="E153" s="42">
        <v>1</v>
      </c>
      <c r="F153" s="32"/>
    </row>
    <row r="154" spans="1:6" x14ac:dyDescent="0.25">
      <c r="A154" s="32" t="s">
        <v>496</v>
      </c>
      <c r="B154" s="32"/>
      <c r="C154" s="42" t="s">
        <v>470</v>
      </c>
      <c r="D154" s="42">
        <v>2</v>
      </c>
      <c r="E154" s="42">
        <v>1</v>
      </c>
      <c r="F154" s="32"/>
    </row>
    <row r="155" spans="1:6" x14ac:dyDescent="0.25">
      <c r="A155" s="32" t="s">
        <v>504</v>
      </c>
      <c r="B155" s="32"/>
      <c r="C155" s="42" t="s">
        <v>483</v>
      </c>
      <c r="D155" s="42">
        <v>2</v>
      </c>
      <c r="E155" s="42">
        <v>1</v>
      </c>
      <c r="F155" s="32"/>
    </row>
    <row r="156" spans="1:6" x14ac:dyDescent="0.25">
      <c r="A156" s="32" t="s">
        <v>505</v>
      </c>
      <c r="B156" s="32"/>
      <c r="C156" s="42" t="s">
        <v>509</v>
      </c>
      <c r="D156" s="42">
        <v>2</v>
      </c>
      <c r="E156" s="42">
        <v>1</v>
      </c>
      <c r="F156" s="32"/>
    </row>
    <row r="157" spans="1:6" x14ac:dyDescent="0.25">
      <c r="A157" s="32" t="s">
        <v>507</v>
      </c>
      <c r="B157" s="32"/>
      <c r="C157" s="42" t="s">
        <v>510</v>
      </c>
      <c r="D157" s="42">
        <v>2</v>
      </c>
      <c r="E157" s="42">
        <v>1</v>
      </c>
      <c r="F157" s="32"/>
    </row>
    <row r="158" spans="1:6" x14ac:dyDescent="0.25">
      <c r="A158" s="32" t="s">
        <v>528</v>
      </c>
      <c r="B158" s="32"/>
      <c r="C158" s="42" t="s">
        <v>519</v>
      </c>
      <c r="D158" s="42">
        <v>2</v>
      </c>
      <c r="E158" s="42">
        <v>1</v>
      </c>
      <c r="F158" s="32"/>
    </row>
    <row r="159" spans="1:6" x14ac:dyDescent="0.25">
      <c r="A159" s="32" t="s">
        <v>508</v>
      </c>
      <c r="B159" s="32"/>
      <c r="C159" s="42" t="s">
        <v>527</v>
      </c>
      <c r="D159" s="42">
        <v>2</v>
      </c>
      <c r="E159" s="42">
        <v>1</v>
      </c>
      <c r="F159" s="32"/>
    </row>
    <row r="160" spans="1:6" x14ac:dyDescent="0.25">
      <c r="A160" s="32" t="s">
        <v>526</v>
      </c>
      <c r="B160" s="32"/>
      <c r="C160" s="42" t="s">
        <v>530</v>
      </c>
      <c r="D160" s="42">
        <v>2</v>
      </c>
      <c r="E160" s="42">
        <v>1</v>
      </c>
      <c r="F160" s="32"/>
    </row>
    <row r="161" spans="1:6" x14ac:dyDescent="0.25">
      <c r="A161" s="32" t="s">
        <v>530</v>
      </c>
      <c r="B161" s="32"/>
      <c r="C161" s="42" t="s">
        <v>531</v>
      </c>
      <c r="D161" s="42">
        <v>2</v>
      </c>
      <c r="E161" s="42">
        <v>1</v>
      </c>
      <c r="F161" s="32"/>
    </row>
    <row r="162" spans="1:6" x14ac:dyDescent="0.25">
      <c r="A162" s="32" t="s">
        <v>532</v>
      </c>
      <c r="B162" s="32"/>
      <c r="C162" s="42" t="s">
        <v>533</v>
      </c>
      <c r="D162" s="42">
        <v>2</v>
      </c>
      <c r="E162" s="42">
        <v>1</v>
      </c>
      <c r="F162" s="32"/>
    </row>
    <row r="163" spans="1:6" x14ac:dyDescent="0.25">
      <c r="A163" s="32" t="s">
        <v>534</v>
      </c>
      <c r="B163" s="32"/>
      <c r="C163" s="42" t="s">
        <v>535</v>
      </c>
      <c r="D163" s="42">
        <v>2</v>
      </c>
      <c r="E163" s="42">
        <v>1</v>
      </c>
      <c r="F163" s="32"/>
    </row>
    <row r="164" spans="1:6" x14ac:dyDescent="0.25">
      <c r="A164" s="32" t="s">
        <v>536</v>
      </c>
      <c r="B164" s="32"/>
      <c r="C164" s="42" t="s">
        <v>537</v>
      </c>
      <c r="D164" s="42">
        <v>2</v>
      </c>
      <c r="E164" s="42">
        <v>1</v>
      </c>
      <c r="F164" s="32"/>
    </row>
    <row r="165" spans="1:6" x14ac:dyDescent="0.25">
      <c r="A165" s="32" t="s">
        <v>458</v>
      </c>
      <c r="B165" s="32"/>
      <c r="C165" s="42" t="s">
        <v>538</v>
      </c>
      <c r="D165" s="42">
        <v>2</v>
      </c>
      <c r="E165" s="42">
        <v>1</v>
      </c>
      <c r="F165" s="32"/>
    </row>
    <row r="166" spans="1:6" x14ac:dyDescent="0.25">
      <c r="A166" s="32" t="s">
        <v>539</v>
      </c>
      <c r="B166" s="32"/>
      <c r="C166" s="42" t="s">
        <v>434</v>
      </c>
      <c r="D166" s="42">
        <v>1</v>
      </c>
      <c r="E166" s="42">
        <v>1</v>
      </c>
      <c r="F166" s="32"/>
    </row>
    <row r="167" spans="1:6" x14ac:dyDescent="0.25">
      <c r="A167" s="32" t="s">
        <v>365</v>
      </c>
      <c r="B167" s="32"/>
      <c r="C167" s="42" t="s">
        <v>440</v>
      </c>
      <c r="D167" s="42">
        <v>1</v>
      </c>
      <c r="E167" s="42">
        <v>1</v>
      </c>
      <c r="F167" s="32"/>
    </row>
    <row r="168" spans="1:6" x14ac:dyDescent="0.25">
      <c r="A168" s="32" t="s">
        <v>380</v>
      </c>
      <c r="B168" s="32"/>
      <c r="C168" s="42" t="s">
        <v>469</v>
      </c>
      <c r="D168" s="42">
        <v>1</v>
      </c>
      <c r="E168" s="42">
        <v>1</v>
      </c>
      <c r="F168" s="32"/>
    </row>
    <row r="169" spans="1:6" x14ac:dyDescent="0.25">
      <c r="A169" s="32" t="s">
        <v>508</v>
      </c>
      <c r="B169" s="32"/>
      <c r="C169" s="42" t="s">
        <v>485</v>
      </c>
      <c r="D169" s="42">
        <v>1</v>
      </c>
      <c r="E169" s="42">
        <v>1</v>
      </c>
      <c r="F169" s="32"/>
    </row>
    <row r="170" spans="1:6" x14ac:dyDescent="0.25">
      <c r="A170" s="32" t="s">
        <v>427</v>
      </c>
      <c r="B170" s="32"/>
      <c r="C170" s="42" t="s">
        <v>487</v>
      </c>
      <c r="D170" s="42">
        <v>1</v>
      </c>
      <c r="E170" s="42">
        <v>1</v>
      </c>
      <c r="F170" s="32"/>
    </row>
    <row r="171" spans="1:6" x14ac:dyDescent="0.25">
      <c r="A171" s="32" t="s">
        <v>432</v>
      </c>
      <c r="B171" s="32"/>
      <c r="C171" s="42" t="s">
        <v>498</v>
      </c>
      <c r="D171" s="42">
        <v>1</v>
      </c>
      <c r="E171" s="42">
        <v>1</v>
      </c>
      <c r="F171" s="32"/>
    </row>
    <row r="172" spans="1:6" x14ac:dyDescent="0.25">
      <c r="A172" s="32" t="s">
        <v>457</v>
      </c>
      <c r="B172" s="32"/>
      <c r="C172" s="42" t="s">
        <v>511</v>
      </c>
      <c r="D172" s="42">
        <v>1</v>
      </c>
      <c r="E172" s="42">
        <v>1</v>
      </c>
      <c r="F172" s="32"/>
    </row>
    <row r="173" spans="1:6" x14ac:dyDescent="0.25">
      <c r="A173" s="32" t="s">
        <v>465</v>
      </c>
      <c r="B173" s="32"/>
      <c r="C173" s="42" t="s">
        <v>515</v>
      </c>
      <c r="D173" s="42">
        <v>1</v>
      </c>
      <c r="E173" s="42">
        <v>1</v>
      </c>
      <c r="F173" s="32"/>
    </row>
    <row r="174" spans="1:6" x14ac:dyDescent="0.25">
      <c r="A174" s="32" t="s">
        <v>486</v>
      </c>
      <c r="B174" s="32"/>
      <c r="C174" s="42" t="s">
        <v>520</v>
      </c>
      <c r="D174" s="42">
        <v>1</v>
      </c>
      <c r="E174" s="42">
        <v>1</v>
      </c>
      <c r="F174" s="32"/>
    </row>
    <row r="175" spans="1:6" x14ac:dyDescent="0.25">
      <c r="A175" s="32" t="s">
        <v>490</v>
      </c>
      <c r="B175" s="32"/>
      <c r="C175" s="42" t="s">
        <v>532</v>
      </c>
      <c r="D175" s="42">
        <v>1</v>
      </c>
      <c r="E175" s="42">
        <v>1</v>
      </c>
      <c r="F175" s="32"/>
    </row>
    <row r="176" spans="1:6" x14ac:dyDescent="0.25">
      <c r="A176" s="32" t="s">
        <v>501</v>
      </c>
      <c r="B176" s="32"/>
      <c r="C176" s="42" t="s">
        <v>540</v>
      </c>
      <c r="D176" s="42">
        <v>1</v>
      </c>
      <c r="E176" s="42">
        <v>1</v>
      </c>
      <c r="F176" s="32"/>
    </row>
    <row r="177" spans="1:6" x14ac:dyDescent="0.25">
      <c r="A177" s="32" t="s">
        <v>521</v>
      </c>
      <c r="B177" s="32"/>
      <c r="C177" s="42" t="s">
        <v>541</v>
      </c>
      <c r="D177" s="42">
        <v>0</v>
      </c>
      <c r="E177" s="42">
        <v>4</v>
      </c>
      <c r="F177" s="32"/>
    </row>
    <row r="178" spans="1:6" x14ac:dyDescent="0.25">
      <c r="A178" s="32" t="s">
        <v>531</v>
      </c>
      <c r="B178" s="32"/>
      <c r="C178" s="42" t="s">
        <v>542</v>
      </c>
      <c r="D178" s="42">
        <v>0</v>
      </c>
      <c r="E178" s="42">
        <v>2</v>
      </c>
      <c r="F178" s="32"/>
    </row>
    <row r="179" spans="1:6" x14ac:dyDescent="0.25">
      <c r="A179" s="32" t="s">
        <v>379</v>
      </c>
      <c r="B179" s="32"/>
      <c r="C179" s="42" t="s">
        <v>543</v>
      </c>
      <c r="D179" s="42">
        <v>0</v>
      </c>
      <c r="E179" s="42">
        <v>2</v>
      </c>
      <c r="F179" s="32"/>
    </row>
    <row r="180" spans="1:6" x14ac:dyDescent="0.25">
      <c r="A180" s="32" t="s">
        <v>386</v>
      </c>
      <c r="B180" s="32"/>
      <c r="C180" s="42" t="s">
        <v>544</v>
      </c>
      <c r="D180" s="42">
        <v>0</v>
      </c>
      <c r="E180" s="42">
        <v>2</v>
      </c>
      <c r="F180" s="32"/>
    </row>
    <row r="181" spans="1:6" x14ac:dyDescent="0.25">
      <c r="A181" s="32" t="s">
        <v>492</v>
      </c>
      <c r="B181" s="32"/>
      <c r="C181" s="42" t="s">
        <v>545</v>
      </c>
      <c r="D181" s="42">
        <v>0</v>
      </c>
      <c r="E181" s="42">
        <v>2</v>
      </c>
      <c r="F181" s="32"/>
    </row>
    <row r="182" spans="1:6" x14ac:dyDescent="0.25">
      <c r="A182" s="32" t="s">
        <v>400</v>
      </c>
      <c r="B182" s="32"/>
      <c r="C182" s="42" t="s">
        <v>546</v>
      </c>
      <c r="D182" s="42">
        <v>0</v>
      </c>
      <c r="E182" s="42">
        <v>2</v>
      </c>
      <c r="F182" s="32"/>
    </row>
    <row r="183" spans="1:6" x14ac:dyDescent="0.25">
      <c r="A183" s="32" t="s">
        <v>395</v>
      </c>
      <c r="B183" s="32"/>
      <c r="C183" s="42" t="s">
        <v>547</v>
      </c>
      <c r="D183" s="42">
        <v>0</v>
      </c>
      <c r="E183" s="42">
        <v>2</v>
      </c>
      <c r="F183" s="32"/>
    </row>
    <row r="184" spans="1:6" x14ac:dyDescent="0.25">
      <c r="A184" s="32" t="s">
        <v>411</v>
      </c>
      <c r="B184" s="32"/>
      <c r="C184" s="42" t="s">
        <v>548</v>
      </c>
      <c r="D184" s="42">
        <v>0</v>
      </c>
      <c r="E184" s="42">
        <v>2</v>
      </c>
      <c r="F184" s="32"/>
    </row>
    <row r="185" spans="1:6" x14ac:dyDescent="0.25">
      <c r="A185" s="32" t="s">
        <v>450</v>
      </c>
      <c r="B185" s="32"/>
      <c r="C185" s="42" t="s">
        <v>549</v>
      </c>
      <c r="D185" s="42">
        <v>0</v>
      </c>
      <c r="E185" s="42">
        <v>2</v>
      </c>
      <c r="F185" s="32"/>
    </row>
    <row r="186" spans="1:6" x14ac:dyDescent="0.25">
      <c r="A186" s="32" t="s">
        <v>475</v>
      </c>
      <c r="B186" s="32"/>
      <c r="C186" s="42" t="s">
        <v>550</v>
      </c>
      <c r="D186" s="42">
        <v>0</v>
      </c>
      <c r="E186" s="42">
        <v>2</v>
      </c>
      <c r="F186" s="32"/>
    </row>
    <row r="187" spans="1:6" x14ac:dyDescent="0.25">
      <c r="A187" s="32" t="s">
        <v>491</v>
      </c>
      <c r="B187" s="32"/>
      <c r="C187" s="42" t="s">
        <v>551</v>
      </c>
      <c r="D187" s="42">
        <v>0</v>
      </c>
      <c r="E187" s="42">
        <v>2</v>
      </c>
      <c r="F187" s="32"/>
    </row>
    <row r="188" spans="1:6" x14ac:dyDescent="0.25">
      <c r="A188" s="32" t="s">
        <v>517</v>
      </c>
      <c r="C188" s="42" t="s">
        <v>552</v>
      </c>
      <c r="D188" s="42">
        <v>0</v>
      </c>
      <c r="E188" s="42">
        <v>2</v>
      </c>
      <c r="F188" s="32"/>
    </row>
    <row r="189" spans="1:6" x14ac:dyDescent="0.25">
      <c r="A189" s="32" t="s">
        <v>524</v>
      </c>
      <c r="B189" s="32"/>
      <c r="C189" s="42" t="s">
        <v>553</v>
      </c>
      <c r="D189" s="42">
        <v>0</v>
      </c>
      <c r="E189" s="42">
        <v>2</v>
      </c>
      <c r="F189" s="32"/>
    </row>
    <row r="190" spans="1:6" x14ac:dyDescent="0.25">
      <c r="A190" s="32" t="s">
        <v>523</v>
      </c>
      <c r="B190" s="32"/>
      <c r="C190" s="42" t="s">
        <v>554</v>
      </c>
      <c r="D190" s="42">
        <v>0</v>
      </c>
      <c r="E190" s="42">
        <v>2</v>
      </c>
      <c r="F190" s="32"/>
    </row>
    <row r="191" spans="1:6" x14ac:dyDescent="0.25">
      <c r="A191" s="32" t="s">
        <v>529</v>
      </c>
      <c r="B191" s="32"/>
      <c r="C191" s="42" t="s">
        <v>555</v>
      </c>
      <c r="D191" s="42">
        <v>0</v>
      </c>
      <c r="E191" s="42">
        <v>2</v>
      </c>
      <c r="F191" s="32"/>
    </row>
    <row r="192" spans="1:6" x14ac:dyDescent="0.25">
      <c r="A192" s="32" t="s">
        <v>537</v>
      </c>
      <c r="B192" s="32"/>
      <c r="C192" s="42" t="s">
        <v>556</v>
      </c>
      <c r="D192" s="42">
        <v>0</v>
      </c>
      <c r="E192" s="42">
        <v>2</v>
      </c>
      <c r="F192" s="32"/>
    </row>
    <row r="193" spans="1:6" x14ac:dyDescent="0.25">
      <c r="A193" s="32" t="s">
        <v>538</v>
      </c>
      <c r="B193" s="32"/>
      <c r="C193" s="42" t="s">
        <v>557</v>
      </c>
      <c r="D193" s="42">
        <v>0</v>
      </c>
      <c r="E193" s="42">
        <v>2</v>
      </c>
      <c r="F193" s="32"/>
    </row>
    <row r="194" spans="1:6" x14ac:dyDescent="0.25">
      <c r="A194" s="32" t="s">
        <v>535</v>
      </c>
      <c r="B194" s="32"/>
      <c r="C194" s="42" t="s">
        <v>558</v>
      </c>
      <c r="D194" s="42">
        <v>0</v>
      </c>
      <c r="E194" s="42">
        <v>2</v>
      </c>
      <c r="F194" s="32"/>
    </row>
    <row r="195" spans="1:6" x14ac:dyDescent="0.25">
      <c r="A195" s="32" t="s">
        <v>452</v>
      </c>
      <c r="B195" s="32"/>
      <c r="C195" s="42" t="s">
        <v>559</v>
      </c>
      <c r="D195" s="42">
        <v>0</v>
      </c>
      <c r="E195" s="42">
        <v>2</v>
      </c>
      <c r="F195" s="32"/>
    </row>
    <row r="196" spans="1:6" x14ac:dyDescent="0.25">
      <c r="A196" s="32" t="s">
        <v>384</v>
      </c>
      <c r="B196" s="32"/>
      <c r="C196" s="42" t="s">
        <v>560</v>
      </c>
      <c r="D196" s="42">
        <v>0</v>
      </c>
      <c r="E196" s="42">
        <v>2</v>
      </c>
      <c r="F196" s="32"/>
    </row>
    <row r="197" spans="1:6" x14ac:dyDescent="0.25">
      <c r="A197" s="32" t="s">
        <v>533</v>
      </c>
      <c r="B197" s="32"/>
      <c r="C197" s="42" t="s">
        <v>561</v>
      </c>
      <c r="D197" s="42">
        <v>0</v>
      </c>
      <c r="E197" s="42">
        <v>2</v>
      </c>
      <c r="F197" s="32"/>
    </row>
    <row r="198" spans="1:6" x14ac:dyDescent="0.25">
      <c r="A198" s="32" t="s">
        <v>540</v>
      </c>
      <c r="B198" s="32"/>
      <c r="C198" s="42" t="s">
        <v>562</v>
      </c>
      <c r="D198" s="42">
        <v>0</v>
      </c>
      <c r="E198" s="42">
        <v>2</v>
      </c>
      <c r="F198" s="32"/>
    </row>
    <row r="199" spans="1:6" x14ac:dyDescent="0.25">
      <c r="A199" s="32" t="s">
        <v>563</v>
      </c>
      <c r="B199" s="32"/>
      <c r="C199" s="42" t="s">
        <v>564</v>
      </c>
      <c r="D199" s="42">
        <v>0</v>
      </c>
      <c r="E199" s="42">
        <v>2</v>
      </c>
      <c r="F199" s="32"/>
    </row>
    <row r="200" spans="1:6" x14ac:dyDescent="0.25">
      <c r="A200" s="32" t="s">
        <v>565</v>
      </c>
      <c r="B200" s="32"/>
      <c r="C200" s="42" t="s">
        <v>566</v>
      </c>
      <c r="D200" s="42">
        <v>0</v>
      </c>
      <c r="E200" s="42">
        <v>2</v>
      </c>
      <c r="F200" s="32"/>
    </row>
    <row r="201" spans="1:6" x14ac:dyDescent="0.25">
      <c r="A201" s="32" t="s">
        <v>567</v>
      </c>
      <c r="C201" s="42" t="s">
        <v>568</v>
      </c>
      <c r="D201" s="42">
        <v>0</v>
      </c>
      <c r="E201" s="42">
        <v>2</v>
      </c>
    </row>
    <row r="202" spans="1:6" x14ac:dyDescent="0.25">
      <c r="A202" s="32" t="s">
        <v>569</v>
      </c>
      <c r="C202" s="42" t="s">
        <v>570</v>
      </c>
      <c r="D202" s="42">
        <v>0</v>
      </c>
      <c r="E202" s="42">
        <v>2</v>
      </c>
    </row>
    <row r="203" spans="1:6" x14ac:dyDescent="0.25">
      <c r="A203" s="32" t="s">
        <v>542</v>
      </c>
      <c r="C203" s="42" t="s">
        <v>571</v>
      </c>
      <c r="D203" s="42">
        <v>0</v>
      </c>
      <c r="E203" s="42">
        <v>2</v>
      </c>
    </row>
    <row r="204" spans="1:6" x14ac:dyDescent="0.25">
      <c r="A204" s="32" t="s">
        <v>572</v>
      </c>
      <c r="C204" s="42" t="s">
        <v>573</v>
      </c>
      <c r="D204" s="42">
        <v>0</v>
      </c>
      <c r="E204" s="42">
        <v>2</v>
      </c>
    </row>
    <row r="205" spans="1:6" x14ac:dyDescent="0.25">
      <c r="A205" s="32" t="s">
        <v>574</v>
      </c>
      <c r="C205" s="42" t="s">
        <v>575</v>
      </c>
      <c r="D205" s="42">
        <v>0</v>
      </c>
      <c r="E205" s="42">
        <v>2</v>
      </c>
    </row>
    <row r="206" spans="1:6" x14ac:dyDescent="0.25">
      <c r="A206" s="32" t="s">
        <v>576</v>
      </c>
      <c r="C206" s="42" t="s">
        <v>577</v>
      </c>
      <c r="D206" s="42">
        <v>0</v>
      </c>
      <c r="E206" s="42">
        <v>2</v>
      </c>
    </row>
    <row r="207" spans="1:6" x14ac:dyDescent="0.25">
      <c r="A207" s="32" t="s">
        <v>578</v>
      </c>
      <c r="C207" s="42" t="s">
        <v>579</v>
      </c>
      <c r="D207" s="42">
        <v>0</v>
      </c>
      <c r="E207" s="42">
        <v>2</v>
      </c>
    </row>
    <row r="208" spans="1:6" x14ac:dyDescent="0.25">
      <c r="A208" s="32" t="s">
        <v>580</v>
      </c>
      <c r="C208" s="42" t="s">
        <v>581</v>
      </c>
      <c r="D208" s="42">
        <v>0</v>
      </c>
      <c r="E208" s="42">
        <v>2</v>
      </c>
    </row>
    <row r="209" spans="1:5" x14ac:dyDescent="0.25">
      <c r="A209" s="32" t="s">
        <v>582</v>
      </c>
      <c r="C209" s="42" t="s">
        <v>583</v>
      </c>
      <c r="D209" s="42">
        <v>0</v>
      </c>
      <c r="E209" s="42">
        <v>2</v>
      </c>
    </row>
    <row r="210" spans="1:5" x14ac:dyDescent="0.25">
      <c r="A210" s="32" t="s">
        <v>543</v>
      </c>
      <c r="C210" s="42" t="s">
        <v>584</v>
      </c>
      <c r="D210" s="42">
        <v>0</v>
      </c>
      <c r="E210" s="42">
        <v>2</v>
      </c>
    </row>
    <row r="211" spans="1:5" x14ac:dyDescent="0.25">
      <c r="A211" s="32" t="s">
        <v>585</v>
      </c>
      <c r="C211" s="42" t="s">
        <v>586</v>
      </c>
      <c r="D211" s="42">
        <v>0</v>
      </c>
      <c r="E211" s="42">
        <v>2</v>
      </c>
    </row>
    <row r="212" spans="1:5" x14ac:dyDescent="0.25">
      <c r="A212" s="32" t="s">
        <v>587</v>
      </c>
      <c r="C212" s="42" t="s">
        <v>588</v>
      </c>
      <c r="D212" s="42">
        <v>0</v>
      </c>
      <c r="E212" s="42">
        <v>2</v>
      </c>
    </row>
    <row r="213" spans="1:5" x14ac:dyDescent="0.25">
      <c r="A213" s="32" t="s">
        <v>589</v>
      </c>
      <c r="C213" s="42" t="s">
        <v>590</v>
      </c>
      <c r="D213" s="42">
        <v>0</v>
      </c>
      <c r="E213" s="42">
        <v>2</v>
      </c>
    </row>
    <row r="214" spans="1:5" x14ac:dyDescent="0.25">
      <c r="A214" s="32" t="s">
        <v>591</v>
      </c>
      <c r="C214" s="42" t="s">
        <v>592</v>
      </c>
      <c r="D214" s="42">
        <v>0</v>
      </c>
      <c r="E214" s="42">
        <v>2</v>
      </c>
    </row>
    <row r="215" spans="1:5" x14ac:dyDescent="0.25">
      <c r="A215" s="32" t="s">
        <v>593</v>
      </c>
      <c r="C215" s="42" t="s">
        <v>594</v>
      </c>
      <c r="D215" s="42">
        <v>0</v>
      </c>
      <c r="E215" s="42">
        <v>2</v>
      </c>
    </row>
    <row r="216" spans="1:5" x14ac:dyDescent="0.25">
      <c r="A216" s="32" t="s">
        <v>595</v>
      </c>
      <c r="C216" s="42" t="s">
        <v>596</v>
      </c>
      <c r="D216" s="42">
        <v>0</v>
      </c>
      <c r="E216" s="42">
        <v>2</v>
      </c>
    </row>
    <row r="217" spans="1:5" x14ac:dyDescent="0.25">
      <c r="A217" s="32" t="s">
        <v>597</v>
      </c>
      <c r="C217" s="42" t="s">
        <v>598</v>
      </c>
      <c r="D217" s="42">
        <v>0</v>
      </c>
      <c r="E217" s="42">
        <v>2</v>
      </c>
    </row>
    <row r="218" spans="1:5" x14ac:dyDescent="0.25">
      <c r="A218" s="32" t="s">
        <v>599</v>
      </c>
      <c r="C218" s="42" t="s">
        <v>362</v>
      </c>
      <c r="D218" s="42">
        <v>0</v>
      </c>
      <c r="E218" s="42">
        <v>1</v>
      </c>
    </row>
    <row r="219" spans="1:5" x14ac:dyDescent="0.25">
      <c r="A219" s="32" t="s">
        <v>600</v>
      </c>
      <c r="C219" s="42" t="s">
        <v>407</v>
      </c>
      <c r="D219" s="42">
        <v>0</v>
      </c>
      <c r="E219" s="42">
        <v>1</v>
      </c>
    </row>
    <row r="220" spans="1:5" x14ac:dyDescent="0.25">
      <c r="A220" s="32" t="s">
        <v>601</v>
      </c>
      <c r="C220" s="42" t="s">
        <v>412</v>
      </c>
      <c r="D220" s="42">
        <v>0</v>
      </c>
      <c r="E220" s="42">
        <v>1</v>
      </c>
    </row>
    <row r="221" spans="1:5" x14ac:dyDescent="0.25">
      <c r="A221" s="32" t="s">
        <v>602</v>
      </c>
      <c r="C221" s="42" t="s">
        <v>416</v>
      </c>
      <c r="D221" s="42">
        <v>0</v>
      </c>
      <c r="E221" s="42">
        <v>1</v>
      </c>
    </row>
    <row r="222" spans="1:5" x14ac:dyDescent="0.25">
      <c r="A222" s="32" t="s">
        <v>603</v>
      </c>
      <c r="C222" s="42" t="s">
        <v>418</v>
      </c>
      <c r="D222" s="42">
        <v>0</v>
      </c>
      <c r="E222" s="42">
        <v>1</v>
      </c>
    </row>
    <row r="223" spans="1:5" x14ac:dyDescent="0.25">
      <c r="A223" s="32" t="s">
        <v>604</v>
      </c>
      <c r="C223" s="42" t="s">
        <v>472</v>
      </c>
      <c r="D223" s="42">
        <v>0</v>
      </c>
      <c r="E223" s="42">
        <v>1</v>
      </c>
    </row>
    <row r="224" spans="1:5" x14ac:dyDescent="0.25">
      <c r="A224" s="32" t="s">
        <v>605</v>
      </c>
      <c r="C224" s="42" t="s">
        <v>474</v>
      </c>
      <c r="D224" s="42">
        <v>0</v>
      </c>
      <c r="E224" s="42">
        <v>1</v>
      </c>
    </row>
    <row r="225" spans="1:5" x14ac:dyDescent="0.25">
      <c r="A225" s="32" t="s">
        <v>606</v>
      </c>
      <c r="C225" s="42" t="s">
        <v>479</v>
      </c>
      <c r="D225" s="42">
        <v>0</v>
      </c>
      <c r="E225" s="42">
        <v>1</v>
      </c>
    </row>
    <row r="226" spans="1:5" x14ac:dyDescent="0.25">
      <c r="A226" s="32" t="s">
        <v>607</v>
      </c>
      <c r="C226" s="42" t="s">
        <v>477</v>
      </c>
      <c r="D226" s="42">
        <v>0</v>
      </c>
      <c r="E226" s="42">
        <v>1</v>
      </c>
    </row>
    <row r="227" spans="1:5" x14ac:dyDescent="0.25">
      <c r="A227" s="32" t="s">
        <v>608</v>
      </c>
      <c r="C227" s="42" t="s">
        <v>488</v>
      </c>
      <c r="D227" s="42">
        <v>0</v>
      </c>
      <c r="E227" s="42">
        <v>1</v>
      </c>
    </row>
    <row r="228" spans="1:5" x14ac:dyDescent="0.25">
      <c r="A228" s="32" t="s">
        <v>543</v>
      </c>
      <c r="C228" s="42" t="s">
        <v>500</v>
      </c>
      <c r="D228" s="42">
        <v>0</v>
      </c>
      <c r="E228" s="42">
        <v>1</v>
      </c>
    </row>
    <row r="229" spans="1:5" x14ac:dyDescent="0.25">
      <c r="A229" s="32" t="s">
        <v>609</v>
      </c>
      <c r="C229" s="42" t="s">
        <v>516</v>
      </c>
      <c r="D229" s="42">
        <v>0</v>
      </c>
      <c r="E229" s="42">
        <v>1</v>
      </c>
    </row>
    <row r="230" spans="1:5" x14ac:dyDescent="0.25">
      <c r="A230" s="32" t="s">
        <v>610</v>
      </c>
      <c r="C230" s="42" t="s">
        <v>522</v>
      </c>
      <c r="D230" s="42">
        <v>0</v>
      </c>
      <c r="E230" s="42">
        <v>1</v>
      </c>
    </row>
    <row r="231" spans="1:5" x14ac:dyDescent="0.25">
      <c r="A231" s="32" t="s">
        <v>611</v>
      </c>
      <c r="C231" s="42" t="s">
        <v>536</v>
      </c>
      <c r="D231" s="42">
        <v>0</v>
      </c>
      <c r="E231" s="42">
        <v>1</v>
      </c>
    </row>
    <row r="232" spans="1:5" x14ac:dyDescent="0.25">
      <c r="A232" s="32" t="s">
        <v>612</v>
      </c>
      <c r="C232" s="42" t="s">
        <v>534</v>
      </c>
      <c r="D232" s="42">
        <v>0</v>
      </c>
      <c r="E232" s="42">
        <v>1</v>
      </c>
    </row>
    <row r="233" spans="1:5" x14ac:dyDescent="0.25">
      <c r="A233" s="32" t="s">
        <v>613</v>
      </c>
      <c r="C233" s="42" t="s">
        <v>539</v>
      </c>
      <c r="D233" s="42">
        <v>0</v>
      </c>
      <c r="E233" s="42">
        <v>1</v>
      </c>
    </row>
    <row r="234" spans="1:5" x14ac:dyDescent="0.25">
      <c r="A234" s="32" t="s">
        <v>614</v>
      </c>
      <c r="C234" s="42" t="s">
        <v>563</v>
      </c>
      <c r="D234" s="42">
        <v>0</v>
      </c>
      <c r="E234" s="42">
        <v>1</v>
      </c>
    </row>
    <row r="235" spans="1:5" x14ac:dyDescent="0.25">
      <c r="A235" s="32" t="s">
        <v>615</v>
      </c>
      <c r="C235" s="42" t="s">
        <v>565</v>
      </c>
      <c r="D235" s="42">
        <v>0</v>
      </c>
      <c r="E235" s="42">
        <v>1</v>
      </c>
    </row>
    <row r="236" spans="1:5" x14ac:dyDescent="0.25">
      <c r="A236" s="32" t="s">
        <v>616</v>
      </c>
      <c r="C236" s="42" t="s">
        <v>567</v>
      </c>
      <c r="D236" s="42">
        <v>0</v>
      </c>
      <c r="E236" s="42">
        <v>1</v>
      </c>
    </row>
    <row r="237" spans="1:5" x14ac:dyDescent="0.25">
      <c r="A237" s="32" t="s">
        <v>617</v>
      </c>
      <c r="C237" s="42" t="s">
        <v>569</v>
      </c>
      <c r="D237" s="42">
        <v>0</v>
      </c>
      <c r="E237" s="42">
        <v>1</v>
      </c>
    </row>
    <row r="238" spans="1:5" x14ac:dyDescent="0.25">
      <c r="A238" s="32" t="s">
        <v>544</v>
      </c>
      <c r="C238" s="42" t="s">
        <v>572</v>
      </c>
      <c r="D238" s="42">
        <v>0</v>
      </c>
      <c r="E238" s="42">
        <v>1</v>
      </c>
    </row>
    <row r="239" spans="1:5" x14ac:dyDescent="0.25">
      <c r="A239" s="32" t="s">
        <v>618</v>
      </c>
      <c r="C239" s="42" t="s">
        <v>574</v>
      </c>
      <c r="D239" s="42">
        <v>0</v>
      </c>
      <c r="E239" s="42">
        <v>1</v>
      </c>
    </row>
    <row r="240" spans="1:5" x14ac:dyDescent="0.25">
      <c r="A240" s="32" t="s">
        <v>619</v>
      </c>
      <c r="C240" s="42" t="s">
        <v>576</v>
      </c>
      <c r="D240" s="42">
        <v>0</v>
      </c>
      <c r="E240" s="42">
        <v>1</v>
      </c>
    </row>
    <row r="241" spans="1:5" x14ac:dyDescent="0.25">
      <c r="A241" s="32" t="s">
        <v>458</v>
      </c>
      <c r="C241" s="42" t="s">
        <v>578</v>
      </c>
      <c r="D241" s="42">
        <v>0</v>
      </c>
      <c r="E241" s="42">
        <v>1</v>
      </c>
    </row>
    <row r="242" spans="1:5" x14ac:dyDescent="0.25">
      <c r="A242" s="32" t="s">
        <v>620</v>
      </c>
      <c r="C242" s="42" t="s">
        <v>580</v>
      </c>
      <c r="D242" s="42">
        <v>0</v>
      </c>
      <c r="E242" s="42">
        <v>1</v>
      </c>
    </row>
    <row r="243" spans="1:5" x14ac:dyDescent="0.25">
      <c r="A243" s="32" t="s">
        <v>621</v>
      </c>
      <c r="C243" s="42" t="s">
        <v>582</v>
      </c>
      <c r="D243" s="42">
        <v>0</v>
      </c>
      <c r="E243" s="42">
        <v>1</v>
      </c>
    </row>
    <row r="244" spans="1:5" x14ac:dyDescent="0.25">
      <c r="A244" s="32" t="s">
        <v>622</v>
      </c>
      <c r="C244" s="42" t="s">
        <v>585</v>
      </c>
      <c r="D244" s="42">
        <v>0</v>
      </c>
      <c r="E244" s="42">
        <v>1</v>
      </c>
    </row>
    <row r="245" spans="1:5" x14ac:dyDescent="0.25">
      <c r="A245" s="32" t="s">
        <v>623</v>
      </c>
      <c r="C245" s="42" t="s">
        <v>587</v>
      </c>
      <c r="D245" s="42">
        <v>0</v>
      </c>
      <c r="E245" s="42">
        <v>1</v>
      </c>
    </row>
    <row r="246" spans="1:5" x14ac:dyDescent="0.25">
      <c r="A246" s="32" t="s">
        <v>624</v>
      </c>
      <c r="C246" s="42" t="s">
        <v>589</v>
      </c>
      <c r="D246" s="42">
        <v>0</v>
      </c>
      <c r="E246" s="42">
        <v>1</v>
      </c>
    </row>
    <row r="247" spans="1:5" x14ac:dyDescent="0.25">
      <c r="A247" s="32" t="s">
        <v>625</v>
      </c>
      <c r="C247" s="42" t="s">
        <v>591</v>
      </c>
      <c r="D247" s="42">
        <v>0</v>
      </c>
      <c r="E247" s="42">
        <v>1</v>
      </c>
    </row>
    <row r="248" spans="1:5" x14ac:dyDescent="0.25">
      <c r="A248" s="32" t="s">
        <v>626</v>
      </c>
      <c r="C248" s="42" t="s">
        <v>593</v>
      </c>
      <c r="D248" s="42">
        <v>0</v>
      </c>
      <c r="E248" s="42">
        <v>1</v>
      </c>
    </row>
    <row r="249" spans="1:5" x14ac:dyDescent="0.25">
      <c r="A249" s="32" t="s">
        <v>627</v>
      </c>
      <c r="C249" s="42" t="s">
        <v>595</v>
      </c>
      <c r="D249" s="42">
        <v>0</v>
      </c>
      <c r="E249" s="42">
        <v>1</v>
      </c>
    </row>
    <row r="250" spans="1:5" x14ac:dyDescent="0.25">
      <c r="A250" s="32" t="s">
        <v>545</v>
      </c>
      <c r="C250" s="42" t="s">
        <v>597</v>
      </c>
      <c r="D250" s="42">
        <v>0</v>
      </c>
      <c r="E250" s="42">
        <v>1</v>
      </c>
    </row>
    <row r="251" spans="1:5" x14ac:dyDescent="0.25">
      <c r="A251" s="32" t="s">
        <v>628</v>
      </c>
      <c r="C251" s="42" t="s">
        <v>599</v>
      </c>
      <c r="D251" s="42">
        <v>0</v>
      </c>
      <c r="E251" s="42">
        <v>1</v>
      </c>
    </row>
    <row r="252" spans="1:5" x14ac:dyDescent="0.25">
      <c r="A252" s="32" t="s">
        <v>629</v>
      </c>
      <c r="C252" s="42" t="s">
        <v>600</v>
      </c>
      <c r="D252" s="42">
        <v>0</v>
      </c>
      <c r="E252" s="42">
        <v>1</v>
      </c>
    </row>
    <row r="253" spans="1:5" x14ac:dyDescent="0.25">
      <c r="A253" s="32" t="s">
        <v>630</v>
      </c>
      <c r="C253" s="42" t="s">
        <v>601</v>
      </c>
      <c r="D253" s="42">
        <v>0</v>
      </c>
      <c r="E253" s="42">
        <v>1</v>
      </c>
    </row>
    <row r="254" spans="1:5" x14ac:dyDescent="0.25">
      <c r="A254" s="32" t="s">
        <v>631</v>
      </c>
      <c r="C254" s="42" t="s">
        <v>602</v>
      </c>
      <c r="D254" s="42">
        <v>0</v>
      </c>
      <c r="E254" s="42">
        <v>1</v>
      </c>
    </row>
    <row r="255" spans="1:5" x14ac:dyDescent="0.25">
      <c r="A255" s="32" t="s">
        <v>632</v>
      </c>
      <c r="C255" s="42" t="s">
        <v>603</v>
      </c>
      <c r="D255" s="42">
        <v>0</v>
      </c>
      <c r="E255" s="42">
        <v>1</v>
      </c>
    </row>
    <row r="256" spans="1:5" x14ac:dyDescent="0.25">
      <c r="A256" s="32" t="s">
        <v>454</v>
      </c>
      <c r="C256" s="42" t="s">
        <v>604</v>
      </c>
      <c r="D256" s="42">
        <v>0</v>
      </c>
      <c r="E256" s="42">
        <v>1</v>
      </c>
    </row>
    <row r="257" spans="1:5" x14ac:dyDescent="0.25">
      <c r="A257" s="32" t="s">
        <v>633</v>
      </c>
      <c r="C257" s="42" t="s">
        <v>605</v>
      </c>
      <c r="D257" s="42">
        <v>0</v>
      </c>
      <c r="E257" s="42">
        <v>1</v>
      </c>
    </row>
    <row r="258" spans="1:5" x14ac:dyDescent="0.25">
      <c r="A258" s="32" t="s">
        <v>634</v>
      </c>
      <c r="C258" s="42" t="s">
        <v>606</v>
      </c>
      <c r="D258" s="42">
        <v>0</v>
      </c>
      <c r="E258" s="42">
        <v>1</v>
      </c>
    </row>
    <row r="259" spans="1:5" x14ac:dyDescent="0.25">
      <c r="A259" s="32" t="s">
        <v>635</v>
      </c>
      <c r="C259" s="42" t="s">
        <v>607</v>
      </c>
      <c r="D259" s="42">
        <v>0</v>
      </c>
      <c r="E259" s="42">
        <v>1</v>
      </c>
    </row>
    <row r="260" spans="1:5" x14ac:dyDescent="0.25">
      <c r="A260" s="32" t="s">
        <v>636</v>
      </c>
      <c r="C260" s="42" t="s">
        <v>608</v>
      </c>
      <c r="D260" s="42">
        <v>0</v>
      </c>
      <c r="E260" s="42">
        <v>1</v>
      </c>
    </row>
    <row r="261" spans="1:5" x14ac:dyDescent="0.25">
      <c r="A261" s="32" t="s">
        <v>637</v>
      </c>
      <c r="C261" s="42" t="s">
        <v>609</v>
      </c>
      <c r="D261" s="42">
        <v>0</v>
      </c>
      <c r="E261" s="42">
        <v>1</v>
      </c>
    </row>
    <row r="262" spans="1:5" x14ac:dyDescent="0.25">
      <c r="A262" s="32" t="s">
        <v>638</v>
      </c>
      <c r="C262" s="42" t="s">
        <v>610</v>
      </c>
      <c r="D262" s="42">
        <v>0</v>
      </c>
      <c r="E262" s="42">
        <v>1</v>
      </c>
    </row>
    <row r="263" spans="1:5" x14ac:dyDescent="0.25">
      <c r="A263" s="32" t="s">
        <v>639</v>
      </c>
      <c r="C263" s="42" t="s">
        <v>611</v>
      </c>
      <c r="D263" s="42">
        <v>0</v>
      </c>
      <c r="E263" s="42">
        <v>1</v>
      </c>
    </row>
    <row r="264" spans="1:5" x14ac:dyDescent="0.25">
      <c r="A264" s="32" t="s">
        <v>640</v>
      </c>
      <c r="C264" s="42" t="s">
        <v>612</v>
      </c>
      <c r="D264" s="42">
        <v>0</v>
      </c>
      <c r="E264" s="42">
        <v>1</v>
      </c>
    </row>
    <row r="265" spans="1:5" x14ac:dyDescent="0.25">
      <c r="A265" s="32" t="s">
        <v>390</v>
      </c>
      <c r="C265" s="42" t="s">
        <v>613</v>
      </c>
      <c r="D265" s="42">
        <v>0</v>
      </c>
      <c r="E265" s="42">
        <v>1</v>
      </c>
    </row>
    <row r="266" spans="1:5" x14ac:dyDescent="0.25">
      <c r="A266" s="32" t="s">
        <v>641</v>
      </c>
      <c r="C266" s="42" t="s">
        <v>614</v>
      </c>
      <c r="D266" s="42">
        <v>0</v>
      </c>
      <c r="E266" s="42">
        <v>1</v>
      </c>
    </row>
    <row r="267" spans="1:5" x14ac:dyDescent="0.25">
      <c r="A267" s="32" t="s">
        <v>642</v>
      </c>
      <c r="C267" s="42" t="s">
        <v>615</v>
      </c>
      <c r="D267" s="42">
        <v>0</v>
      </c>
      <c r="E267" s="42">
        <v>1</v>
      </c>
    </row>
    <row r="268" spans="1:5" x14ac:dyDescent="0.25">
      <c r="A268" s="32" t="s">
        <v>643</v>
      </c>
      <c r="C268" s="42" t="s">
        <v>616</v>
      </c>
      <c r="D268" s="42">
        <v>0</v>
      </c>
      <c r="E268" s="42">
        <v>1</v>
      </c>
    </row>
    <row r="269" spans="1:5" x14ac:dyDescent="0.25">
      <c r="A269" s="32" t="s">
        <v>546</v>
      </c>
      <c r="C269" s="42" t="s">
        <v>617</v>
      </c>
      <c r="D269" s="42">
        <v>0</v>
      </c>
      <c r="E269" s="42">
        <v>1</v>
      </c>
    </row>
    <row r="270" spans="1:5" x14ac:dyDescent="0.25">
      <c r="A270" s="32" t="s">
        <v>644</v>
      </c>
      <c r="C270" s="42" t="s">
        <v>618</v>
      </c>
      <c r="D270" s="42">
        <v>0</v>
      </c>
      <c r="E270" s="42">
        <v>1</v>
      </c>
    </row>
    <row r="271" spans="1:5" x14ac:dyDescent="0.25">
      <c r="A271" s="32" t="s">
        <v>645</v>
      </c>
      <c r="C271" s="42" t="s">
        <v>619</v>
      </c>
      <c r="D271" s="42">
        <v>0</v>
      </c>
      <c r="E271" s="42">
        <v>1</v>
      </c>
    </row>
    <row r="272" spans="1:5" x14ac:dyDescent="0.25">
      <c r="A272" s="32" t="s">
        <v>646</v>
      </c>
      <c r="C272" s="42" t="s">
        <v>620</v>
      </c>
      <c r="D272" s="42">
        <v>0</v>
      </c>
      <c r="E272" s="42">
        <v>1</v>
      </c>
    </row>
    <row r="273" spans="1:5" x14ac:dyDescent="0.25">
      <c r="A273" s="32" t="s">
        <v>647</v>
      </c>
      <c r="C273" s="42" t="s">
        <v>621</v>
      </c>
      <c r="D273" s="42">
        <v>0</v>
      </c>
      <c r="E273" s="42">
        <v>1</v>
      </c>
    </row>
    <row r="274" spans="1:5" x14ac:dyDescent="0.25">
      <c r="A274" s="32" t="s">
        <v>648</v>
      </c>
      <c r="C274" s="42" t="s">
        <v>622</v>
      </c>
      <c r="D274" s="42">
        <v>0</v>
      </c>
      <c r="E274" s="42">
        <v>1</v>
      </c>
    </row>
    <row r="275" spans="1:5" x14ac:dyDescent="0.25">
      <c r="A275" s="32" t="s">
        <v>649</v>
      </c>
      <c r="C275" s="42" t="s">
        <v>623</v>
      </c>
      <c r="D275" s="42">
        <v>0</v>
      </c>
      <c r="E275" s="42">
        <v>1</v>
      </c>
    </row>
    <row r="276" spans="1:5" x14ac:dyDescent="0.25">
      <c r="A276" s="32" t="s">
        <v>650</v>
      </c>
      <c r="C276" s="42" t="s">
        <v>624</v>
      </c>
      <c r="D276" s="42">
        <v>0</v>
      </c>
      <c r="E276" s="42">
        <v>1</v>
      </c>
    </row>
    <row r="277" spans="1:5" x14ac:dyDescent="0.25">
      <c r="A277" s="32" t="s">
        <v>651</v>
      </c>
      <c r="C277" s="42" t="s">
        <v>625</v>
      </c>
      <c r="D277" s="42">
        <v>0</v>
      </c>
      <c r="E277" s="42">
        <v>1</v>
      </c>
    </row>
    <row r="278" spans="1:5" x14ac:dyDescent="0.25">
      <c r="A278" s="32" t="s">
        <v>652</v>
      </c>
      <c r="C278" s="42" t="s">
        <v>626</v>
      </c>
      <c r="D278" s="42">
        <v>0</v>
      </c>
      <c r="E278" s="42">
        <v>1</v>
      </c>
    </row>
    <row r="279" spans="1:5" x14ac:dyDescent="0.25">
      <c r="A279" s="32" t="s">
        <v>653</v>
      </c>
      <c r="C279" s="42" t="s">
        <v>627</v>
      </c>
      <c r="D279" s="42">
        <v>0</v>
      </c>
      <c r="E279" s="42">
        <v>1</v>
      </c>
    </row>
    <row r="280" spans="1:5" x14ac:dyDescent="0.25">
      <c r="A280" s="32" t="s">
        <v>654</v>
      </c>
      <c r="C280" s="42" t="s">
        <v>628</v>
      </c>
      <c r="D280" s="42">
        <v>0</v>
      </c>
      <c r="E280" s="42">
        <v>1</v>
      </c>
    </row>
    <row r="281" spans="1:5" x14ac:dyDescent="0.25">
      <c r="A281" s="32" t="s">
        <v>655</v>
      </c>
      <c r="C281" s="42" t="s">
        <v>629</v>
      </c>
      <c r="D281" s="42">
        <v>0</v>
      </c>
      <c r="E281" s="42">
        <v>1</v>
      </c>
    </row>
    <row r="282" spans="1:5" x14ac:dyDescent="0.25">
      <c r="A282" s="32" t="s">
        <v>656</v>
      </c>
      <c r="C282" s="42" t="s">
        <v>630</v>
      </c>
      <c r="D282" s="42">
        <v>0</v>
      </c>
      <c r="E282" s="42">
        <v>1</v>
      </c>
    </row>
    <row r="283" spans="1:5" x14ac:dyDescent="0.25">
      <c r="A283" s="32" t="s">
        <v>657</v>
      </c>
      <c r="C283" s="42" t="s">
        <v>631</v>
      </c>
      <c r="D283" s="42">
        <v>0</v>
      </c>
      <c r="E283" s="42">
        <v>1</v>
      </c>
    </row>
    <row r="284" spans="1:5" x14ac:dyDescent="0.25">
      <c r="A284" s="32" t="s">
        <v>658</v>
      </c>
      <c r="C284" s="42" t="s">
        <v>632</v>
      </c>
      <c r="D284" s="42">
        <v>0</v>
      </c>
      <c r="E284" s="42">
        <v>1</v>
      </c>
    </row>
    <row r="285" spans="1:5" x14ac:dyDescent="0.25">
      <c r="A285" s="32" t="s">
        <v>659</v>
      </c>
      <c r="C285" s="42" t="s">
        <v>633</v>
      </c>
      <c r="D285" s="42">
        <v>0</v>
      </c>
      <c r="E285" s="42">
        <v>1</v>
      </c>
    </row>
    <row r="286" spans="1:5" x14ac:dyDescent="0.25">
      <c r="A286" s="32" t="s">
        <v>660</v>
      </c>
      <c r="C286" s="42" t="s">
        <v>634</v>
      </c>
      <c r="D286" s="42">
        <v>0</v>
      </c>
      <c r="E286" s="42">
        <v>1</v>
      </c>
    </row>
    <row r="287" spans="1:5" x14ac:dyDescent="0.25">
      <c r="A287" s="32" t="s">
        <v>661</v>
      </c>
      <c r="C287" s="42" t="s">
        <v>635</v>
      </c>
      <c r="D287" s="42">
        <v>0</v>
      </c>
      <c r="E287" s="42">
        <v>1</v>
      </c>
    </row>
    <row r="288" spans="1:5" x14ac:dyDescent="0.25">
      <c r="A288" s="32" t="s">
        <v>662</v>
      </c>
      <c r="C288" s="42" t="s">
        <v>636</v>
      </c>
      <c r="D288" s="42">
        <v>0</v>
      </c>
      <c r="E288" s="42">
        <v>1</v>
      </c>
    </row>
    <row r="289" spans="1:5" x14ac:dyDescent="0.25">
      <c r="A289" s="32" t="s">
        <v>663</v>
      </c>
      <c r="C289" s="42" t="s">
        <v>637</v>
      </c>
      <c r="D289" s="42">
        <v>0</v>
      </c>
      <c r="E289" s="42">
        <v>1</v>
      </c>
    </row>
    <row r="290" spans="1:5" x14ac:dyDescent="0.25">
      <c r="A290" s="32" t="s">
        <v>664</v>
      </c>
      <c r="C290" s="42" t="s">
        <v>638</v>
      </c>
      <c r="D290" s="42">
        <v>0</v>
      </c>
      <c r="E290" s="42">
        <v>1</v>
      </c>
    </row>
    <row r="291" spans="1:5" x14ac:dyDescent="0.25">
      <c r="A291" s="32" t="s">
        <v>665</v>
      </c>
      <c r="C291" s="42" t="s">
        <v>639</v>
      </c>
      <c r="D291" s="42">
        <v>0</v>
      </c>
      <c r="E291" s="42">
        <v>1</v>
      </c>
    </row>
    <row r="292" spans="1:5" x14ac:dyDescent="0.25">
      <c r="A292" s="32" t="s">
        <v>666</v>
      </c>
      <c r="C292" s="42" t="s">
        <v>640</v>
      </c>
      <c r="D292" s="42">
        <v>0</v>
      </c>
      <c r="E292" s="42">
        <v>1</v>
      </c>
    </row>
    <row r="293" spans="1:5" x14ac:dyDescent="0.25">
      <c r="A293" s="32" t="s">
        <v>667</v>
      </c>
      <c r="C293" s="42" t="s">
        <v>641</v>
      </c>
      <c r="D293" s="42">
        <v>0</v>
      </c>
      <c r="E293" s="42">
        <v>1</v>
      </c>
    </row>
    <row r="294" spans="1:5" x14ac:dyDescent="0.25">
      <c r="A294" s="32" t="s">
        <v>668</v>
      </c>
      <c r="C294" s="42" t="s">
        <v>642</v>
      </c>
      <c r="D294" s="42">
        <v>0</v>
      </c>
      <c r="E294" s="42">
        <v>1</v>
      </c>
    </row>
    <row r="295" spans="1:5" x14ac:dyDescent="0.25">
      <c r="A295" s="32" t="s">
        <v>669</v>
      </c>
      <c r="C295" s="42" t="s">
        <v>643</v>
      </c>
      <c r="D295" s="42">
        <v>0</v>
      </c>
      <c r="E295" s="42">
        <v>1</v>
      </c>
    </row>
    <row r="296" spans="1:5" x14ac:dyDescent="0.25">
      <c r="A296" s="32" t="s">
        <v>670</v>
      </c>
      <c r="C296" s="42" t="s">
        <v>644</v>
      </c>
      <c r="D296" s="42">
        <v>0</v>
      </c>
      <c r="E296" s="42">
        <v>1</v>
      </c>
    </row>
    <row r="297" spans="1:5" x14ac:dyDescent="0.25">
      <c r="A297" s="32" t="s">
        <v>671</v>
      </c>
      <c r="C297" s="42" t="s">
        <v>645</v>
      </c>
      <c r="D297" s="42">
        <v>0</v>
      </c>
      <c r="E297" s="42">
        <v>1</v>
      </c>
    </row>
    <row r="298" spans="1:5" x14ac:dyDescent="0.25">
      <c r="A298" s="32" t="s">
        <v>672</v>
      </c>
      <c r="C298" s="42" t="s">
        <v>646</v>
      </c>
      <c r="D298" s="42">
        <v>0</v>
      </c>
      <c r="E298" s="42">
        <v>1</v>
      </c>
    </row>
    <row r="299" spans="1:5" x14ac:dyDescent="0.25">
      <c r="A299" s="32" t="s">
        <v>673</v>
      </c>
      <c r="C299" s="42" t="s">
        <v>647</v>
      </c>
      <c r="D299" s="42">
        <v>0</v>
      </c>
      <c r="E299" s="42">
        <v>1</v>
      </c>
    </row>
    <row r="300" spans="1:5" x14ac:dyDescent="0.25">
      <c r="A300" s="32" t="s">
        <v>458</v>
      </c>
      <c r="C300" s="42" t="s">
        <v>648</v>
      </c>
      <c r="D300" s="42">
        <v>0</v>
      </c>
      <c r="E300" s="42">
        <v>1</v>
      </c>
    </row>
    <row r="301" spans="1:5" x14ac:dyDescent="0.25">
      <c r="A301" s="32" t="s">
        <v>674</v>
      </c>
      <c r="C301" s="42" t="s">
        <v>649</v>
      </c>
      <c r="D301" s="42">
        <v>0</v>
      </c>
      <c r="E301" s="42">
        <v>1</v>
      </c>
    </row>
    <row r="302" spans="1:5" x14ac:dyDescent="0.25">
      <c r="A302" s="32" t="s">
        <v>675</v>
      </c>
      <c r="C302" s="42" t="s">
        <v>650</v>
      </c>
      <c r="D302" s="42">
        <v>0</v>
      </c>
      <c r="E302" s="42">
        <v>1</v>
      </c>
    </row>
    <row r="303" spans="1:5" x14ac:dyDescent="0.25">
      <c r="A303" s="32" t="s">
        <v>547</v>
      </c>
      <c r="C303" s="42" t="s">
        <v>651</v>
      </c>
      <c r="D303" s="42">
        <v>0</v>
      </c>
      <c r="E303" s="42">
        <v>1</v>
      </c>
    </row>
    <row r="304" spans="1:5" x14ac:dyDescent="0.25">
      <c r="A304" s="32" t="s">
        <v>676</v>
      </c>
      <c r="C304" s="42" t="s">
        <v>652</v>
      </c>
      <c r="D304" s="42">
        <v>0</v>
      </c>
      <c r="E304" s="42">
        <v>1</v>
      </c>
    </row>
    <row r="305" spans="1:5" x14ac:dyDescent="0.25">
      <c r="A305" s="32" t="s">
        <v>677</v>
      </c>
      <c r="C305" s="42" t="s">
        <v>653</v>
      </c>
      <c r="D305" s="42">
        <v>0</v>
      </c>
      <c r="E305" s="42">
        <v>1</v>
      </c>
    </row>
    <row r="306" spans="1:5" x14ac:dyDescent="0.25">
      <c r="A306" s="32" t="s">
        <v>678</v>
      </c>
      <c r="C306" s="42" t="s">
        <v>654</v>
      </c>
      <c r="D306" s="42">
        <v>0</v>
      </c>
      <c r="E306" s="42">
        <v>1</v>
      </c>
    </row>
    <row r="307" spans="1:5" x14ac:dyDescent="0.25">
      <c r="A307" s="32" t="s">
        <v>679</v>
      </c>
      <c r="C307" s="42" t="s">
        <v>655</v>
      </c>
      <c r="D307" s="42">
        <v>0</v>
      </c>
      <c r="E307" s="42">
        <v>1</v>
      </c>
    </row>
    <row r="308" spans="1:5" x14ac:dyDescent="0.25">
      <c r="A308" s="32" t="s">
        <v>680</v>
      </c>
      <c r="C308" s="42" t="s">
        <v>656</v>
      </c>
      <c r="D308" s="42">
        <v>0</v>
      </c>
      <c r="E308" s="42">
        <v>1</v>
      </c>
    </row>
    <row r="309" spans="1:5" x14ac:dyDescent="0.25">
      <c r="A309" s="32" t="s">
        <v>390</v>
      </c>
      <c r="C309" s="42" t="s">
        <v>657</v>
      </c>
      <c r="D309" s="42">
        <v>0</v>
      </c>
      <c r="E309" s="42">
        <v>1</v>
      </c>
    </row>
    <row r="310" spans="1:5" x14ac:dyDescent="0.25">
      <c r="A310" s="32" t="s">
        <v>681</v>
      </c>
      <c r="C310" s="42" t="s">
        <v>658</v>
      </c>
      <c r="D310" s="42">
        <v>0</v>
      </c>
      <c r="E310" s="42">
        <v>1</v>
      </c>
    </row>
    <row r="311" spans="1:5" x14ac:dyDescent="0.25">
      <c r="A311" s="32" t="s">
        <v>682</v>
      </c>
      <c r="C311" s="42" t="s">
        <v>659</v>
      </c>
      <c r="D311" s="42">
        <v>0</v>
      </c>
      <c r="E311" s="42">
        <v>1</v>
      </c>
    </row>
    <row r="312" spans="1:5" x14ac:dyDescent="0.25">
      <c r="A312" s="32" t="s">
        <v>683</v>
      </c>
      <c r="C312" s="42" t="s">
        <v>660</v>
      </c>
      <c r="D312" s="42">
        <v>0</v>
      </c>
      <c r="E312" s="42">
        <v>1</v>
      </c>
    </row>
    <row r="313" spans="1:5" x14ac:dyDescent="0.25">
      <c r="A313" s="32" t="s">
        <v>684</v>
      </c>
      <c r="C313" s="42" t="s">
        <v>661</v>
      </c>
      <c r="D313" s="42">
        <v>0</v>
      </c>
      <c r="E313" s="42">
        <v>1</v>
      </c>
    </row>
    <row r="314" spans="1:5" x14ac:dyDescent="0.25">
      <c r="A314" s="32" t="s">
        <v>395</v>
      </c>
      <c r="C314" s="42" t="s">
        <v>662</v>
      </c>
      <c r="D314" s="42">
        <v>0</v>
      </c>
      <c r="E314" s="42">
        <v>1</v>
      </c>
    </row>
    <row r="315" spans="1:5" x14ac:dyDescent="0.25">
      <c r="A315" s="32" t="s">
        <v>685</v>
      </c>
      <c r="C315" s="42" t="s">
        <v>663</v>
      </c>
      <c r="D315" s="42">
        <v>0</v>
      </c>
      <c r="E315" s="42">
        <v>1</v>
      </c>
    </row>
    <row r="316" spans="1:5" x14ac:dyDescent="0.25">
      <c r="A316" s="32" t="s">
        <v>686</v>
      </c>
      <c r="C316" s="42" t="s">
        <v>664</v>
      </c>
      <c r="D316" s="42">
        <v>0</v>
      </c>
      <c r="E316" s="42">
        <v>1</v>
      </c>
    </row>
    <row r="317" spans="1:5" x14ac:dyDescent="0.25">
      <c r="A317" s="32" t="s">
        <v>687</v>
      </c>
      <c r="C317" s="42" t="s">
        <v>665</v>
      </c>
      <c r="D317" s="42">
        <v>0</v>
      </c>
      <c r="E317" s="42">
        <v>1</v>
      </c>
    </row>
    <row r="318" spans="1:5" x14ac:dyDescent="0.25">
      <c r="A318" s="32" t="s">
        <v>688</v>
      </c>
      <c r="C318" s="42" t="s">
        <v>666</v>
      </c>
      <c r="D318" s="42">
        <v>0</v>
      </c>
      <c r="E318" s="42">
        <v>1</v>
      </c>
    </row>
    <row r="319" spans="1:5" x14ac:dyDescent="0.25">
      <c r="A319" s="32" t="s">
        <v>689</v>
      </c>
      <c r="C319" s="42" t="s">
        <v>667</v>
      </c>
      <c r="D319" s="42">
        <v>0</v>
      </c>
      <c r="E319" s="42">
        <v>1</v>
      </c>
    </row>
    <row r="320" spans="1:5" x14ac:dyDescent="0.25">
      <c r="A320" s="32" t="s">
        <v>690</v>
      </c>
      <c r="C320" s="42" t="s">
        <v>668</v>
      </c>
      <c r="D320" s="42">
        <v>0</v>
      </c>
      <c r="E320" s="42">
        <v>1</v>
      </c>
    </row>
    <row r="321" spans="1:5" x14ac:dyDescent="0.25">
      <c r="A321" s="32" t="s">
        <v>691</v>
      </c>
      <c r="C321" s="42" t="s">
        <v>669</v>
      </c>
      <c r="D321" s="42">
        <v>0</v>
      </c>
      <c r="E321" s="42">
        <v>1</v>
      </c>
    </row>
    <row r="322" spans="1:5" x14ac:dyDescent="0.25">
      <c r="A322" s="32" t="s">
        <v>692</v>
      </c>
      <c r="C322" s="42" t="s">
        <v>670</v>
      </c>
      <c r="D322" s="42">
        <v>0</v>
      </c>
      <c r="E322" s="42">
        <v>1</v>
      </c>
    </row>
    <row r="323" spans="1:5" x14ac:dyDescent="0.25">
      <c r="A323" s="32" t="s">
        <v>693</v>
      </c>
      <c r="C323" s="42" t="s">
        <v>671</v>
      </c>
      <c r="D323" s="42">
        <v>0</v>
      </c>
      <c r="E323" s="42">
        <v>1</v>
      </c>
    </row>
    <row r="324" spans="1:5" x14ac:dyDescent="0.25">
      <c r="A324" s="32" t="s">
        <v>694</v>
      </c>
      <c r="C324" s="42" t="s">
        <v>672</v>
      </c>
      <c r="D324" s="42">
        <v>0</v>
      </c>
      <c r="E324" s="42">
        <v>1</v>
      </c>
    </row>
    <row r="325" spans="1:5" x14ac:dyDescent="0.25">
      <c r="A325" s="32" t="s">
        <v>695</v>
      </c>
      <c r="C325" s="42" t="s">
        <v>673</v>
      </c>
      <c r="D325" s="42">
        <v>0</v>
      </c>
      <c r="E325" s="42">
        <v>1</v>
      </c>
    </row>
    <row r="326" spans="1:5" x14ac:dyDescent="0.25">
      <c r="A326" s="32" t="s">
        <v>696</v>
      </c>
      <c r="C326" s="42" t="s">
        <v>674</v>
      </c>
      <c r="D326" s="42">
        <v>0</v>
      </c>
      <c r="E326" s="42">
        <v>1</v>
      </c>
    </row>
    <row r="327" spans="1:5" x14ac:dyDescent="0.25">
      <c r="A327" s="32" t="s">
        <v>697</v>
      </c>
      <c r="C327" s="42" t="s">
        <v>675</v>
      </c>
      <c r="D327" s="42">
        <v>0</v>
      </c>
      <c r="E327" s="42">
        <v>1</v>
      </c>
    </row>
    <row r="328" spans="1:5" x14ac:dyDescent="0.25">
      <c r="A328" s="32" t="s">
        <v>698</v>
      </c>
      <c r="C328" s="42" t="s">
        <v>676</v>
      </c>
      <c r="D328" s="42">
        <v>0</v>
      </c>
      <c r="E328" s="42">
        <v>1</v>
      </c>
    </row>
    <row r="329" spans="1:5" x14ac:dyDescent="0.25">
      <c r="A329" s="32" t="s">
        <v>547</v>
      </c>
      <c r="C329" s="42" t="s">
        <v>677</v>
      </c>
      <c r="D329" s="42">
        <v>0</v>
      </c>
      <c r="E329" s="42">
        <v>1</v>
      </c>
    </row>
    <row r="330" spans="1:5" x14ac:dyDescent="0.25">
      <c r="A330" s="32" t="s">
        <v>699</v>
      </c>
      <c r="C330" s="42" t="s">
        <v>678</v>
      </c>
      <c r="D330" s="42">
        <v>0</v>
      </c>
      <c r="E330" s="42">
        <v>1</v>
      </c>
    </row>
    <row r="331" spans="1:5" x14ac:dyDescent="0.25">
      <c r="A331" s="32" t="s">
        <v>700</v>
      </c>
      <c r="C331" s="42" t="s">
        <v>679</v>
      </c>
      <c r="D331" s="42">
        <v>0</v>
      </c>
      <c r="E331" s="42">
        <v>1</v>
      </c>
    </row>
    <row r="332" spans="1:5" x14ac:dyDescent="0.25">
      <c r="A332" s="32" t="s">
        <v>701</v>
      </c>
      <c r="C332" s="42" t="s">
        <v>680</v>
      </c>
      <c r="D332" s="42">
        <v>0</v>
      </c>
      <c r="E332" s="42">
        <v>1</v>
      </c>
    </row>
    <row r="333" spans="1:5" x14ac:dyDescent="0.25">
      <c r="A333" s="32" t="s">
        <v>702</v>
      </c>
      <c r="C333" s="42" t="s">
        <v>681</v>
      </c>
      <c r="D333" s="42">
        <v>0</v>
      </c>
      <c r="E333" s="42">
        <v>1</v>
      </c>
    </row>
    <row r="334" spans="1:5" x14ac:dyDescent="0.25">
      <c r="A334" s="32" t="s">
        <v>703</v>
      </c>
      <c r="C334" s="42" t="s">
        <v>682</v>
      </c>
      <c r="D334" s="42">
        <v>0</v>
      </c>
      <c r="E334" s="42">
        <v>1</v>
      </c>
    </row>
    <row r="335" spans="1:5" x14ac:dyDescent="0.25">
      <c r="A335" s="32" t="s">
        <v>704</v>
      </c>
      <c r="C335" s="42" t="s">
        <v>683</v>
      </c>
      <c r="D335" s="42">
        <v>0</v>
      </c>
      <c r="E335" s="42">
        <v>1</v>
      </c>
    </row>
    <row r="336" spans="1:5" x14ac:dyDescent="0.25">
      <c r="A336" s="32" t="s">
        <v>705</v>
      </c>
      <c r="C336" s="42" t="s">
        <v>684</v>
      </c>
      <c r="D336" s="42">
        <v>0</v>
      </c>
      <c r="E336" s="42">
        <v>1</v>
      </c>
    </row>
    <row r="337" spans="1:5" x14ac:dyDescent="0.25">
      <c r="A337" s="32" t="s">
        <v>706</v>
      </c>
      <c r="C337" s="42" t="s">
        <v>685</v>
      </c>
      <c r="D337" s="42">
        <v>0</v>
      </c>
      <c r="E337" s="42">
        <v>1</v>
      </c>
    </row>
    <row r="338" spans="1:5" x14ac:dyDescent="0.25">
      <c r="A338" s="32" t="s">
        <v>707</v>
      </c>
      <c r="C338" s="42" t="s">
        <v>686</v>
      </c>
      <c r="D338" s="42">
        <v>0</v>
      </c>
      <c r="E338" s="42">
        <v>1</v>
      </c>
    </row>
    <row r="339" spans="1:5" x14ac:dyDescent="0.25">
      <c r="A339" s="32" t="s">
        <v>708</v>
      </c>
      <c r="C339" s="42" t="s">
        <v>687</v>
      </c>
      <c r="D339" s="42">
        <v>0</v>
      </c>
      <c r="E339" s="42">
        <v>1</v>
      </c>
    </row>
    <row r="340" spans="1:5" x14ac:dyDescent="0.25">
      <c r="A340" s="32" t="s">
        <v>709</v>
      </c>
      <c r="C340" s="42" t="s">
        <v>688</v>
      </c>
      <c r="D340" s="42">
        <v>0</v>
      </c>
      <c r="E340" s="42">
        <v>1</v>
      </c>
    </row>
    <row r="341" spans="1:5" x14ac:dyDescent="0.25">
      <c r="A341" s="32" t="s">
        <v>710</v>
      </c>
      <c r="C341" s="42" t="s">
        <v>689</v>
      </c>
      <c r="D341" s="42">
        <v>0</v>
      </c>
      <c r="E341" s="42">
        <v>1</v>
      </c>
    </row>
    <row r="342" spans="1:5" x14ac:dyDescent="0.25">
      <c r="A342" s="32" t="s">
        <v>711</v>
      </c>
      <c r="C342" s="42" t="s">
        <v>690</v>
      </c>
      <c r="D342" s="42">
        <v>0</v>
      </c>
      <c r="E342" s="42">
        <v>1</v>
      </c>
    </row>
    <row r="343" spans="1:5" x14ac:dyDescent="0.25">
      <c r="A343" s="32" t="s">
        <v>712</v>
      </c>
      <c r="C343" s="42" t="s">
        <v>691</v>
      </c>
      <c r="D343" s="42">
        <v>0</v>
      </c>
      <c r="E343" s="42">
        <v>1</v>
      </c>
    </row>
    <row r="344" spans="1:5" x14ac:dyDescent="0.25">
      <c r="A344" s="32" t="s">
        <v>713</v>
      </c>
      <c r="C344" s="42" t="s">
        <v>692</v>
      </c>
      <c r="D344" s="42">
        <v>0</v>
      </c>
      <c r="E344" s="42">
        <v>1</v>
      </c>
    </row>
    <row r="345" spans="1:5" x14ac:dyDescent="0.25">
      <c r="A345" s="32" t="s">
        <v>714</v>
      </c>
      <c r="C345" s="42" t="s">
        <v>693</v>
      </c>
      <c r="D345" s="42">
        <v>0</v>
      </c>
      <c r="E345" s="42">
        <v>1</v>
      </c>
    </row>
    <row r="346" spans="1:5" x14ac:dyDescent="0.25">
      <c r="A346" s="32" t="s">
        <v>715</v>
      </c>
      <c r="C346" s="42" t="s">
        <v>694</v>
      </c>
      <c r="D346" s="42">
        <v>0</v>
      </c>
      <c r="E346" s="42">
        <v>1</v>
      </c>
    </row>
    <row r="347" spans="1:5" x14ac:dyDescent="0.25">
      <c r="A347" s="32" t="s">
        <v>716</v>
      </c>
      <c r="C347" s="42" t="s">
        <v>695</v>
      </c>
      <c r="D347" s="42">
        <v>0</v>
      </c>
      <c r="E347" s="42">
        <v>1</v>
      </c>
    </row>
    <row r="348" spans="1:5" x14ac:dyDescent="0.25">
      <c r="A348" s="32" t="s">
        <v>717</v>
      </c>
      <c r="C348" s="42" t="s">
        <v>696</v>
      </c>
      <c r="D348" s="42">
        <v>0</v>
      </c>
      <c r="E348" s="42">
        <v>1</v>
      </c>
    </row>
    <row r="349" spans="1:5" x14ac:dyDescent="0.25">
      <c r="A349" s="32" t="s">
        <v>718</v>
      </c>
      <c r="C349" s="42" t="s">
        <v>697</v>
      </c>
      <c r="D349" s="42">
        <v>0</v>
      </c>
      <c r="E349" s="42">
        <v>1</v>
      </c>
    </row>
    <row r="350" spans="1:5" x14ac:dyDescent="0.25">
      <c r="A350" s="32" t="s">
        <v>548</v>
      </c>
      <c r="C350" s="42" t="s">
        <v>698</v>
      </c>
      <c r="D350" s="42">
        <v>0</v>
      </c>
      <c r="E350" s="42">
        <v>1</v>
      </c>
    </row>
    <row r="351" spans="1:5" x14ac:dyDescent="0.25">
      <c r="A351" s="32" t="s">
        <v>719</v>
      </c>
      <c r="C351" s="42" t="s">
        <v>699</v>
      </c>
      <c r="D351" s="42">
        <v>0</v>
      </c>
      <c r="E351" s="42">
        <v>1</v>
      </c>
    </row>
    <row r="352" spans="1:5" x14ac:dyDescent="0.25">
      <c r="A352" s="32" t="s">
        <v>720</v>
      </c>
      <c r="C352" s="42" t="s">
        <v>700</v>
      </c>
      <c r="D352" s="42">
        <v>0</v>
      </c>
      <c r="E352" s="42">
        <v>1</v>
      </c>
    </row>
    <row r="353" spans="1:5" x14ac:dyDescent="0.25">
      <c r="A353" s="32" t="s">
        <v>721</v>
      </c>
      <c r="C353" s="42" t="s">
        <v>701</v>
      </c>
      <c r="D353" s="42">
        <v>0</v>
      </c>
      <c r="E353" s="42">
        <v>1</v>
      </c>
    </row>
    <row r="354" spans="1:5" x14ac:dyDescent="0.25">
      <c r="A354" s="32" t="s">
        <v>722</v>
      </c>
      <c r="C354" s="42" t="s">
        <v>702</v>
      </c>
      <c r="D354" s="42">
        <v>0</v>
      </c>
      <c r="E354" s="42">
        <v>1</v>
      </c>
    </row>
    <row r="355" spans="1:5" x14ac:dyDescent="0.25">
      <c r="A355" s="32" t="s">
        <v>723</v>
      </c>
      <c r="C355" s="42" t="s">
        <v>703</v>
      </c>
      <c r="D355" s="42">
        <v>0</v>
      </c>
      <c r="E355" s="42">
        <v>1</v>
      </c>
    </row>
    <row r="356" spans="1:5" x14ac:dyDescent="0.25">
      <c r="A356" s="32" t="s">
        <v>724</v>
      </c>
      <c r="C356" s="42" t="s">
        <v>704</v>
      </c>
      <c r="D356" s="42">
        <v>0</v>
      </c>
      <c r="E356" s="42">
        <v>1</v>
      </c>
    </row>
    <row r="357" spans="1:5" x14ac:dyDescent="0.25">
      <c r="A357" s="32" t="s">
        <v>725</v>
      </c>
      <c r="C357" s="42" t="s">
        <v>705</v>
      </c>
      <c r="D357" s="42">
        <v>0</v>
      </c>
      <c r="E357" s="42">
        <v>1</v>
      </c>
    </row>
    <row r="358" spans="1:5" x14ac:dyDescent="0.25">
      <c r="A358" s="32" t="s">
        <v>726</v>
      </c>
      <c r="C358" s="42" t="s">
        <v>706</v>
      </c>
      <c r="D358" s="42">
        <v>0</v>
      </c>
      <c r="E358" s="42">
        <v>1</v>
      </c>
    </row>
    <row r="359" spans="1:5" x14ac:dyDescent="0.25">
      <c r="A359" s="32" t="s">
        <v>727</v>
      </c>
      <c r="C359" s="42" t="s">
        <v>707</v>
      </c>
      <c r="D359" s="42">
        <v>0</v>
      </c>
      <c r="E359" s="42">
        <v>1</v>
      </c>
    </row>
    <row r="360" spans="1:5" x14ac:dyDescent="0.25">
      <c r="A360" s="32" t="s">
        <v>548</v>
      </c>
      <c r="C360" s="42" t="s">
        <v>708</v>
      </c>
      <c r="D360" s="42">
        <v>0</v>
      </c>
      <c r="E360" s="42">
        <v>1</v>
      </c>
    </row>
    <row r="361" spans="1:5" x14ac:dyDescent="0.25">
      <c r="A361" s="32" t="s">
        <v>728</v>
      </c>
      <c r="C361" s="42" t="s">
        <v>709</v>
      </c>
      <c r="D361" s="42">
        <v>0</v>
      </c>
      <c r="E361" s="42">
        <v>1</v>
      </c>
    </row>
    <row r="362" spans="1:5" x14ac:dyDescent="0.25">
      <c r="A362" s="32" t="s">
        <v>729</v>
      </c>
      <c r="C362" s="42" t="s">
        <v>710</v>
      </c>
      <c r="D362" s="42">
        <v>0</v>
      </c>
      <c r="E362" s="42">
        <v>1</v>
      </c>
    </row>
    <row r="363" spans="1:5" x14ac:dyDescent="0.25">
      <c r="A363" s="32" t="s">
        <v>730</v>
      </c>
      <c r="C363" s="42" t="s">
        <v>711</v>
      </c>
      <c r="D363" s="42">
        <v>0</v>
      </c>
      <c r="E363" s="42">
        <v>1</v>
      </c>
    </row>
    <row r="364" spans="1:5" x14ac:dyDescent="0.25">
      <c r="A364" s="32" t="s">
        <v>731</v>
      </c>
      <c r="C364" s="42" t="s">
        <v>712</v>
      </c>
      <c r="D364" s="42">
        <v>0</v>
      </c>
      <c r="E364" s="42">
        <v>1</v>
      </c>
    </row>
    <row r="365" spans="1:5" x14ac:dyDescent="0.25">
      <c r="A365" s="32" t="s">
        <v>732</v>
      </c>
      <c r="C365" s="42" t="s">
        <v>713</v>
      </c>
      <c r="D365" s="42">
        <v>0</v>
      </c>
      <c r="E365" s="42">
        <v>1</v>
      </c>
    </row>
    <row r="366" spans="1:5" x14ac:dyDescent="0.25">
      <c r="A366" s="32" t="s">
        <v>733</v>
      </c>
      <c r="C366" s="42" t="s">
        <v>714</v>
      </c>
      <c r="D366" s="42">
        <v>0</v>
      </c>
      <c r="E366" s="42">
        <v>1</v>
      </c>
    </row>
    <row r="367" spans="1:5" x14ac:dyDescent="0.25">
      <c r="A367" s="32" t="s">
        <v>734</v>
      </c>
      <c r="C367" s="42" t="s">
        <v>715</v>
      </c>
      <c r="D367" s="42">
        <v>0</v>
      </c>
      <c r="E367" s="42">
        <v>1</v>
      </c>
    </row>
    <row r="368" spans="1:5" x14ac:dyDescent="0.25">
      <c r="A368" s="32" t="s">
        <v>735</v>
      </c>
      <c r="C368" s="42" t="s">
        <v>716</v>
      </c>
      <c r="D368" s="42">
        <v>0</v>
      </c>
      <c r="E368" s="42">
        <v>1</v>
      </c>
    </row>
    <row r="369" spans="1:5" x14ac:dyDescent="0.25">
      <c r="A369" s="32" t="s">
        <v>736</v>
      </c>
      <c r="C369" s="42" t="s">
        <v>717</v>
      </c>
      <c r="D369" s="42">
        <v>0</v>
      </c>
      <c r="E369" s="42">
        <v>1</v>
      </c>
    </row>
    <row r="370" spans="1:5" x14ac:dyDescent="0.25">
      <c r="A370" s="32" t="s">
        <v>737</v>
      </c>
      <c r="C370" s="42" t="s">
        <v>718</v>
      </c>
      <c r="D370" s="42">
        <v>0</v>
      </c>
      <c r="E370" s="42">
        <v>1</v>
      </c>
    </row>
    <row r="371" spans="1:5" x14ac:dyDescent="0.25">
      <c r="A371" s="32" t="s">
        <v>738</v>
      </c>
      <c r="C371" s="42" t="s">
        <v>719</v>
      </c>
      <c r="D371" s="42">
        <v>0</v>
      </c>
      <c r="E371" s="42">
        <v>1</v>
      </c>
    </row>
    <row r="372" spans="1:5" x14ac:dyDescent="0.25">
      <c r="A372" s="32" t="s">
        <v>739</v>
      </c>
      <c r="C372" s="42" t="s">
        <v>720</v>
      </c>
      <c r="D372" s="42">
        <v>0</v>
      </c>
      <c r="E372" s="42">
        <v>1</v>
      </c>
    </row>
    <row r="373" spans="1:5" x14ac:dyDescent="0.25">
      <c r="A373" s="32" t="s">
        <v>408</v>
      </c>
      <c r="C373" s="42" t="s">
        <v>721</v>
      </c>
      <c r="D373" s="42">
        <v>0</v>
      </c>
      <c r="E373" s="42">
        <v>1</v>
      </c>
    </row>
    <row r="374" spans="1:5" x14ac:dyDescent="0.25">
      <c r="A374" s="32" t="s">
        <v>740</v>
      </c>
      <c r="C374" s="42" t="s">
        <v>722</v>
      </c>
      <c r="D374" s="42">
        <v>0</v>
      </c>
      <c r="E374" s="42">
        <v>1</v>
      </c>
    </row>
    <row r="375" spans="1:5" x14ac:dyDescent="0.25">
      <c r="A375" s="32" t="s">
        <v>741</v>
      </c>
      <c r="C375" s="42" t="s">
        <v>723</v>
      </c>
      <c r="D375" s="42">
        <v>0</v>
      </c>
      <c r="E375" s="42">
        <v>1</v>
      </c>
    </row>
    <row r="376" spans="1:5" x14ac:dyDescent="0.25">
      <c r="A376" s="32" t="s">
        <v>742</v>
      </c>
      <c r="C376" s="42" t="s">
        <v>724</v>
      </c>
      <c r="D376" s="42">
        <v>0</v>
      </c>
      <c r="E376" s="42">
        <v>1</v>
      </c>
    </row>
    <row r="377" spans="1:5" x14ac:dyDescent="0.25">
      <c r="A377" s="32" t="s">
        <v>743</v>
      </c>
      <c r="C377" s="42" t="s">
        <v>725</v>
      </c>
      <c r="D377" s="42">
        <v>0</v>
      </c>
      <c r="E377" s="42">
        <v>1</v>
      </c>
    </row>
    <row r="378" spans="1:5" x14ac:dyDescent="0.25">
      <c r="A378" s="32" t="s">
        <v>744</v>
      </c>
      <c r="C378" s="42" t="s">
        <v>726</v>
      </c>
      <c r="D378" s="42">
        <v>0</v>
      </c>
      <c r="E378" s="42">
        <v>1</v>
      </c>
    </row>
    <row r="379" spans="1:5" x14ac:dyDescent="0.25">
      <c r="A379" s="32" t="s">
        <v>745</v>
      </c>
      <c r="C379" s="42" t="s">
        <v>727</v>
      </c>
      <c r="D379" s="42">
        <v>0</v>
      </c>
      <c r="E379" s="42">
        <v>1</v>
      </c>
    </row>
    <row r="380" spans="1:5" x14ac:dyDescent="0.25">
      <c r="A380" s="32" t="s">
        <v>746</v>
      </c>
      <c r="C380" s="42" t="s">
        <v>728</v>
      </c>
      <c r="D380" s="42">
        <v>0</v>
      </c>
      <c r="E380" s="42">
        <v>1</v>
      </c>
    </row>
    <row r="381" spans="1:5" x14ac:dyDescent="0.25">
      <c r="A381" s="32" t="s">
        <v>747</v>
      </c>
      <c r="C381" s="42" t="s">
        <v>729</v>
      </c>
      <c r="D381" s="42">
        <v>0</v>
      </c>
      <c r="E381" s="42">
        <v>1</v>
      </c>
    </row>
    <row r="382" spans="1:5" x14ac:dyDescent="0.25">
      <c r="A382" s="32" t="s">
        <v>748</v>
      </c>
      <c r="C382" s="42" t="s">
        <v>730</v>
      </c>
      <c r="D382" s="42">
        <v>0</v>
      </c>
      <c r="E382" s="42">
        <v>1</v>
      </c>
    </row>
    <row r="383" spans="1:5" x14ac:dyDescent="0.25">
      <c r="A383" s="32" t="s">
        <v>749</v>
      </c>
      <c r="C383" s="42" t="s">
        <v>731</v>
      </c>
      <c r="D383" s="42">
        <v>0</v>
      </c>
      <c r="E383" s="42">
        <v>1</v>
      </c>
    </row>
    <row r="384" spans="1:5" x14ac:dyDescent="0.25">
      <c r="A384" s="32" t="s">
        <v>544</v>
      </c>
      <c r="C384" s="42" t="s">
        <v>732</v>
      </c>
      <c r="D384" s="42">
        <v>0</v>
      </c>
      <c r="E384" s="42">
        <v>1</v>
      </c>
    </row>
    <row r="385" spans="1:5" x14ac:dyDescent="0.25">
      <c r="A385" s="32" t="s">
        <v>750</v>
      </c>
      <c r="C385" s="42" t="s">
        <v>733</v>
      </c>
      <c r="D385" s="42">
        <v>0</v>
      </c>
      <c r="E385" s="42">
        <v>1</v>
      </c>
    </row>
    <row r="386" spans="1:5" x14ac:dyDescent="0.25">
      <c r="A386" s="32" t="s">
        <v>751</v>
      </c>
      <c r="C386" s="42" t="s">
        <v>734</v>
      </c>
      <c r="D386" s="42">
        <v>0</v>
      </c>
      <c r="E386" s="42">
        <v>1</v>
      </c>
    </row>
    <row r="387" spans="1:5" x14ac:dyDescent="0.25">
      <c r="A387" s="32" t="s">
        <v>752</v>
      </c>
      <c r="C387" s="42" t="s">
        <v>735</v>
      </c>
      <c r="D387" s="42">
        <v>0</v>
      </c>
      <c r="E387" s="42">
        <v>1</v>
      </c>
    </row>
    <row r="388" spans="1:5" x14ac:dyDescent="0.25">
      <c r="A388" s="32" t="s">
        <v>753</v>
      </c>
      <c r="C388" s="42" t="s">
        <v>736</v>
      </c>
      <c r="D388" s="42">
        <v>0</v>
      </c>
      <c r="E388" s="42">
        <v>1</v>
      </c>
    </row>
    <row r="389" spans="1:5" x14ac:dyDescent="0.25">
      <c r="A389" s="32" t="s">
        <v>754</v>
      </c>
      <c r="C389" s="42" t="s">
        <v>737</v>
      </c>
      <c r="D389" s="42">
        <v>0</v>
      </c>
      <c r="E389" s="42">
        <v>1</v>
      </c>
    </row>
    <row r="390" spans="1:5" x14ac:dyDescent="0.25">
      <c r="A390" s="32" t="s">
        <v>755</v>
      </c>
      <c r="C390" s="42" t="s">
        <v>738</v>
      </c>
      <c r="D390" s="42">
        <v>0</v>
      </c>
      <c r="E390" s="42">
        <v>1</v>
      </c>
    </row>
    <row r="391" spans="1:5" x14ac:dyDescent="0.25">
      <c r="A391" s="32" t="s">
        <v>756</v>
      </c>
      <c r="C391" s="42" t="s">
        <v>739</v>
      </c>
      <c r="D391" s="42">
        <v>0</v>
      </c>
      <c r="E391" s="42">
        <v>1</v>
      </c>
    </row>
    <row r="392" spans="1:5" x14ac:dyDescent="0.25">
      <c r="A392" s="32" t="s">
        <v>757</v>
      </c>
      <c r="C392" s="42" t="s">
        <v>740</v>
      </c>
      <c r="D392" s="42">
        <v>0</v>
      </c>
      <c r="E392" s="42">
        <v>1</v>
      </c>
    </row>
    <row r="393" spans="1:5" x14ac:dyDescent="0.25">
      <c r="A393" s="32" t="s">
        <v>758</v>
      </c>
      <c r="C393" s="42" t="s">
        <v>741</v>
      </c>
      <c r="D393" s="42">
        <v>0</v>
      </c>
      <c r="E393" s="42">
        <v>1</v>
      </c>
    </row>
    <row r="394" spans="1:5" x14ac:dyDescent="0.25">
      <c r="A394" s="32" t="s">
        <v>759</v>
      </c>
      <c r="C394" s="42" t="s">
        <v>742</v>
      </c>
      <c r="D394" s="42">
        <v>0</v>
      </c>
      <c r="E394" s="42">
        <v>1</v>
      </c>
    </row>
    <row r="395" spans="1:5" x14ac:dyDescent="0.25">
      <c r="A395" s="32" t="s">
        <v>549</v>
      </c>
      <c r="C395" s="42" t="s">
        <v>743</v>
      </c>
      <c r="D395" s="42">
        <v>0</v>
      </c>
      <c r="E395" s="42">
        <v>1</v>
      </c>
    </row>
    <row r="396" spans="1:5" x14ac:dyDescent="0.25">
      <c r="A396" s="32" t="s">
        <v>760</v>
      </c>
      <c r="C396" s="42" t="s">
        <v>744</v>
      </c>
      <c r="D396" s="42">
        <v>0</v>
      </c>
      <c r="E396" s="42">
        <v>1</v>
      </c>
    </row>
    <row r="397" spans="1:5" x14ac:dyDescent="0.25">
      <c r="A397" s="32" t="s">
        <v>761</v>
      </c>
      <c r="C397" s="42" t="s">
        <v>745</v>
      </c>
      <c r="D397" s="42">
        <v>0</v>
      </c>
      <c r="E397" s="42">
        <v>1</v>
      </c>
    </row>
    <row r="398" spans="1:5" x14ac:dyDescent="0.25">
      <c r="A398" s="32" t="s">
        <v>762</v>
      </c>
      <c r="C398" s="42" t="s">
        <v>746</v>
      </c>
      <c r="D398" s="42">
        <v>0</v>
      </c>
      <c r="E398" s="42">
        <v>1</v>
      </c>
    </row>
    <row r="399" spans="1:5" x14ac:dyDescent="0.25">
      <c r="A399" s="32" t="s">
        <v>763</v>
      </c>
      <c r="C399" s="42" t="s">
        <v>747</v>
      </c>
      <c r="D399" s="42">
        <v>0</v>
      </c>
      <c r="E399" s="42">
        <v>1</v>
      </c>
    </row>
    <row r="400" spans="1:5" x14ac:dyDescent="0.25">
      <c r="A400" s="32" t="s">
        <v>764</v>
      </c>
      <c r="C400" s="42" t="s">
        <v>748</v>
      </c>
      <c r="D400" s="42">
        <v>0</v>
      </c>
      <c r="E400" s="42">
        <v>1</v>
      </c>
    </row>
    <row r="401" spans="1:5" x14ac:dyDescent="0.25">
      <c r="A401" s="32" t="s">
        <v>765</v>
      </c>
      <c r="C401" s="42" t="s">
        <v>749</v>
      </c>
      <c r="D401" s="42">
        <v>0</v>
      </c>
      <c r="E401" s="42">
        <v>1</v>
      </c>
    </row>
    <row r="402" spans="1:5" x14ac:dyDescent="0.25">
      <c r="A402" s="32" t="s">
        <v>766</v>
      </c>
      <c r="C402" s="42" t="s">
        <v>750</v>
      </c>
      <c r="D402" s="42">
        <v>0</v>
      </c>
      <c r="E402" s="42">
        <v>1</v>
      </c>
    </row>
    <row r="403" spans="1:5" x14ac:dyDescent="0.25">
      <c r="A403" s="32" t="s">
        <v>767</v>
      </c>
      <c r="C403" s="42" t="s">
        <v>751</v>
      </c>
      <c r="D403" s="42">
        <v>0</v>
      </c>
      <c r="E403" s="42">
        <v>1</v>
      </c>
    </row>
    <row r="404" spans="1:5" x14ac:dyDescent="0.25">
      <c r="A404" s="32" t="s">
        <v>768</v>
      </c>
      <c r="C404" s="42" t="s">
        <v>752</v>
      </c>
      <c r="D404" s="42">
        <v>0</v>
      </c>
      <c r="E404" s="42">
        <v>1</v>
      </c>
    </row>
    <row r="405" spans="1:5" x14ac:dyDescent="0.25">
      <c r="A405" s="32" t="s">
        <v>492</v>
      </c>
      <c r="C405" s="42" t="s">
        <v>753</v>
      </c>
      <c r="D405" s="42">
        <v>0</v>
      </c>
      <c r="E405" s="42">
        <v>1</v>
      </c>
    </row>
    <row r="406" spans="1:5" x14ac:dyDescent="0.25">
      <c r="A406" s="32" t="s">
        <v>549</v>
      </c>
      <c r="C406" s="42" t="s">
        <v>754</v>
      </c>
      <c r="D406" s="42">
        <v>0</v>
      </c>
      <c r="E406" s="42">
        <v>1</v>
      </c>
    </row>
    <row r="407" spans="1:5" x14ac:dyDescent="0.25">
      <c r="A407" s="32" t="s">
        <v>769</v>
      </c>
      <c r="C407" s="42" t="s">
        <v>755</v>
      </c>
      <c r="D407" s="42">
        <v>0</v>
      </c>
      <c r="E407" s="42">
        <v>1</v>
      </c>
    </row>
    <row r="408" spans="1:5" x14ac:dyDescent="0.25">
      <c r="A408" s="32" t="s">
        <v>770</v>
      </c>
      <c r="C408" s="42" t="s">
        <v>756</v>
      </c>
      <c r="D408" s="42">
        <v>0</v>
      </c>
      <c r="E408" s="42">
        <v>1</v>
      </c>
    </row>
    <row r="409" spans="1:5" x14ac:dyDescent="0.25">
      <c r="A409" s="32" t="s">
        <v>771</v>
      </c>
      <c r="C409" s="42" t="s">
        <v>757</v>
      </c>
      <c r="D409" s="42">
        <v>0</v>
      </c>
      <c r="E409" s="42">
        <v>1</v>
      </c>
    </row>
    <row r="410" spans="1:5" x14ac:dyDescent="0.25">
      <c r="A410" s="32" t="s">
        <v>772</v>
      </c>
      <c r="C410" s="42" t="s">
        <v>758</v>
      </c>
      <c r="D410" s="42">
        <v>0</v>
      </c>
      <c r="E410" s="42">
        <v>1</v>
      </c>
    </row>
    <row r="411" spans="1:5" x14ac:dyDescent="0.25">
      <c r="A411" s="32" t="s">
        <v>773</v>
      </c>
      <c r="C411" s="42" t="s">
        <v>759</v>
      </c>
      <c r="D411" s="42">
        <v>0</v>
      </c>
      <c r="E411" s="42">
        <v>1</v>
      </c>
    </row>
    <row r="412" spans="1:5" x14ac:dyDescent="0.25">
      <c r="A412" s="32" t="s">
        <v>774</v>
      </c>
      <c r="C412" s="42" t="s">
        <v>760</v>
      </c>
      <c r="D412" s="42">
        <v>0</v>
      </c>
      <c r="E412" s="42">
        <v>1</v>
      </c>
    </row>
    <row r="413" spans="1:5" x14ac:dyDescent="0.25">
      <c r="A413" s="32" t="s">
        <v>775</v>
      </c>
      <c r="C413" s="42" t="s">
        <v>761</v>
      </c>
      <c r="D413" s="42">
        <v>0</v>
      </c>
      <c r="E413" s="42">
        <v>1</v>
      </c>
    </row>
    <row r="414" spans="1:5" x14ac:dyDescent="0.25">
      <c r="A414" s="32" t="s">
        <v>776</v>
      </c>
      <c r="C414" s="42" t="s">
        <v>762</v>
      </c>
      <c r="D414" s="42">
        <v>0</v>
      </c>
      <c r="E414" s="42">
        <v>1</v>
      </c>
    </row>
    <row r="415" spans="1:5" x14ac:dyDescent="0.25">
      <c r="A415" s="32" t="s">
        <v>492</v>
      </c>
      <c r="C415" s="42" t="s">
        <v>763</v>
      </c>
      <c r="D415" s="42">
        <v>0</v>
      </c>
      <c r="E415" s="42">
        <v>1</v>
      </c>
    </row>
    <row r="416" spans="1:5" x14ac:dyDescent="0.25">
      <c r="A416" s="32" t="s">
        <v>777</v>
      </c>
      <c r="C416" s="42" t="s">
        <v>764</v>
      </c>
      <c r="D416" s="42">
        <v>0</v>
      </c>
      <c r="E416" s="42">
        <v>1</v>
      </c>
    </row>
    <row r="417" spans="1:5" x14ac:dyDescent="0.25">
      <c r="A417" s="32" t="s">
        <v>778</v>
      </c>
      <c r="C417" s="42" t="s">
        <v>765</v>
      </c>
      <c r="D417" s="42">
        <v>0</v>
      </c>
      <c r="E417" s="42">
        <v>1</v>
      </c>
    </row>
    <row r="418" spans="1:5" x14ac:dyDescent="0.25">
      <c r="A418" s="32" t="s">
        <v>779</v>
      </c>
      <c r="C418" s="42" t="s">
        <v>766</v>
      </c>
      <c r="D418" s="42">
        <v>0</v>
      </c>
      <c r="E418" s="42">
        <v>1</v>
      </c>
    </row>
    <row r="419" spans="1:5" x14ac:dyDescent="0.25">
      <c r="A419" s="32" t="s">
        <v>780</v>
      </c>
      <c r="C419" s="42" t="s">
        <v>767</v>
      </c>
      <c r="D419" s="42">
        <v>0</v>
      </c>
      <c r="E419" s="42">
        <v>1</v>
      </c>
    </row>
    <row r="420" spans="1:5" x14ac:dyDescent="0.25">
      <c r="A420" s="32" t="s">
        <v>781</v>
      </c>
      <c r="C420" s="42" t="s">
        <v>768</v>
      </c>
      <c r="D420" s="42">
        <v>0</v>
      </c>
      <c r="E420" s="42">
        <v>1</v>
      </c>
    </row>
    <row r="421" spans="1:5" x14ac:dyDescent="0.25">
      <c r="A421" s="32" t="s">
        <v>782</v>
      </c>
      <c r="C421" s="42" t="s">
        <v>769</v>
      </c>
      <c r="D421" s="42">
        <v>0</v>
      </c>
      <c r="E421" s="42">
        <v>1</v>
      </c>
    </row>
    <row r="422" spans="1:5" x14ac:dyDescent="0.25">
      <c r="A422" s="32" t="s">
        <v>783</v>
      </c>
      <c r="C422" s="42" t="s">
        <v>770</v>
      </c>
      <c r="D422" s="42">
        <v>0</v>
      </c>
      <c r="E422" s="42">
        <v>1</v>
      </c>
    </row>
    <row r="423" spans="1:5" x14ac:dyDescent="0.25">
      <c r="A423" s="32" t="s">
        <v>784</v>
      </c>
      <c r="C423" s="42" t="s">
        <v>771</v>
      </c>
      <c r="D423" s="42">
        <v>0</v>
      </c>
      <c r="E423" s="42">
        <v>1</v>
      </c>
    </row>
    <row r="424" spans="1:5" x14ac:dyDescent="0.25">
      <c r="A424" s="32" t="s">
        <v>785</v>
      </c>
      <c r="C424" s="42" t="s">
        <v>772</v>
      </c>
      <c r="D424" s="42">
        <v>0</v>
      </c>
      <c r="E424" s="42">
        <v>1</v>
      </c>
    </row>
    <row r="425" spans="1:5" x14ac:dyDescent="0.25">
      <c r="A425" s="32" t="s">
        <v>786</v>
      </c>
      <c r="C425" s="42" t="s">
        <v>773</v>
      </c>
      <c r="D425" s="42">
        <v>0</v>
      </c>
      <c r="E425" s="42">
        <v>1</v>
      </c>
    </row>
    <row r="426" spans="1:5" x14ac:dyDescent="0.25">
      <c r="A426" s="32" t="s">
        <v>541</v>
      </c>
      <c r="C426" s="42" t="s">
        <v>774</v>
      </c>
      <c r="D426" s="42">
        <v>0</v>
      </c>
      <c r="E426" s="42">
        <v>1</v>
      </c>
    </row>
    <row r="427" spans="1:5" x14ac:dyDescent="0.25">
      <c r="A427" s="32" t="s">
        <v>787</v>
      </c>
      <c r="C427" s="42" t="s">
        <v>775</v>
      </c>
      <c r="D427" s="42">
        <v>0</v>
      </c>
      <c r="E427" s="42">
        <v>1</v>
      </c>
    </row>
    <row r="428" spans="1:5" x14ac:dyDescent="0.25">
      <c r="A428" s="32" t="s">
        <v>359</v>
      </c>
      <c r="C428" s="42" t="s">
        <v>776</v>
      </c>
      <c r="D428" s="42">
        <v>0</v>
      </c>
      <c r="E428" s="42">
        <v>1</v>
      </c>
    </row>
    <row r="429" spans="1:5" x14ac:dyDescent="0.25">
      <c r="A429" s="32" t="s">
        <v>788</v>
      </c>
      <c r="C429" s="42" t="s">
        <v>777</v>
      </c>
      <c r="D429" s="42">
        <v>0</v>
      </c>
      <c r="E429" s="42">
        <v>1</v>
      </c>
    </row>
    <row r="430" spans="1:5" x14ac:dyDescent="0.25">
      <c r="A430" s="32" t="s">
        <v>789</v>
      </c>
      <c r="C430" s="42" t="s">
        <v>778</v>
      </c>
      <c r="D430" s="42">
        <v>0</v>
      </c>
      <c r="E430" s="42">
        <v>1</v>
      </c>
    </row>
    <row r="431" spans="1:5" x14ac:dyDescent="0.25">
      <c r="A431" s="32" t="s">
        <v>790</v>
      </c>
      <c r="C431" s="42" t="s">
        <v>779</v>
      </c>
      <c r="D431" s="42">
        <v>0</v>
      </c>
      <c r="E431" s="42">
        <v>1</v>
      </c>
    </row>
    <row r="432" spans="1:5" x14ac:dyDescent="0.25">
      <c r="A432" s="32" t="s">
        <v>791</v>
      </c>
      <c r="C432" s="42" t="s">
        <v>780</v>
      </c>
      <c r="D432" s="42">
        <v>0</v>
      </c>
      <c r="E432" s="42">
        <v>1</v>
      </c>
    </row>
    <row r="433" spans="1:5" x14ac:dyDescent="0.25">
      <c r="A433" s="32" t="s">
        <v>792</v>
      </c>
      <c r="C433" s="42" t="s">
        <v>781</v>
      </c>
      <c r="D433" s="42">
        <v>0</v>
      </c>
      <c r="E433" s="42">
        <v>1</v>
      </c>
    </row>
    <row r="434" spans="1:5" x14ac:dyDescent="0.25">
      <c r="A434" s="32" t="s">
        <v>793</v>
      </c>
      <c r="C434" s="42" t="s">
        <v>782</v>
      </c>
      <c r="D434" s="42">
        <v>0</v>
      </c>
      <c r="E434" s="42">
        <v>1</v>
      </c>
    </row>
    <row r="435" spans="1:5" x14ac:dyDescent="0.25">
      <c r="A435" s="32" t="s">
        <v>794</v>
      </c>
      <c r="C435" s="42" t="s">
        <v>783</v>
      </c>
      <c r="D435" s="42">
        <v>0</v>
      </c>
      <c r="E435" s="42">
        <v>1</v>
      </c>
    </row>
    <row r="436" spans="1:5" x14ac:dyDescent="0.25">
      <c r="A436" s="32" t="s">
        <v>795</v>
      </c>
      <c r="C436" s="42" t="s">
        <v>784</v>
      </c>
      <c r="D436" s="42">
        <v>0</v>
      </c>
      <c r="E436" s="42">
        <v>1</v>
      </c>
    </row>
    <row r="437" spans="1:5" x14ac:dyDescent="0.25">
      <c r="A437" s="32" t="s">
        <v>796</v>
      </c>
      <c r="C437" s="42" t="s">
        <v>785</v>
      </c>
      <c r="D437" s="42">
        <v>0</v>
      </c>
      <c r="E437" s="42">
        <v>1</v>
      </c>
    </row>
    <row r="438" spans="1:5" x14ac:dyDescent="0.25">
      <c r="A438" s="32" t="s">
        <v>797</v>
      </c>
      <c r="C438" s="42" t="s">
        <v>786</v>
      </c>
      <c r="D438" s="42">
        <v>0</v>
      </c>
      <c r="E438" s="42">
        <v>1</v>
      </c>
    </row>
    <row r="439" spans="1:5" x14ac:dyDescent="0.25">
      <c r="A439" s="32" t="s">
        <v>541</v>
      </c>
      <c r="C439" s="42" t="s">
        <v>787</v>
      </c>
      <c r="D439" s="42">
        <v>0</v>
      </c>
      <c r="E439" s="42">
        <v>1</v>
      </c>
    </row>
    <row r="440" spans="1:5" x14ac:dyDescent="0.25">
      <c r="A440" s="32" t="s">
        <v>798</v>
      </c>
      <c r="C440" s="42" t="s">
        <v>788</v>
      </c>
      <c r="D440" s="42">
        <v>0</v>
      </c>
      <c r="E440" s="42">
        <v>1</v>
      </c>
    </row>
    <row r="441" spans="1:5" x14ac:dyDescent="0.25">
      <c r="A441" s="32" t="s">
        <v>799</v>
      </c>
      <c r="C441" s="42" t="s">
        <v>789</v>
      </c>
      <c r="D441" s="42">
        <v>0</v>
      </c>
      <c r="E441" s="42">
        <v>1</v>
      </c>
    </row>
    <row r="442" spans="1:5" x14ac:dyDescent="0.25">
      <c r="A442" s="32" t="s">
        <v>800</v>
      </c>
      <c r="C442" s="42" t="s">
        <v>790</v>
      </c>
      <c r="D442" s="42">
        <v>0</v>
      </c>
      <c r="E442" s="42">
        <v>1</v>
      </c>
    </row>
    <row r="443" spans="1:5" x14ac:dyDescent="0.25">
      <c r="A443" s="32" t="s">
        <v>801</v>
      </c>
      <c r="C443" s="42" t="s">
        <v>791</v>
      </c>
      <c r="D443" s="42">
        <v>0</v>
      </c>
      <c r="E443" s="42">
        <v>1</v>
      </c>
    </row>
    <row r="444" spans="1:5" x14ac:dyDescent="0.25">
      <c r="A444" s="32" t="s">
        <v>802</v>
      </c>
      <c r="C444" s="42" t="s">
        <v>792</v>
      </c>
      <c r="D444" s="42">
        <v>0</v>
      </c>
      <c r="E444" s="42">
        <v>1</v>
      </c>
    </row>
    <row r="445" spans="1:5" x14ac:dyDescent="0.25">
      <c r="A445" s="32" t="s">
        <v>803</v>
      </c>
      <c r="C445" s="42" t="s">
        <v>793</v>
      </c>
      <c r="D445" s="42">
        <v>0</v>
      </c>
      <c r="E445" s="42">
        <v>1</v>
      </c>
    </row>
    <row r="446" spans="1:5" x14ac:dyDescent="0.25">
      <c r="A446" s="32" t="s">
        <v>804</v>
      </c>
      <c r="C446" s="42" t="s">
        <v>794</v>
      </c>
      <c r="D446" s="42">
        <v>0</v>
      </c>
      <c r="E446" s="42">
        <v>1</v>
      </c>
    </row>
    <row r="447" spans="1:5" x14ac:dyDescent="0.25">
      <c r="A447" s="32" t="s">
        <v>805</v>
      </c>
      <c r="C447" s="42" t="s">
        <v>795</v>
      </c>
      <c r="D447" s="42">
        <v>0</v>
      </c>
      <c r="E447" s="42">
        <v>1</v>
      </c>
    </row>
    <row r="448" spans="1:5" x14ac:dyDescent="0.25">
      <c r="A448" s="32" t="s">
        <v>806</v>
      </c>
      <c r="C448" s="42" t="s">
        <v>796</v>
      </c>
      <c r="D448" s="42">
        <v>0</v>
      </c>
      <c r="E448" s="42">
        <v>1</v>
      </c>
    </row>
    <row r="449" spans="1:5" x14ac:dyDescent="0.25">
      <c r="A449" s="32" t="s">
        <v>807</v>
      </c>
      <c r="C449" s="42" t="s">
        <v>797</v>
      </c>
      <c r="D449" s="42">
        <v>0</v>
      </c>
      <c r="E449" s="42">
        <v>1</v>
      </c>
    </row>
    <row r="450" spans="1:5" x14ac:dyDescent="0.25">
      <c r="A450" s="32" t="s">
        <v>808</v>
      </c>
      <c r="C450" s="42" t="s">
        <v>798</v>
      </c>
      <c r="D450" s="42">
        <v>0</v>
      </c>
      <c r="E450" s="42">
        <v>1</v>
      </c>
    </row>
    <row r="451" spans="1:5" x14ac:dyDescent="0.25">
      <c r="A451" s="32" t="s">
        <v>809</v>
      </c>
      <c r="C451" s="42" t="s">
        <v>799</v>
      </c>
      <c r="D451" s="42">
        <v>0</v>
      </c>
      <c r="E451" s="42">
        <v>1</v>
      </c>
    </row>
    <row r="452" spans="1:5" x14ac:dyDescent="0.25">
      <c r="A452" s="32" t="s">
        <v>810</v>
      </c>
      <c r="C452" s="42" t="s">
        <v>800</v>
      </c>
      <c r="D452" s="42">
        <v>0</v>
      </c>
      <c r="E452" s="42">
        <v>1</v>
      </c>
    </row>
    <row r="453" spans="1:5" x14ac:dyDescent="0.25">
      <c r="A453" s="32" t="s">
        <v>811</v>
      </c>
      <c r="C453" s="42" t="s">
        <v>801</v>
      </c>
      <c r="D453" s="42">
        <v>0</v>
      </c>
      <c r="E453" s="42">
        <v>1</v>
      </c>
    </row>
    <row r="454" spans="1:5" x14ac:dyDescent="0.25">
      <c r="A454" s="32" t="s">
        <v>812</v>
      </c>
      <c r="C454" s="42" t="s">
        <v>802</v>
      </c>
      <c r="D454" s="42">
        <v>0</v>
      </c>
      <c r="E454" s="42">
        <v>1</v>
      </c>
    </row>
    <row r="455" spans="1:5" x14ac:dyDescent="0.25">
      <c r="A455" s="32" t="s">
        <v>813</v>
      </c>
      <c r="C455" s="42" t="s">
        <v>803</v>
      </c>
      <c r="D455" s="42">
        <v>0</v>
      </c>
      <c r="E455" s="42">
        <v>1</v>
      </c>
    </row>
    <row r="456" spans="1:5" x14ac:dyDescent="0.25">
      <c r="A456" s="32" t="s">
        <v>814</v>
      </c>
      <c r="C456" s="42" t="s">
        <v>804</v>
      </c>
      <c r="D456" s="42">
        <v>0</v>
      </c>
      <c r="E456" s="42">
        <v>1</v>
      </c>
    </row>
    <row r="457" spans="1:5" x14ac:dyDescent="0.25">
      <c r="A457" s="32" t="s">
        <v>815</v>
      </c>
      <c r="C457" s="42" t="s">
        <v>805</v>
      </c>
      <c r="D457" s="42">
        <v>0</v>
      </c>
      <c r="E457" s="42">
        <v>1</v>
      </c>
    </row>
    <row r="458" spans="1:5" x14ac:dyDescent="0.25">
      <c r="A458" s="32" t="s">
        <v>816</v>
      </c>
      <c r="C458" s="42" t="s">
        <v>806</v>
      </c>
      <c r="D458" s="42">
        <v>0</v>
      </c>
      <c r="E458" s="42">
        <v>1</v>
      </c>
    </row>
    <row r="459" spans="1:5" x14ac:dyDescent="0.25">
      <c r="A459" s="32" t="s">
        <v>817</v>
      </c>
      <c r="C459" s="42" t="s">
        <v>807</v>
      </c>
      <c r="D459" s="42">
        <v>0</v>
      </c>
      <c r="E459" s="42">
        <v>1</v>
      </c>
    </row>
    <row r="460" spans="1:5" x14ac:dyDescent="0.25">
      <c r="A460" s="32" t="s">
        <v>550</v>
      </c>
      <c r="C460" s="42" t="s">
        <v>808</v>
      </c>
      <c r="D460" s="42">
        <v>0</v>
      </c>
      <c r="E460" s="42">
        <v>1</v>
      </c>
    </row>
    <row r="461" spans="1:5" x14ac:dyDescent="0.25">
      <c r="A461" s="32" t="s">
        <v>818</v>
      </c>
      <c r="C461" s="42" t="s">
        <v>809</v>
      </c>
      <c r="D461" s="42">
        <v>0</v>
      </c>
      <c r="E461" s="42">
        <v>1</v>
      </c>
    </row>
    <row r="462" spans="1:5" x14ac:dyDescent="0.25">
      <c r="A462" s="32" t="s">
        <v>819</v>
      </c>
      <c r="C462" s="42" t="s">
        <v>810</v>
      </c>
      <c r="D462" s="42">
        <v>0</v>
      </c>
      <c r="E462" s="42">
        <v>1</v>
      </c>
    </row>
    <row r="463" spans="1:5" x14ac:dyDescent="0.25">
      <c r="A463" s="32" t="s">
        <v>820</v>
      </c>
      <c r="C463" s="42" t="s">
        <v>811</v>
      </c>
      <c r="D463" s="42">
        <v>0</v>
      </c>
      <c r="E463" s="42">
        <v>1</v>
      </c>
    </row>
    <row r="464" spans="1:5" x14ac:dyDescent="0.25">
      <c r="A464" s="32" t="s">
        <v>551</v>
      </c>
      <c r="C464" s="42" t="s">
        <v>812</v>
      </c>
      <c r="D464" s="42">
        <v>0</v>
      </c>
      <c r="E464" s="42">
        <v>1</v>
      </c>
    </row>
    <row r="465" spans="1:5" x14ac:dyDescent="0.25">
      <c r="A465" s="32" t="s">
        <v>821</v>
      </c>
      <c r="C465" s="42" t="s">
        <v>813</v>
      </c>
      <c r="D465" s="42">
        <v>0</v>
      </c>
      <c r="E465" s="42">
        <v>1</v>
      </c>
    </row>
    <row r="466" spans="1:5" x14ac:dyDescent="0.25">
      <c r="A466" s="32" t="s">
        <v>822</v>
      </c>
      <c r="C466" s="42" t="s">
        <v>814</v>
      </c>
      <c r="D466" s="42">
        <v>0</v>
      </c>
      <c r="E466" s="42">
        <v>1</v>
      </c>
    </row>
    <row r="467" spans="1:5" x14ac:dyDescent="0.25">
      <c r="A467" s="32" t="s">
        <v>823</v>
      </c>
      <c r="C467" s="42" t="s">
        <v>815</v>
      </c>
      <c r="D467" s="42">
        <v>0</v>
      </c>
      <c r="E467" s="42">
        <v>1</v>
      </c>
    </row>
    <row r="468" spans="1:5" x14ac:dyDescent="0.25">
      <c r="A468" s="32" t="s">
        <v>824</v>
      </c>
      <c r="C468" s="42" t="s">
        <v>816</v>
      </c>
      <c r="D468" s="42">
        <v>0</v>
      </c>
      <c r="E468" s="42">
        <v>1</v>
      </c>
    </row>
    <row r="469" spans="1:5" x14ac:dyDescent="0.25">
      <c r="A469" s="32" t="s">
        <v>825</v>
      </c>
      <c r="C469" s="42" t="s">
        <v>817</v>
      </c>
      <c r="D469" s="42">
        <v>0</v>
      </c>
      <c r="E469" s="42">
        <v>1</v>
      </c>
    </row>
    <row r="470" spans="1:5" x14ac:dyDescent="0.25">
      <c r="A470" s="32" t="s">
        <v>384</v>
      </c>
      <c r="C470" s="42" t="s">
        <v>818</v>
      </c>
      <c r="D470" s="42">
        <v>0</v>
      </c>
      <c r="E470" s="42">
        <v>1</v>
      </c>
    </row>
    <row r="471" spans="1:5" x14ac:dyDescent="0.25">
      <c r="A471" s="32" t="s">
        <v>826</v>
      </c>
      <c r="C471" s="42" t="s">
        <v>819</v>
      </c>
      <c r="D471" s="42">
        <v>0</v>
      </c>
      <c r="E471" s="42">
        <v>1</v>
      </c>
    </row>
    <row r="472" spans="1:5" x14ac:dyDescent="0.25">
      <c r="A472" s="32" t="s">
        <v>827</v>
      </c>
      <c r="C472" s="42" t="s">
        <v>820</v>
      </c>
      <c r="D472" s="42">
        <v>0</v>
      </c>
      <c r="E472" s="42">
        <v>1</v>
      </c>
    </row>
    <row r="473" spans="1:5" x14ac:dyDescent="0.25">
      <c r="A473" s="32" t="s">
        <v>828</v>
      </c>
      <c r="C473" s="42" t="s">
        <v>821</v>
      </c>
      <c r="D473" s="42">
        <v>0</v>
      </c>
      <c r="E473" s="42">
        <v>1</v>
      </c>
    </row>
    <row r="474" spans="1:5" x14ac:dyDescent="0.25">
      <c r="A474" s="32" t="s">
        <v>829</v>
      </c>
      <c r="C474" s="42" t="s">
        <v>822</v>
      </c>
      <c r="D474" s="42">
        <v>0</v>
      </c>
      <c r="E474" s="42">
        <v>1</v>
      </c>
    </row>
    <row r="475" spans="1:5" x14ac:dyDescent="0.25">
      <c r="A475" s="32" t="s">
        <v>830</v>
      </c>
      <c r="C475" s="42" t="s">
        <v>823</v>
      </c>
      <c r="D475" s="42">
        <v>0</v>
      </c>
      <c r="E475" s="42">
        <v>1</v>
      </c>
    </row>
    <row r="476" spans="1:5" x14ac:dyDescent="0.25">
      <c r="A476" s="32" t="s">
        <v>831</v>
      </c>
      <c r="C476" s="42" t="s">
        <v>824</v>
      </c>
      <c r="D476" s="42">
        <v>0</v>
      </c>
      <c r="E476" s="42">
        <v>1</v>
      </c>
    </row>
    <row r="477" spans="1:5" x14ac:dyDescent="0.25">
      <c r="A477" s="32" t="s">
        <v>832</v>
      </c>
      <c r="C477" s="42" t="s">
        <v>825</v>
      </c>
      <c r="D477" s="42">
        <v>0</v>
      </c>
      <c r="E477" s="42">
        <v>1</v>
      </c>
    </row>
    <row r="478" spans="1:5" x14ac:dyDescent="0.25">
      <c r="A478" s="32" t="s">
        <v>833</v>
      </c>
      <c r="C478" s="42" t="s">
        <v>826</v>
      </c>
      <c r="D478" s="42">
        <v>0</v>
      </c>
      <c r="E478" s="42">
        <v>1</v>
      </c>
    </row>
    <row r="479" spans="1:5" x14ac:dyDescent="0.25">
      <c r="A479" s="32" t="s">
        <v>834</v>
      </c>
      <c r="C479" s="42" t="s">
        <v>827</v>
      </c>
      <c r="D479" s="42">
        <v>0</v>
      </c>
      <c r="E479" s="42">
        <v>1</v>
      </c>
    </row>
    <row r="480" spans="1:5" x14ac:dyDescent="0.25">
      <c r="A480" s="32" t="s">
        <v>835</v>
      </c>
      <c r="C480" s="42" t="s">
        <v>828</v>
      </c>
      <c r="D480" s="42">
        <v>0</v>
      </c>
      <c r="E480" s="42">
        <v>1</v>
      </c>
    </row>
    <row r="481" spans="1:5" x14ac:dyDescent="0.25">
      <c r="A481" s="32" t="s">
        <v>836</v>
      </c>
      <c r="C481" s="42" t="s">
        <v>829</v>
      </c>
      <c r="D481" s="42">
        <v>0</v>
      </c>
      <c r="E481" s="42">
        <v>1</v>
      </c>
    </row>
    <row r="482" spans="1:5" x14ac:dyDescent="0.25">
      <c r="A482" s="32" t="s">
        <v>837</v>
      </c>
      <c r="C482" s="42" t="s">
        <v>830</v>
      </c>
      <c r="D482" s="42">
        <v>0</v>
      </c>
      <c r="E482" s="42">
        <v>1</v>
      </c>
    </row>
    <row r="483" spans="1:5" x14ac:dyDescent="0.25">
      <c r="A483" s="32" t="s">
        <v>838</v>
      </c>
      <c r="C483" s="42" t="s">
        <v>831</v>
      </c>
      <c r="D483" s="42">
        <v>0</v>
      </c>
      <c r="E483" s="42">
        <v>1</v>
      </c>
    </row>
    <row r="484" spans="1:5" x14ac:dyDescent="0.25">
      <c r="A484" s="32" t="s">
        <v>839</v>
      </c>
      <c r="C484" s="42" t="s">
        <v>832</v>
      </c>
      <c r="D484" s="42">
        <v>0</v>
      </c>
      <c r="E484" s="42">
        <v>1</v>
      </c>
    </row>
    <row r="485" spans="1:5" x14ac:dyDescent="0.25">
      <c r="A485" s="32" t="s">
        <v>840</v>
      </c>
      <c r="C485" s="42" t="s">
        <v>833</v>
      </c>
      <c r="D485" s="42">
        <v>0</v>
      </c>
      <c r="E485" s="42">
        <v>1</v>
      </c>
    </row>
    <row r="486" spans="1:5" x14ac:dyDescent="0.25">
      <c r="A486" s="32" t="s">
        <v>841</v>
      </c>
      <c r="C486" s="42" t="s">
        <v>834</v>
      </c>
      <c r="D486" s="42">
        <v>0</v>
      </c>
      <c r="E486" s="42">
        <v>1</v>
      </c>
    </row>
    <row r="487" spans="1:5" x14ac:dyDescent="0.25">
      <c r="A487" s="32" t="s">
        <v>842</v>
      </c>
      <c r="C487" s="42" t="s">
        <v>835</v>
      </c>
      <c r="D487" s="42">
        <v>0</v>
      </c>
      <c r="E487" s="42">
        <v>1</v>
      </c>
    </row>
    <row r="488" spans="1:5" x14ac:dyDescent="0.25">
      <c r="A488" s="32" t="s">
        <v>843</v>
      </c>
      <c r="C488" s="42" t="s">
        <v>836</v>
      </c>
      <c r="D488" s="42">
        <v>0</v>
      </c>
      <c r="E488" s="42">
        <v>1</v>
      </c>
    </row>
    <row r="489" spans="1:5" x14ac:dyDescent="0.25">
      <c r="A489" s="32" t="s">
        <v>844</v>
      </c>
      <c r="C489" s="42" t="s">
        <v>837</v>
      </c>
      <c r="D489" s="42">
        <v>0</v>
      </c>
      <c r="E489" s="42">
        <v>1</v>
      </c>
    </row>
    <row r="490" spans="1:5" x14ac:dyDescent="0.25">
      <c r="A490" s="32" t="s">
        <v>845</v>
      </c>
      <c r="C490" s="42" t="s">
        <v>838</v>
      </c>
      <c r="D490" s="42">
        <v>0</v>
      </c>
      <c r="E490" s="42">
        <v>1</v>
      </c>
    </row>
    <row r="491" spans="1:5" x14ac:dyDescent="0.25">
      <c r="A491" s="32" t="s">
        <v>846</v>
      </c>
      <c r="C491" s="42" t="s">
        <v>839</v>
      </c>
      <c r="D491" s="42">
        <v>0</v>
      </c>
      <c r="E491" s="42">
        <v>1</v>
      </c>
    </row>
    <row r="492" spans="1:5" x14ac:dyDescent="0.25">
      <c r="A492" s="32" t="s">
        <v>847</v>
      </c>
      <c r="C492" s="42" t="s">
        <v>840</v>
      </c>
      <c r="D492" s="42">
        <v>0</v>
      </c>
      <c r="E492" s="42">
        <v>1</v>
      </c>
    </row>
    <row r="493" spans="1:5" x14ac:dyDescent="0.25">
      <c r="A493" s="32" t="s">
        <v>848</v>
      </c>
      <c r="C493" s="42" t="s">
        <v>841</v>
      </c>
      <c r="D493" s="42">
        <v>0</v>
      </c>
      <c r="E493" s="42">
        <v>1</v>
      </c>
    </row>
    <row r="494" spans="1:5" x14ac:dyDescent="0.25">
      <c r="A494" s="32" t="s">
        <v>849</v>
      </c>
      <c r="C494" s="42" t="s">
        <v>842</v>
      </c>
      <c r="D494" s="42">
        <v>0</v>
      </c>
      <c r="E494" s="42">
        <v>1</v>
      </c>
    </row>
    <row r="495" spans="1:5" x14ac:dyDescent="0.25">
      <c r="A495" s="32" t="s">
        <v>850</v>
      </c>
      <c r="C495" s="42" t="s">
        <v>843</v>
      </c>
      <c r="D495" s="42">
        <v>0</v>
      </c>
      <c r="E495" s="42">
        <v>1</v>
      </c>
    </row>
    <row r="496" spans="1:5" x14ac:dyDescent="0.25">
      <c r="A496" s="32" t="s">
        <v>851</v>
      </c>
      <c r="C496" s="42" t="s">
        <v>844</v>
      </c>
      <c r="D496" s="42">
        <v>0</v>
      </c>
      <c r="E496" s="42">
        <v>1</v>
      </c>
    </row>
    <row r="497" spans="1:5" x14ac:dyDescent="0.25">
      <c r="A497" s="32" t="s">
        <v>552</v>
      </c>
      <c r="C497" s="42" t="s">
        <v>845</v>
      </c>
      <c r="D497" s="42">
        <v>0</v>
      </c>
      <c r="E497" s="42">
        <v>1</v>
      </c>
    </row>
    <row r="498" spans="1:5" x14ac:dyDescent="0.25">
      <c r="A498" s="32" t="s">
        <v>852</v>
      </c>
      <c r="C498" s="42" t="s">
        <v>846</v>
      </c>
      <c r="D498" s="42">
        <v>0</v>
      </c>
      <c r="E498" s="42">
        <v>1</v>
      </c>
    </row>
    <row r="499" spans="1:5" x14ac:dyDescent="0.25">
      <c r="A499" s="32" t="s">
        <v>542</v>
      </c>
      <c r="C499" s="42" t="s">
        <v>847</v>
      </c>
      <c r="D499" s="42">
        <v>0</v>
      </c>
      <c r="E499" s="42">
        <v>1</v>
      </c>
    </row>
    <row r="500" spans="1:5" x14ac:dyDescent="0.25">
      <c r="A500" s="32" t="s">
        <v>853</v>
      </c>
      <c r="C500" s="42" t="s">
        <v>848</v>
      </c>
      <c r="D500" s="42">
        <v>0</v>
      </c>
      <c r="E500" s="42">
        <v>1</v>
      </c>
    </row>
    <row r="501" spans="1:5" x14ac:dyDescent="0.25">
      <c r="A501" s="32" t="s">
        <v>854</v>
      </c>
      <c r="C501" s="42" t="s">
        <v>849</v>
      </c>
      <c r="D501" s="42">
        <v>0</v>
      </c>
      <c r="E501" s="42">
        <v>1</v>
      </c>
    </row>
    <row r="502" spans="1:5" x14ac:dyDescent="0.25">
      <c r="A502" s="32" t="s">
        <v>855</v>
      </c>
      <c r="C502" s="42" t="s">
        <v>850</v>
      </c>
      <c r="D502" s="42">
        <v>0</v>
      </c>
      <c r="E502" s="42">
        <v>1</v>
      </c>
    </row>
    <row r="503" spans="1:5" x14ac:dyDescent="0.25">
      <c r="A503" s="32" t="s">
        <v>856</v>
      </c>
      <c r="C503" s="42" t="s">
        <v>851</v>
      </c>
      <c r="D503" s="42">
        <v>0</v>
      </c>
      <c r="E503" s="42">
        <v>1</v>
      </c>
    </row>
    <row r="504" spans="1:5" x14ac:dyDescent="0.25">
      <c r="A504" s="32" t="s">
        <v>552</v>
      </c>
      <c r="C504" s="42" t="s">
        <v>852</v>
      </c>
      <c r="D504" s="42">
        <v>0</v>
      </c>
      <c r="E504" s="42">
        <v>1</v>
      </c>
    </row>
    <row r="505" spans="1:5" x14ac:dyDescent="0.25">
      <c r="A505" s="32" t="s">
        <v>857</v>
      </c>
      <c r="C505" s="42" t="s">
        <v>853</v>
      </c>
      <c r="D505" s="42">
        <v>0</v>
      </c>
      <c r="E505" s="42">
        <v>1</v>
      </c>
    </row>
    <row r="506" spans="1:5" x14ac:dyDescent="0.25">
      <c r="A506" s="32" t="s">
        <v>858</v>
      </c>
      <c r="C506" s="42" t="s">
        <v>854</v>
      </c>
      <c r="D506" s="42">
        <v>0</v>
      </c>
      <c r="E506" s="42">
        <v>1</v>
      </c>
    </row>
    <row r="507" spans="1:5" x14ac:dyDescent="0.25">
      <c r="A507" s="32" t="s">
        <v>859</v>
      </c>
      <c r="C507" s="42" t="s">
        <v>855</v>
      </c>
      <c r="D507" s="42">
        <v>0</v>
      </c>
      <c r="E507" s="42">
        <v>1</v>
      </c>
    </row>
    <row r="508" spans="1:5" x14ac:dyDescent="0.25">
      <c r="A508" s="32" t="s">
        <v>860</v>
      </c>
      <c r="C508" s="42" t="s">
        <v>856</v>
      </c>
      <c r="D508" s="42">
        <v>0</v>
      </c>
      <c r="E508" s="42">
        <v>1</v>
      </c>
    </row>
    <row r="509" spans="1:5" x14ac:dyDescent="0.25">
      <c r="A509" s="32" t="s">
        <v>861</v>
      </c>
      <c r="C509" s="42" t="s">
        <v>857</v>
      </c>
      <c r="D509" s="42">
        <v>0</v>
      </c>
      <c r="E509" s="42">
        <v>1</v>
      </c>
    </row>
    <row r="510" spans="1:5" x14ac:dyDescent="0.25">
      <c r="A510" s="32" t="s">
        <v>862</v>
      </c>
      <c r="C510" s="42" t="s">
        <v>858</v>
      </c>
      <c r="D510" s="42">
        <v>0</v>
      </c>
      <c r="E510" s="42">
        <v>1</v>
      </c>
    </row>
    <row r="511" spans="1:5" x14ac:dyDescent="0.25">
      <c r="A511" s="32" t="s">
        <v>863</v>
      </c>
      <c r="C511" s="42" t="s">
        <v>859</v>
      </c>
      <c r="D511" s="42">
        <v>0</v>
      </c>
      <c r="E511" s="42">
        <v>1</v>
      </c>
    </row>
    <row r="512" spans="1:5" x14ac:dyDescent="0.25">
      <c r="A512" s="32" t="s">
        <v>864</v>
      </c>
      <c r="C512" s="42" t="s">
        <v>860</v>
      </c>
      <c r="D512" s="42">
        <v>0</v>
      </c>
      <c r="E512" s="42">
        <v>1</v>
      </c>
    </row>
    <row r="513" spans="1:5" x14ac:dyDescent="0.25">
      <c r="A513" s="32" t="s">
        <v>865</v>
      </c>
      <c r="C513" s="42" t="s">
        <v>861</v>
      </c>
      <c r="D513" s="42">
        <v>0</v>
      </c>
      <c r="E513" s="42">
        <v>1</v>
      </c>
    </row>
    <row r="514" spans="1:5" x14ac:dyDescent="0.25">
      <c r="A514" s="32" t="s">
        <v>866</v>
      </c>
      <c r="C514" s="42" t="s">
        <v>862</v>
      </c>
      <c r="D514" s="42">
        <v>0</v>
      </c>
      <c r="E514" s="42">
        <v>1</v>
      </c>
    </row>
    <row r="515" spans="1:5" x14ac:dyDescent="0.25">
      <c r="A515" s="32" t="s">
        <v>550</v>
      </c>
      <c r="C515" s="42" t="s">
        <v>863</v>
      </c>
      <c r="D515" s="42">
        <v>0</v>
      </c>
      <c r="E515" s="42">
        <v>1</v>
      </c>
    </row>
    <row r="516" spans="1:5" x14ac:dyDescent="0.25">
      <c r="A516" s="32" t="s">
        <v>867</v>
      </c>
      <c r="C516" s="42" t="s">
        <v>864</v>
      </c>
      <c r="D516" s="42">
        <v>0</v>
      </c>
      <c r="E516" s="42">
        <v>1</v>
      </c>
    </row>
    <row r="517" spans="1:5" x14ac:dyDescent="0.25">
      <c r="A517" s="32" t="s">
        <v>868</v>
      </c>
      <c r="C517" s="42" t="s">
        <v>865</v>
      </c>
      <c r="D517" s="42">
        <v>0</v>
      </c>
      <c r="E517" s="42">
        <v>1</v>
      </c>
    </row>
    <row r="518" spans="1:5" x14ac:dyDescent="0.25">
      <c r="A518" s="32" t="s">
        <v>869</v>
      </c>
      <c r="C518" s="42" t="s">
        <v>866</v>
      </c>
      <c r="D518" s="42">
        <v>0</v>
      </c>
      <c r="E518" s="42">
        <v>1</v>
      </c>
    </row>
    <row r="519" spans="1:5" x14ac:dyDescent="0.25">
      <c r="A519" s="32" t="s">
        <v>870</v>
      </c>
      <c r="C519" s="42" t="s">
        <v>867</v>
      </c>
      <c r="D519" s="42">
        <v>0</v>
      </c>
      <c r="E519" s="42">
        <v>1</v>
      </c>
    </row>
    <row r="520" spans="1:5" x14ac:dyDescent="0.25">
      <c r="A520" s="32" t="s">
        <v>871</v>
      </c>
      <c r="C520" s="42" t="s">
        <v>868</v>
      </c>
      <c r="D520" s="42">
        <v>0</v>
      </c>
      <c r="E520" s="42">
        <v>1</v>
      </c>
    </row>
    <row r="521" spans="1:5" x14ac:dyDescent="0.25">
      <c r="A521" s="32" t="s">
        <v>872</v>
      </c>
      <c r="C521" s="42" t="s">
        <v>869</v>
      </c>
      <c r="D521" s="42">
        <v>0</v>
      </c>
      <c r="E521" s="42">
        <v>1</v>
      </c>
    </row>
    <row r="522" spans="1:5" x14ac:dyDescent="0.25">
      <c r="A522" s="32" t="s">
        <v>873</v>
      </c>
      <c r="C522" s="42" t="s">
        <v>870</v>
      </c>
      <c r="D522" s="42">
        <v>0</v>
      </c>
      <c r="E522" s="42">
        <v>1</v>
      </c>
    </row>
    <row r="523" spans="1:5" x14ac:dyDescent="0.25">
      <c r="A523" s="32" t="s">
        <v>874</v>
      </c>
      <c r="C523" s="42" t="s">
        <v>871</v>
      </c>
      <c r="D523" s="42">
        <v>0</v>
      </c>
      <c r="E523" s="42">
        <v>1</v>
      </c>
    </row>
    <row r="524" spans="1:5" x14ac:dyDescent="0.25">
      <c r="A524" s="32" t="s">
        <v>875</v>
      </c>
      <c r="C524" s="42" t="s">
        <v>872</v>
      </c>
      <c r="D524" s="42">
        <v>0</v>
      </c>
      <c r="E524" s="42">
        <v>1</v>
      </c>
    </row>
    <row r="525" spans="1:5" x14ac:dyDescent="0.25">
      <c r="A525" s="32" t="s">
        <v>876</v>
      </c>
      <c r="C525" s="42" t="s">
        <v>873</v>
      </c>
      <c r="D525" s="42">
        <v>0</v>
      </c>
      <c r="E525" s="42">
        <v>1</v>
      </c>
    </row>
    <row r="526" spans="1:5" x14ac:dyDescent="0.25">
      <c r="A526" s="32" t="s">
        <v>877</v>
      </c>
      <c r="C526" s="42" t="s">
        <v>874</v>
      </c>
      <c r="D526" s="42">
        <v>0</v>
      </c>
      <c r="E526" s="42">
        <v>1</v>
      </c>
    </row>
    <row r="527" spans="1:5" x14ac:dyDescent="0.25">
      <c r="A527" s="32" t="s">
        <v>878</v>
      </c>
      <c r="C527" s="42" t="s">
        <v>875</v>
      </c>
      <c r="D527" s="42">
        <v>0</v>
      </c>
      <c r="E527" s="42">
        <v>1</v>
      </c>
    </row>
    <row r="528" spans="1:5" x14ac:dyDescent="0.25">
      <c r="A528" s="32" t="s">
        <v>879</v>
      </c>
      <c r="C528" s="42" t="s">
        <v>876</v>
      </c>
      <c r="D528" s="42">
        <v>0</v>
      </c>
      <c r="E528" s="42">
        <v>1</v>
      </c>
    </row>
    <row r="529" spans="1:5" x14ac:dyDescent="0.25">
      <c r="A529" s="32" t="s">
        <v>880</v>
      </c>
      <c r="C529" s="42" t="s">
        <v>877</v>
      </c>
      <c r="D529" s="42">
        <v>0</v>
      </c>
      <c r="E529" s="42">
        <v>1</v>
      </c>
    </row>
    <row r="530" spans="1:5" x14ac:dyDescent="0.25">
      <c r="A530" s="32" t="s">
        <v>881</v>
      </c>
      <c r="C530" s="42" t="s">
        <v>878</v>
      </c>
      <c r="D530" s="42">
        <v>0</v>
      </c>
      <c r="E530" s="42">
        <v>1</v>
      </c>
    </row>
    <row r="531" spans="1:5" x14ac:dyDescent="0.25">
      <c r="A531" s="32" t="s">
        <v>553</v>
      </c>
      <c r="C531" s="42" t="s">
        <v>879</v>
      </c>
      <c r="D531" s="42">
        <v>0</v>
      </c>
      <c r="E531" s="42">
        <v>1</v>
      </c>
    </row>
    <row r="532" spans="1:5" x14ac:dyDescent="0.25">
      <c r="A532" s="32" t="s">
        <v>554</v>
      </c>
      <c r="C532" s="42" t="s">
        <v>880</v>
      </c>
      <c r="D532" s="42">
        <v>0</v>
      </c>
      <c r="E532" s="42">
        <v>1</v>
      </c>
    </row>
    <row r="533" spans="1:5" x14ac:dyDescent="0.25">
      <c r="A533" s="32" t="s">
        <v>555</v>
      </c>
      <c r="C533" s="42" t="s">
        <v>881</v>
      </c>
      <c r="D533" s="42">
        <v>0</v>
      </c>
      <c r="E533" s="42">
        <v>1</v>
      </c>
    </row>
    <row r="534" spans="1:5" x14ac:dyDescent="0.25">
      <c r="A534" s="32" t="s">
        <v>556</v>
      </c>
      <c r="C534" s="42" t="s">
        <v>882</v>
      </c>
      <c r="D534" s="42">
        <v>0</v>
      </c>
      <c r="E534" s="42">
        <v>1</v>
      </c>
    </row>
    <row r="535" spans="1:5" x14ac:dyDescent="0.25">
      <c r="A535" s="32" t="s">
        <v>557</v>
      </c>
      <c r="C535" s="42" t="s">
        <v>883</v>
      </c>
      <c r="D535" s="42">
        <v>0</v>
      </c>
      <c r="E535" s="42">
        <v>1</v>
      </c>
    </row>
    <row r="536" spans="1:5" x14ac:dyDescent="0.25">
      <c r="A536" s="32" t="s">
        <v>558</v>
      </c>
      <c r="C536" s="42" t="s">
        <v>884</v>
      </c>
      <c r="D536" s="42">
        <v>0</v>
      </c>
      <c r="E536" s="42">
        <v>1</v>
      </c>
    </row>
    <row r="537" spans="1:5" x14ac:dyDescent="0.25">
      <c r="A537" s="32" t="s">
        <v>559</v>
      </c>
      <c r="C537" s="42" t="s">
        <v>885</v>
      </c>
      <c r="D537" s="42">
        <v>0</v>
      </c>
      <c r="E537" s="42">
        <v>1</v>
      </c>
    </row>
    <row r="538" spans="1:5" x14ac:dyDescent="0.25">
      <c r="A538" s="32" t="s">
        <v>560</v>
      </c>
      <c r="C538" s="42" t="s">
        <v>886</v>
      </c>
      <c r="D538" s="42">
        <v>0</v>
      </c>
      <c r="E538" s="42">
        <v>1</v>
      </c>
    </row>
    <row r="539" spans="1:5" x14ac:dyDescent="0.25">
      <c r="A539" s="32" t="s">
        <v>561</v>
      </c>
      <c r="C539" s="42" t="s">
        <v>887</v>
      </c>
      <c r="D539" s="42">
        <v>0</v>
      </c>
      <c r="E539" s="42">
        <v>1</v>
      </c>
    </row>
    <row r="540" spans="1:5" x14ac:dyDescent="0.25">
      <c r="A540" s="32" t="s">
        <v>562</v>
      </c>
      <c r="C540" s="42" t="s">
        <v>888</v>
      </c>
      <c r="D540" s="42">
        <v>0</v>
      </c>
      <c r="E540" s="42">
        <v>1</v>
      </c>
    </row>
    <row r="541" spans="1:5" x14ac:dyDescent="0.25">
      <c r="A541" s="32" t="s">
        <v>564</v>
      </c>
      <c r="C541" s="42" t="s">
        <v>889</v>
      </c>
      <c r="D541" s="42">
        <v>0</v>
      </c>
      <c r="E541" s="42">
        <v>1</v>
      </c>
    </row>
    <row r="542" spans="1:5" x14ac:dyDescent="0.25">
      <c r="A542" s="32" t="s">
        <v>566</v>
      </c>
      <c r="C542" s="42" t="s">
        <v>890</v>
      </c>
      <c r="D542" s="42">
        <v>0</v>
      </c>
      <c r="E542" s="42">
        <v>1</v>
      </c>
    </row>
    <row r="543" spans="1:5" x14ac:dyDescent="0.25">
      <c r="A543" s="32" t="s">
        <v>541</v>
      </c>
      <c r="C543" s="42" t="s">
        <v>891</v>
      </c>
      <c r="D543" s="42">
        <v>0</v>
      </c>
      <c r="E543" s="42">
        <v>1</v>
      </c>
    </row>
    <row r="544" spans="1:5" x14ac:dyDescent="0.25">
      <c r="A544" s="32" t="s">
        <v>568</v>
      </c>
      <c r="C544" s="42" t="s">
        <v>892</v>
      </c>
      <c r="D544" s="42">
        <v>0</v>
      </c>
      <c r="E544" s="42">
        <v>1</v>
      </c>
    </row>
    <row r="545" spans="1:5" x14ac:dyDescent="0.25">
      <c r="A545" s="32" t="s">
        <v>570</v>
      </c>
      <c r="C545" s="42" t="s">
        <v>893</v>
      </c>
      <c r="D545" s="42">
        <v>0</v>
      </c>
      <c r="E545" s="42">
        <v>1</v>
      </c>
    </row>
    <row r="546" spans="1:5" x14ac:dyDescent="0.25">
      <c r="A546" s="32" t="s">
        <v>571</v>
      </c>
      <c r="C546" s="42" t="s">
        <v>894</v>
      </c>
      <c r="D546" s="42">
        <v>0</v>
      </c>
      <c r="E546" s="42">
        <v>1</v>
      </c>
    </row>
    <row r="547" spans="1:5" x14ac:dyDescent="0.25">
      <c r="A547" s="32" t="s">
        <v>573</v>
      </c>
      <c r="C547" s="42" t="s">
        <v>895</v>
      </c>
      <c r="D547" s="42">
        <v>0</v>
      </c>
      <c r="E547" s="42">
        <v>1</v>
      </c>
    </row>
    <row r="548" spans="1:5" x14ac:dyDescent="0.25">
      <c r="A548" s="32" t="s">
        <v>575</v>
      </c>
      <c r="C548" s="42" t="s">
        <v>896</v>
      </c>
      <c r="D548" s="42">
        <v>0</v>
      </c>
      <c r="E548" s="42">
        <v>1</v>
      </c>
    </row>
    <row r="549" spans="1:5" x14ac:dyDescent="0.25">
      <c r="A549" s="32" t="s">
        <v>577</v>
      </c>
      <c r="C549" s="42" t="s">
        <v>897</v>
      </c>
      <c r="D549" s="42">
        <v>0</v>
      </c>
      <c r="E549" s="42">
        <v>1</v>
      </c>
    </row>
    <row r="550" spans="1:5" x14ac:dyDescent="0.25">
      <c r="A550" s="32" t="s">
        <v>579</v>
      </c>
      <c r="C550" s="42" t="s">
        <v>898</v>
      </c>
      <c r="D550" s="42">
        <v>0</v>
      </c>
      <c r="E550" s="42">
        <v>1</v>
      </c>
    </row>
    <row r="551" spans="1:5" x14ac:dyDescent="0.25">
      <c r="A551" s="32" t="s">
        <v>581</v>
      </c>
      <c r="C551" s="42" t="s">
        <v>899</v>
      </c>
      <c r="D551" s="42">
        <v>0</v>
      </c>
      <c r="E551" s="42">
        <v>1</v>
      </c>
    </row>
    <row r="552" spans="1:5" x14ac:dyDescent="0.25">
      <c r="A552" s="32" t="s">
        <v>583</v>
      </c>
      <c r="C552" s="42" t="s">
        <v>900</v>
      </c>
      <c r="D552" s="42">
        <v>0</v>
      </c>
      <c r="E552" s="42">
        <v>1</v>
      </c>
    </row>
    <row r="553" spans="1:5" x14ac:dyDescent="0.25">
      <c r="A553" s="32" t="s">
        <v>584</v>
      </c>
      <c r="C553" s="42" t="s">
        <v>901</v>
      </c>
      <c r="D553" s="42">
        <v>0</v>
      </c>
      <c r="E553" s="42">
        <v>1</v>
      </c>
    </row>
    <row r="554" spans="1:5" x14ac:dyDescent="0.25">
      <c r="A554" s="32" t="s">
        <v>586</v>
      </c>
      <c r="C554" s="42" t="s">
        <v>902</v>
      </c>
      <c r="D554" s="42">
        <v>0</v>
      </c>
      <c r="E554" s="42">
        <v>1</v>
      </c>
    </row>
    <row r="555" spans="1:5" x14ac:dyDescent="0.25">
      <c r="A555" s="32" t="s">
        <v>588</v>
      </c>
      <c r="C555" s="42" t="s">
        <v>903</v>
      </c>
      <c r="D555" s="42">
        <v>0</v>
      </c>
      <c r="E555" s="42">
        <v>1</v>
      </c>
    </row>
    <row r="556" spans="1:5" x14ac:dyDescent="0.25">
      <c r="A556" s="32" t="s">
        <v>590</v>
      </c>
      <c r="C556" s="42" t="s">
        <v>904</v>
      </c>
      <c r="D556" s="42">
        <v>0</v>
      </c>
      <c r="E556" s="42">
        <v>1</v>
      </c>
    </row>
    <row r="557" spans="1:5" x14ac:dyDescent="0.25">
      <c r="A557" s="32" t="s">
        <v>592</v>
      </c>
      <c r="C557" s="42" t="s">
        <v>905</v>
      </c>
      <c r="D557" s="42">
        <v>0</v>
      </c>
      <c r="E557" s="42">
        <v>1</v>
      </c>
    </row>
    <row r="558" spans="1:5" x14ac:dyDescent="0.25">
      <c r="A558" s="32" t="s">
        <v>594</v>
      </c>
      <c r="C558" s="42" t="s">
        <v>906</v>
      </c>
      <c r="D558" s="42">
        <v>0</v>
      </c>
      <c r="E558" s="42">
        <v>1</v>
      </c>
    </row>
    <row r="559" spans="1:5" x14ac:dyDescent="0.25">
      <c r="A559" s="32" t="s">
        <v>596</v>
      </c>
      <c r="C559" s="42" t="s">
        <v>907</v>
      </c>
      <c r="D559" s="42">
        <v>0</v>
      </c>
      <c r="E559" s="42">
        <v>1</v>
      </c>
    </row>
    <row r="560" spans="1:5" x14ac:dyDescent="0.25">
      <c r="A560" s="32" t="s">
        <v>598</v>
      </c>
      <c r="C560" s="42" t="s">
        <v>908</v>
      </c>
      <c r="D560" s="42">
        <v>0</v>
      </c>
      <c r="E560" s="42">
        <v>1</v>
      </c>
    </row>
    <row r="561" spans="1:5" x14ac:dyDescent="0.25">
      <c r="A561" s="32" t="s">
        <v>553</v>
      </c>
      <c r="C561" s="42" t="s">
        <v>909</v>
      </c>
      <c r="D561" s="42">
        <v>0</v>
      </c>
      <c r="E561" s="42">
        <v>1</v>
      </c>
    </row>
    <row r="562" spans="1:5" x14ac:dyDescent="0.25">
      <c r="A562" s="32" t="s">
        <v>554</v>
      </c>
      <c r="C562" s="42" t="s">
        <v>910</v>
      </c>
      <c r="D562" s="42">
        <v>0</v>
      </c>
      <c r="E562" s="42">
        <v>1</v>
      </c>
    </row>
    <row r="563" spans="1:5" x14ac:dyDescent="0.25">
      <c r="A563" s="32" t="s">
        <v>555</v>
      </c>
      <c r="C563" s="42" t="s">
        <v>911</v>
      </c>
      <c r="D563" s="42">
        <v>0</v>
      </c>
      <c r="E563" s="42">
        <v>1</v>
      </c>
    </row>
    <row r="564" spans="1:5" x14ac:dyDescent="0.25">
      <c r="A564" s="32" t="s">
        <v>556</v>
      </c>
      <c r="C564" s="42" t="s">
        <v>912</v>
      </c>
      <c r="D564" s="42">
        <v>0</v>
      </c>
      <c r="E564" s="42">
        <v>1</v>
      </c>
    </row>
    <row r="565" spans="1:5" x14ac:dyDescent="0.25">
      <c r="A565" s="32" t="s">
        <v>557</v>
      </c>
      <c r="C565" s="42" t="s">
        <v>913</v>
      </c>
      <c r="D565" s="42">
        <v>0</v>
      </c>
      <c r="E565" s="42">
        <v>1</v>
      </c>
    </row>
    <row r="566" spans="1:5" x14ac:dyDescent="0.25">
      <c r="A566" s="32" t="s">
        <v>558</v>
      </c>
      <c r="C566" s="42" t="s">
        <v>914</v>
      </c>
      <c r="D566" s="42">
        <v>0</v>
      </c>
      <c r="E566" s="42">
        <v>1</v>
      </c>
    </row>
    <row r="567" spans="1:5" x14ac:dyDescent="0.25">
      <c r="A567" s="32" t="s">
        <v>559</v>
      </c>
      <c r="C567" s="42" t="s">
        <v>915</v>
      </c>
      <c r="D567" s="42">
        <v>0</v>
      </c>
      <c r="E567" s="42">
        <v>1</v>
      </c>
    </row>
    <row r="568" spans="1:5" x14ac:dyDescent="0.25">
      <c r="A568" s="32" t="s">
        <v>560</v>
      </c>
      <c r="C568" s="42" t="s">
        <v>916</v>
      </c>
      <c r="D568" s="42">
        <v>0</v>
      </c>
      <c r="E568" s="42">
        <v>1</v>
      </c>
    </row>
    <row r="569" spans="1:5" x14ac:dyDescent="0.25">
      <c r="A569" s="32" t="s">
        <v>561</v>
      </c>
      <c r="C569" s="42" t="s">
        <v>917</v>
      </c>
      <c r="D569" s="42">
        <v>0</v>
      </c>
      <c r="E569" s="42">
        <v>1</v>
      </c>
    </row>
    <row r="570" spans="1:5" x14ac:dyDescent="0.25">
      <c r="A570" s="32" t="s">
        <v>562</v>
      </c>
      <c r="C570" s="42" t="s">
        <v>918</v>
      </c>
      <c r="D570" s="42">
        <v>0</v>
      </c>
      <c r="E570" s="42">
        <v>1</v>
      </c>
    </row>
    <row r="571" spans="1:5" x14ac:dyDescent="0.25">
      <c r="A571" s="32" t="s">
        <v>564</v>
      </c>
      <c r="C571" s="42" t="s">
        <v>919</v>
      </c>
      <c r="D571" s="42">
        <v>0</v>
      </c>
      <c r="E571" s="42">
        <v>1</v>
      </c>
    </row>
    <row r="572" spans="1:5" x14ac:dyDescent="0.25">
      <c r="A572" s="32" t="s">
        <v>566</v>
      </c>
      <c r="C572" s="42" t="s">
        <v>920</v>
      </c>
      <c r="D572" s="42">
        <v>0</v>
      </c>
      <c r="E572" s="42">
        <v>1</v>
      </c>
    </row>
    <row r="573" spans="1:5" x14ac:dyDescent="0.25">
      <c r="A573" s="32" t="s">
        <v>541</v>
      </c>
      <c r="C573" s="42" t="s">
        <v>921</v>
      </c>
      <c r="D573" s="42">
        <v>0</v>
      </c>
      <c r="E573" s="42">
        <v>1</v>
      </c>
    </row>
    <row r="574" spans="1:5" x14ac:dyDescent="0.25">
      <c r="A574" s="32" t="s">
        <v>568</v>
      </c>
      <c r="C574" s="42" t="s">
        <v>922</v>
      </c>
      <c r="D574" s="42">
        <v>0</v>
      </c>
      <c r="E574" s="42">
        <v>1</v>
      </c>
    </row>
    <row r="575" spans="1:5" x14ac:dyDescent="0.25">
      <c r="A575" s="32" t="s">
        <v>570</v>
      </c>
      <c r="C575" s="42" t="s">
        <v>923</v>
      </c>
      <c r="D575" s="42">
        <v>0</v>
      </c>
      <c r="E575" s="42">
        <v>1</v>
      </c>
    </row>
    <row r="576" spans="1:5" x14ac:dyDescent="0.25">
      <c r="A576" s="32" t="s">
        <v>571</v>
      </c>
      <c r="C576" s="42" t="s">
        <v>924</v>
      </c>
      <c r="D576" s="42">
        <v>0</v>
      </c>
      <c r="E576" s="42">
        <v>1</v>
      </c>
    </row>
    <row r="577" spans="1:5" x14ac:dyDescent="0.25">
      <c r="A577" s="32" t="s">
        <v>573</v>
      </c>
      <c r="C577" s="42" t="s">
        <v>925</v>
      </c>
      <c r="D577" s="42">
        <v>0</v>
      </c>
      <c r="E577" s="42">
        <v>1</v>
      </c>
    </row>
    <row r="578" spans="1:5" x14ac:dyDescent="0.25">
      <c r="A578" s="32" t="s">
        <v>575</v>
      </c>
      <c r="C578" s="42" t="s">
        <v>926</v>
      </c>
      <c r="D578" s="42">
        <v>0</v>
      </c>
      <c r="E578" s="42">
        <v>1</v>
      </c>
    </row>
    <row r="579" spans="1:5" x14ac:dyDescent="0.25">
      <c r="A579" s="32" t="s">
        <v>577</v>
      </c>
      <c r="C579" s="42" t="s">
        <v>927</v>
      </c>
      <c r="D579" s="42">
        <v>0</v>
      </c>
      <c r="E579" s="42">
        <v>1</v>
      </c>
    </row>
    <row r="580" spans="1:5" x14ac:dyDescent="0.25">
      <c r="A580" s="32" t="s">
        <v>579</v>
      </c>
    </row>
    <row r="581" spans="1:5" x14ac:dyDescent="0.25">
      <c r="A581" s="32" t="s">
        <v>581</v>
      </c>
    </row>
    <row r="582" spans="1:5" x14ac:dyDescent="0.25">
      <c r="A582" s="32" t="s">
        <v>583</v>
      </c>
    </row>
    <row r="583" spans="1:5" x14ac:dyDescent="0.25">
      <c r="A583" s="32" t="s">
        <v>584</v>
      </c>
    </row>
    <row r="584" spans="1:5" x14ac:dyDescent="0.25">
      <c r="A584" s="32" t="s">
        <v>586</v>
      </c>
    </row>
    <row r="585" spans="1:5" x14ac:dyDescent="0.25">
      <c r="A585" s="32" t="s">
        <v>588</v>
      </c>
    </row>
    <row r="586" spans="1:5" x14ac:dyDescent="0.25">
      <c r="A586" s="32" t="s">
        <v>590</v>
      </c>
    </row>
    <row r="587" spans="1:5" x14ac:dyDescent="0.25">
      <c r="A587" s="32" t="s">
        <v>592</v>
      </c>
    </row>
    <row r="588" spans="1:5" x14ac:dyDescent="0.25">
      <c r="A588" s="32" t="s">
        <v>594</v>
      </c>
    </row>
    <row r="589" spans="1:5" x14ac:dyDescent="0.25">
      <c r="A589" s="32" t="s">
        <v>596</v>
      </c>
    </row>
    <row r="590" spans="1:5" x14ac:dyDescent="0.25">
      <c r="A590" s="32" t="s">
        <v>598</v>
      </c>
    </row>
    <row r="591" spans="1:5" x14ac:dyDescent="0.25">
      <c r="A591" s="32" t="s">
        <v>882</v>
      </c>
    </row>
    <row r="592" spans="1:5" x14ac:dyDescent="0.25">
      <c r="A592" s="32" t="s">
        <v>883</v>
      </c>
    </row>
    <row r="593" spans="1:1" x14ac:dyDescent="0.25">
      <c r="A593" s="32" t="s">
        <v>884</v>
      </c>
    </row>
    <row r="594" spans="1:1" x14ac:dyDescent="0.25">
      <c r="A594" s="32" t="s">
        <v>885</v>
      </c>
    </row>
    <row r="595" spans="1:1" x14ac:dyDescent="0.25">
      <c r="A595" s="32" t="s">
        <v>551</v>
      </c>
    </row>
    <row r="596" spans="1:1" x14ac:dyDescent="0.25">
      <c r="A596" s="32" t="s">
        <v>886</v>
      </c>
    </row>
    <row r="597" spans="1:1" x14ac:dyDescent="0.25">
      <c r="A597" s="32" t="s">
        <v>887</v>
      </c>
    </row>
    <row r="598" spans="1:1" x14ac:dyDescent="0.25">
      <c r="A598" s="32" t="s">
        <v>888</v>
      </c>
    </row>
    <row r="599" spans="1:1" x14ac:dyDescent="0.25">
      <c r="A599" s="32" t="s">
        <v>889</v>
      </c>
    </row>
    <row r="600" spans="1:1" x14ac:dyDescent="0.25">
      <c r="A600" s="32" t="s">
        <v>890</v>
      </c>
    </row>
    <row r="601" spans="1:1" x14ac:dyDescent="0.25">
      <c r="A601" s="32" t="s">
        <v>891</v>
      </c>
    </row>
    <row r="602" spans="1:1" x14ac:dyDescent="0.25">
      <c r="A602" s="32" t="s">
        <v>892</v>
      </c>
    </row>
    <row r="603" spans="1:1" x14ac:dyDescent="0.25">
      <c r="A603" s="32" t="s">
        <v>545</v>
      </c>
    </row>
    <row r="604" spans="1:1" x14ac:dyDescent="0.25">
      <c r="A604" s="32" t="s">
        <v>893</v>
      </c>
    </row>
    <row r="605" spans="1:1" x14ac:dyDescent="0.25">
      <c r="A605" s="32" t="s">
        <v>894</v>
      </c>
    </row>
    <row r="606" spans="1:1" x14ac:dyDescent="0.25">
      <c r="A606" s="32" t="s">
        <v>895</v>
      </c>
    </row>
    <row r="607" spans="1:1" x14ac:dyDescent="0.25">
      <c r="A607" s="32" t="s">
        <v>896</v>
      </c>
    </row>
    <row r="608" spans="1:1" x14ac:dyDescent="0.25">
      <c r="A608" s="32" t="s">
        <v>897</v>
      </c>
    </row>
    <row r="609" spans="1:1" x14ac:dyDescent="0.25">
      <c r="A609" s="32" t="s">
        <v>898</v>
      </c>
    </row>
    <row r="610" spans="1:1" x14ac:dyDescent="0.25">
      <c r="A610" s="32" t="s">
        <v>899</v>
      </c>
    </row>
    <row r="611" spans="1:1" x14ac:dyDescent="0.25">
      <c r="A611" s="32" t="s">
        <v>900</v>
      </c>
    </row>
    <row r="612" spans="1:1" x14ac:dyDescent="0.25">
      <c r="A612" s="32" t="s">
        <v>901</v>
      </c>
    </row>
    <row r="613" spans="1:1" x14ac:dyDescent="0.25">
      <c r="A613" s="32" t="s">
        <v>902</v>
      </c>
    </row>
    <row r="614" spans="1:1" x14ac:dyDescent="0.25">
      <c r="A614" s="32" t="s">
        <v>903</v>
      </c>
    </row>
    <row r="615" spans="1:1" x14ac:dyDescent="0.25">
      <c r="A615" s="32" t="s">
        <v>904</v>
      </c>
    </row>
    <row r="616" spans="1:1" x14ac:dyDescent="0.25">
      <c r="A616" s="32" t="s">
        <v>905</v>
      </c>
    </row>
    <row r="617" spans="1:1" x14ac:dyDescent="0.25">
      <c r="A617" s="32" t="s">
        <v>906</v>
      </c>
    </row>
    <row r="618" spans="1:1" x14ac:dyDescent="0.25">
      <c r="A618" s="32" t="s">
        <v>907</v>
      </c>
    </row>
    <row r="619" spans="1:1" x14ac:dyDescent="0.25">
      <c r="A619" s="32" t="s">
        <v>908</v>
      </c>
    </row>
    <row r="620" spans="1:1" x14ac:dyDescent="0.25">
      <c r="A620" s="32" t="s">
        <v>909</v>
      </c>
    </row>
    <row r="621" spans="1:1" x14ac:dyDescent="0.25">
      <c r="A621" s="32" t="s">
        <v>910</v>
      </c>
    </row>
    <row r="622" spans="1:1" x14ac:dyDescent="0.25">
      <c r="A622" s="32" t="s">
        <v>911</v>
      </c>
    </row>
    <row r="623" spans="1:1" x14ac:dyDescent="0.25">
      <c r="A623" s="32" t="s">
        <v>912</v>
      </c>
    </row>
    <row r="624" spans="1:1" x14ac:dyDescent="0.25">
      <c r="A624" s="32" t="s">
        <v>913</v>
      </c>
    </row>
    <row r="625" spans="1:1" x14ac:dyDescent="0.25">
      <c r="A625" s="32" t="s">
        <v>914</v>
      </c>
    </row>
    <row r="626" spans="1:1" x14ac:dyDescent="0.25">
      <c r="A626" s="32" t="s">
        <v>915</v>
      </c>
    </row>
    <row r="627" spans="1:1" x14ac:dyDescent="0.25">
      <c r="A627" s="32" t="s">
        <v>916</v>
      </c>
    </row>
    <row r="628" spans="1:1" x14ac:dyDescent="0.25">
      <c r="A628" s="32" t="s">
        <v>917</v>
      </c>
    </row>
    <row r="629" spans="1:1" x14ac:dyDescent="0.25">
      <c r="A629" s="32" t="s">
        <v>918</v>
      </c>
    </row>
    <row r="630" spans="1:1" x14ac:dyDescent="0.25">
      <c r="A630" s="32" t="s">
        <v>919</v>
      </c>
    </row>
    <row r="631" spans="1:1" x14ac:dyDescent="0.25">
      <c r="A631" s="32" t="s">
        <v>920</v>
      </c>
    </row>
    <row r="632" spans="1:1" x14ac:dyDescent="0.25">
      <c r="A632" s="32" t="s">
        <v>921</v>
      </c>
    </row>
    <row r="633" spans="1:1" x14ac:dyDescent="0.25">
      <c r="A633" s="32" t="s">
        <v>922</v>
      </c>
    </row>
    <row r="634" spans="1:1" x14ac:dyDescent="0.25">
      <c r="A634" s="32" t="s">
        <v>923</v>
      </c>
    </row>
    <row r="635" spans="1:1" x14ac:dyDescent="0.25">
      <c r="A635" s="32" t="s">
        <v>924</v>
      </c>
    </row>
    <row r="636" spans="1:1" x14ac:dyDescent="0.25">
      <c r="A636" s="32" t="s">
        <v>925</v>
      </c>
    </row>
    <row r="637" spans="1:1" x14ac:dyDescent="0.25">
      <c r="A637" s="32" t="s">
        <v>926</v>
      </c>
    </row>
    <row r="638" spans="1:1" x14ac:dyDescent="0.25">
      <c r="A638" s="32" t="s">
        <v>546</v>
      </c>
    </row>
    <row r="639" spans="1:1" x14ac:dyDescent="0.25">
      <c r="A639" s="32" t="s">
        <v>927</v>
      </c>
    </row>
  </sheetData>
  <pageMargins left="0.7" right="0.7" top="0.75" bottom="0.75" header="0.51180555555555496" footer="0.51180555555555496"/>
  <pageSetup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5"/>
  <sheetViews>
    <sheetView zoomScale="75" zoomScaleNormal="75" workbookViewId="0">
      <selection activeCell="A2" sqref="A2"/>
    </sheetView>
  </sheetViews>
  <sheetFormatPr baseColWidth="10" defaultColWidth="9.140625" defaultRowHeight="15" x14ac:dyDescent="0.25"/>
  <cols>
    <col min="1" max="1025" width="9.140625" customWidth="1"/>
  </cols>
  <sheetData>
    <row r="1" spans="1:1" x14ac:dyDescent="0.25">
      <c r="A1" t="s">
        <v>928</v>
      </c>
    </row>
    <row r="2" spans="1:1" x14ac:dyDescent="0.25">
      <c r="A2" t="s">
        <v>929</v>
      </c>
    </row>
    <row r="3" spans="1:1" x14ac:dyDescent="0.25">
      <c r="A3" t="s">
        <v>930</v>
      </c>
    </row>
    <row r="4" spans="1:1" x14ac:dyDescent="0.25">
      <c r="A4" t="s">
        <v>931</v>
      </c>
    </row>
    <row r="5" spans="1:1" x14ac:dyDescent="0.25">
      <c r="A5" t="s">
        <v>932</v>
      </c>
    </row>
  </sheetData>
  <pageMargins left="0.78749999999999998" right="0.78749999999999998" top="1.05277777777778" bottom="1.05277777777778" header="0.78749999999999998" footer="0.78749999999999998"/>
  <pageSetup firstPageNumber="0" orientation="portrait" horizontalDpi="300" verticalDpi="300"/>
  <headerFooter>
    <oddHeader>&amp;C&amp;"Times New Roman,Normal"&amp;12&amp;A</oddHeader>
    <oddFooter>&amp;C&amp;"Times New Roman,Normal"&amp;12Página &amp;P</oddFooter>
  </headerFooter>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7"/>
  <sheetViews>
    <sheetView tabSelected="1" topLeftCell="A5" zoomScale="70" zoomScaleNormal="70" workbookViewId="0">
      <selection activeCell="G6" sqref="G6"/>
    </sheetView>
  </sheetViews>
  <sheetFormatPr baseColWidth="10" defaultColWidth="9.140625" defaultRowHeight="15" x14ac:dyDescent="0.25"/>
  <cols>
    <col min="1" max="1" width="9.140625" customWidth="1"/>
    <col min="2" max="2" width="17.5703125" customWidth="1"/>
    <col min="3" max="3" width="15" customWidth="1"/>
    <col min="4" max="5" width="40.5703125" customWidth="1"/>
    <col min="6" max="6" width="16" customWidth="1"/>
    <col min="7" max="7" width="106.5703125" customWidth="1"/>
    <col min="8" max="8" width="66.7109375" customWidth="1"/>
    <col min="9" max="9" width="43.5703125" customWidth="1"/>
    <col min="10" max="1025" width="9.140625" customWidth="1"/>
  </cols>
  <sheetData>
    <row r="1" spans="1:9" x14ac:dyDescent="0.25">
      <c r="A1" t="s">
        <v>933</v>
      </c>
      <c r="B1" t="s">
        <v>934</v>
      </c>
      <c r="C1" t="s">
        <v>935</v>
      </c>
      <c r="D1" t="s">
        <v>348</v>
      </c>
      <c r="E1" t="s">
        <v>936</v>
      </c>
      <c r="F1" t="s">
        <v>937</v>
      </c>
      <c r="G1" t="s">
        <v>938</v>
      </c>
      <c r="I1" t="s">
        <v>939</v>
      </c>
    </row>
    <row r="2" spans="1:9" ht="409.5" x14ac:dyDescent="0.25">
      <c r="A2" s="43">
        <v>500</v>
      </c>
      <c r="B2" s="44" t="s">
        <v>940</v>
      </c>
      <c r="C2" s="45">
        <v>40847</v>
      </c>
      <c r="D2" s="43" t="s">
        <v>941</v>
      </c>
      <c r="E2" s="44" t="s">
        <v>942</v>
      </c>
      <c r="F2" s="44" t="s">
        <v>943</v>
      </c>
      <c r="G2" s="46" t="s">
        <v>5968</v>
      </c>
      <c r="H2" s="47" t="s">
        <v>5936</v>
      </c>
      <c r="I2" s="44" t="s">
        <v>944</v>
      </c>
    </row>
    <row r="3" spans="1:9" ht="405" x14ac:dyDescent="0.25">
      <c r="A3">
        <v>501</v>
      </c>
      <c r="B3" s="29" t="s">
        <v>945</v>
      </c>
      <c r="C3" s="48">
        <v>36831</v>
      </c>
      <c r="D3" t="s">
        <v>946</v>
      </c>
      <c r="E3" s="29" t="s">
        <v>947</v>
      </c>
      <c r="G3" s="178" t="s">
        <v>5959</v>
      </c>
    </row>
    <row r="4" spans="1:9" ht="409.5" x14ac:dyDescent="0.25">
      <c r="A4">
        <v>502</v>
      </c>
      <c r="B4" s="29" t="s">
        <v>948</v>
      </c>
      <c r="C4" s="48">
        <v>37196</v>
      </c>
      <c r="D4" t="s">
        <v>949</v>
      </c>
      <c r="E4" s="29" t="s">
        <v>950</v>
      </c>
      <c r="G4" s="178" t="s">
        <v>5960</v>
      </c>
    </row>
    <row r="5" spans="1:9" ht="78" customHeight="1" x14ac:dyDescent="0.25">
      <c r="A5">
        <v>503</v>
      </c>
      <c r="B5" s="176" t="s">
        <v>5938</v>
      </c>
      <c r="C5" s="48">
        <v>39965</v>
      </c>
      <c r="D5" t="s">
        <v>5939</v>
      </c>
      <c r="G5" s="179" t="s">
        <v>5937</v>
      </c>
    </row>
    <row r="6" spans="1:9" ht="300" x14ac:dyDescent="0.25">
      <c r="A6">
        <v>504</v>
      </c>
      <c r="B6" s="176" t="s">
        <v>5940</v>
      </c>
      <c r="C6" s="48">
        <v>2013</v>
      </c>
      <c r="D6" t="s">
        <v>5941</v>
      </c>
      <c r="G6" s="178" t="s">
        <v>5970</v>
      </c>
    </row>
    <row r="7" spans="1:9" ht="150" x14ac:dyDescent="0.25">
      <c r="A7">
        <v>505</v>
      </c>
      <c r="B7" s="176" t="s">
        <v>5942</v>
      </c>
      <c r="D7" t="s">
        <v>5943</v>
      </c>
      <c r="G7" s="178" t="s">
        <v>5964</v>
      </c>
    </row>
    <row r="8" spans="1:9" ht="93.75" customHeight="1" x14ac:dyDescent="0.25">
      <c r="A8">
        <v>506</v>
      </c>
      <c r="B8" s="176" t="s">
        <v>5945</v>
      </c>
      <c r="C8" s="48">
        <v>43466</v>
      </c>
      <c r="D8" s="176" t="s">
        <v>5944</v>
      </c>
      <c r="G8" s="178" t="s">
        <v>5965</v>
      </c>
    </row>
    <row r="9" spans="1:9" ht="75" x14ac:dyDescent="0.25">
      <c r="A9">
        <v>507</v>
      </c>
      <c r="B9" s="176" t="s">
        <v>5947</v>
      </c>
      <c r="C9" s="48">
        <v>43831</v>
      </c>
      <c r="D9" t="s">
        <v>5946</v>
      </c>
      <c r="G9" s="178" t="s">
        <v>5967</v>
      </c>
    </row>
    <row r="10" spans="1:9" ht="75" x14ac:dyDescent="0.25">
      <c r="A10">
        <v>508</v>
      </c>
      <c r="B10" s="176" t="s">
        <v>5949</v>
      </c>
      <c r="C10" s="48">
        <v>41640</v>
      </c>
      <c r="D10" s="176" t="s">
        <v>5950</v>
      </c>
      <c r="G10" s="179" t="s">
        <v>5948</v>
      </c>
    </row>
    <row r="11" spans="1:9" ht="135" x14ac:dyDescent="0.25">
      <c r="A11">
        <v>509</v>
      </c>
      <c r="B11" s="176" t="s">
        <v>5952</v>
      </c>
      <c r="C11" s="48">
        <v>42370</v>
      </c>
      <c r="D11" s="176" t="s">
        <v>5953</v>
      </c>
      <c r="G11" s="179" t="s">
        <v>5951</v>
      </c>
    </row>
    <row r="12" spans="1:9" ht="30" x14ac:dyDescent="0.25">
      <c r="A12">
        <v>510</v>
      </c>
      <c r="B12" s="176" t="s">
        <v>5955</v>
      </c>
      <c r="C12" s="177">
        <v>41785</v>
      </c>
      <c r="D12" s="176" t="s">
        <v>5956</v>
      </c>
      <c r="G12" s="179" t="s">
        <v>5954</v>
      </c>
    </row>
    <row r="13" spans="1:9" ht="180" x14ac:dyDescent="0.25">
      <c r="A13">
        <v>511</v>
      </c>
      <c r="B13" s="176" t="s">
        <v>5957</v>
      </c>
      <c r="C13" s="177">
        <v>42107</v>
      </c>
      <c r="D13" s="176" t="s">
        <v>5958</v>
      </c>
      <c r="G13" s="178" t="s">
        <v>5969</v>
      </c>
    </row>
    <row r="14" spans="1:9" x14ac:dyDescent="0.25">
      <c r="G14" s="232" t="s">
        <v>5961</v>
      </c>
    </row>
    <row r="15" spans="1:9" ht="30" x14ac:dyDescent="0.25">
      <c r="G15" s="232" t="s">
        <v>5962</v>
      </c>
    </row>
    <row r="16" spans="1:9" x14ac:dyDescent="0.25">
      <c r="G16" s="232" t="s">
        <v>5963</v>
      </c>
    </row>
    <row r="17" spans="7:7" x14ac:dyDescent="0.25">
      <c r="G17" s="232" t="s">
        <v>5966</v>
      </c>
    </row>
  </sheetData>
  <pageMargins left="0.78749999999999998" right="0.78749999999999998" top="1.05277777777778" bottom="1.05277777777778" header="0.78749999999999998" footer="0.78749999999999998"/>
  <pageSetup firstPageNumber="0" orientation="portrait" horizontalDpi="300" verticalDpi="300" r:id="rId1"/>
  <headerFooter>
    <oddHeader>&amp;C&amp;"Times New Roman,Normal"&amp;12&amp;A</oddHeader>
    <oddFooter>&amp;C&amp;"Times New Roman,Normal"&amp;12Página &amp;P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O255"/>
  <sheetViews>
    <sheetView topLeftCell="R1" zoomScale="75" zoomScaleNormal="75" workbookViewId="0">
      <pane ySplit="2" topLeftCell="A3" activePane="bottomLeft" state="frozen"/>
      <selection activeCell="R1" sqref="R1"/>
      <selection pane="bottomLeft" activeCell="R1" sqref="R1"/>
    </sheetView>
  </sheetViews>
  <sheetFormatPr baseColWidth="10" defaultColWidth="9.140625" defaultRowHeight="15" x14ac:dyDescent="0.25"/>
  <cols>
    <col min="1" max="1" width="15.7109375" hidden="1" customWidth="1"/>
    <col min="2" max="2" width="17" hidden="1" customWidth="1"/>
    <col min="3" max="3" width="15.85546875" hidden="1" customWidth="1"/>
    <col min="4" max="16" width="14.5703125" customWidth="1"/>
    <col min="17" max="17" width="10.5703125" customWidth="1"/>
    <col min="18" max="18" width="20.5703125" customWidth="1"/>
    <col min="19" max="19" width="22.140625" customWidth="1"/>
    <col min="20" max="20" width="22.7109375" customWidth="1"/>
    <col min="21" max="21" width="18.28515625" customWidth="1"/>
    <col min="22" max="22" width="6.28515625" customWidth="1"/>
    <col min="23" max="23" width="19.5703125" customWidth="1"/>
    <col min="24" max="24" width="14.85546875" customWidth="1"/>
    <col min="25" max="25" width="99.140625" customWidth="1"/>
    <col min="26" max="26" width="36.140625" customWidth="1"/>
    <col min="27" max="37" width="36.140625" hidden="1" customWidth="1"/>
    <col min="38" max="38" width="36.140625" customWidth="1"/>
    <col min="39" max="39" width="15.42578125" customWidth="1"/>
    <col min="40" max="40" width="18.42578125" customWidth="1"/>
    <col min="41" max="41" width="18.7109375" style="49" customWidth="1"/>
    <col min="42" max="1025" width="10.5703125" customWidth="1"/>
  </cols>
  <sheetData>
    <row r="1" spans="1:41" x14ac:dyDescent="0.25">
      <c r="A1" s="196" t="s">
        <v>951</v>
      </c>
      <c r="B1" s="196"/>
      <c r="C1" s="196"/>
      <c r="D1" s="196"/>
      <c r="E1" s="196"/>
      <c r="F1" s="196"/>
      <c r="G1" s="196"/>
      <c r="H1" s="196"/>
      <c r="I1" s="196"/>
      <c r="J1" s="196"/>
      <c r="K1" s="196"/>
      <c r="L1" s="196"/>
      <c r="M1" s="196"/>
      <c r="N1" s="196"/>
      <c r="O1" s="196"/>
      <c r="P1" s="196"/>
      <c r="Q1" s="196"/>
      <c r="R1" s="196" t="s">
        <v>952</v>
      </c>
      <c r="S1" s="196"/>
      <c r="T1" s="196"/>
      <c r="U1" s="51"/>
      <c r="V1" s="196" t="s">
        <v>953</v>
      </c>
      <c r="W1" s="196"/>
      <c r="X1" s="196"/>
      <c r="Y1" s="196"/>
      <c r="Z1" s="196"/>
      <c r="AA1" s="196"/>
      <c r="AB1" s="196"/>
      <c r="AC1" s="196"/>
      <c r="AD1" s="196"/>
      <c r="AE1" s="196"/>
      <c r="AF1" s="196"/>
      <c r="AG1" s="196"/>
      <c r="AH1" s="196"/>
      <c r="AI1" s="196"/>
      <c r="AJ1" s="196"/>
      <c r="AK1" s="196"/>
      <c r="AL1" s="196"/>
      <c r="AM1" s="196"/>
      <c r="AN1" s="196"/>
      <c r="AO1" s="196"/>
    </row>
    <row r="2" spans="1:41" x14ac:dyDescent="0.25">
      <c r="A2" s="36" t="s">
        <v>954</v>
      </c>
      <c r="B2" s="36" t="s">
        <v>955</v>
      </c>
      <c r="C2" s="36" t="s">
        <v>956</v>
      </c>
      <c r="D2" s="52" t="s">
        <v>957</v>
      </c>
      <c r="E2" s="52" t="s">
        <v>958</v>
      </c>
      <c r="F2" s="52" t="s">
        <v>959</v>
      </c>
      <c r="G2" s="36" t="s">
        <v>960</v>
      </c>
      <c r="H2" s="52" t="s">
        <v>961</v>
      </c>
      <c r="I2" s="52" t="s">
        <v>962</v>
      </c>
      <c r="J2" s="52" t="s">
        <v>963</v>
      </c>
      <c r="K2" s="52" t="s">
        <v>964</v>
      </c>
      <c r="L2" s="52" t="s">
        <v>965</v>
      </c>
      <c r="M2" s="52" t="s">
        <v>966</v>
      </c>
      <c r="N2" s="52" t="s">
        <v>967</v>
      </c>
      <c r="O2" s="52" t="s">
        <v>928</v>
      </c>
      <c r="P2" s="52" t="s">
        <v>968</v>
      </c>
      <c r="Q2" s="36" t="s">
        <v>969</v>
      </c>
      <c r="R2" s="50" t="s">
        <v>970</v>
      </c>
      <c r="S2" s="50" t="s">
        <v>971</v>
      </c>
      <c r="T2" s="50" t="s">
        <v>972</v>
      </c>
      <c r="U2" s="51" t="s">
        <v>973</v>
      </c>
      <c r="V2" s="50" t="s">
        <v>974</v>
      </c>
      <c r="W2" s="50" t="s">
        <v>975</v>
      </c>
      <c r="X2" s="50" t="s">
        <v>976</v>
      </c>
      <c r="Y2" s="50" t="s">
        <v>977</v>
      </c>
      <c r="Z2" s="50" t="s">
        <v>348</v>
      </c>
      <c r="AA2" s="50"/>
      <c r="AB2" s="50"/>
      <c r="AC2" s="50"/>
      <c r="AD2" s="50"/>
      <c r="AE2" s="50"/>
      <c r="AF2" s="50"/>
      <c r="AG2" s="50"/>
      <c r="AH2" s="50"/>
      <c r="AI2" s="50"/>
      <c r="AJ2" s="50"/>
      <c r="AK2" s="50"/>
      <c r="AL2" s="50" t="s">
        <v>978</v>
      </c>
      <c r="AM2" s="50" t="s">
        <v>979</v>
      </c>
      <c r="AN2" s="50" t="s">
        <v>980</v>
      </c>
      <c r="AO2" s="53" t="s">
        <v>981</v>
      </c>
    </row>
    <row r="3" spans="1:41" ht="300" x14ac:dyDescent="0.25">
      <c r="A3" s="54" t="s">
        <v>982</v>
      </c>
      <c r="B3" s="54" t="s">
        <v>982</v>
      </c>
      <c r="C3" s="54" t="s">
        <v>982</v>
      </c>
      <c r="D3" s="55" t="s">
        <v>982</v>
      </c>
      <c r="E3" s="55" t="s">
        <v>982</v>
      </c>
      <c r="F3" s="55" t="s">
        <v>983</v>
      </c>
      <c r="G3" s="54" t="s">
        <v>982</v>
      </c>
      <c r="H3" s="55" t="s">
        <v>982</v>
      </c>
      <c r="I3" s="55" t="s">
        <v>984</v>
      </c>
      <c r="J3" s="55" t="s">
        <v>985</v>
      </c>
      <c r="K3" s="55" t="s">
        <v>982</v>
      </c>
      <c r="L3" s="55" t="s">
        <v>986</v>
      </c>
      <c r="M3" s="55" t="s">
        <v>982</v>
      </c>
      <c r="N3" s="55" t="s">
        <v>982</v>
      </c>
      <c r="O3" s="55" t="s">
        <v>987</v>
      </c>
      <c r="P3" s="55" t="s">
        <v>988</v>
      </c>
      <c r="Q3" s="55">
        <v>3</v>
      </c>
      <c r="R3" s="56"/>
      <c r="S3" s="56"/>
      <c r="T3" s="56"/>
      <c r="U3" s="37"/>
      <c r="V3" s="57">
        <v>1</v>
      </c>
      <c r="W3" s="58" t="s">
        <v>989</v>
      </c>
      <c r="X3" s="55" t="s">
        <v>990</v>
      </c>
      <c r="Y3" s="55" t="s">
        <v>991</v>
      </c>
      <c r="Z3" s="55" t="s">
        <v>992</v>
      </c>
      <c r="AA3" s="59"/>
      <c r="AB3" s="59"/>
      <c r="AC3" s="59"/>
      <c r="AD3" s="59"/>
      <c r="AE3" s="59"/>
      <c r="AF3" s="59"/>
      <c r="AG3" s="59"/>
      <c r="AH3" s="59"/>
      <c r="AI3" s="59"/>
      <c r="AJ3" s="59"/>
      <c r="AK3" s="59"/>
      <c r="AL3" s="55" t="s">
        <v>297</v>
      </c>
      <c r="AM3" s="60" t="s">
        <v>993</v>
      </c>
      <c r="AN3" s="60">
        <v>2015</v>
      </c>
      <c r="AO3" s="60">
        <v>55</v>
      </c>
    </row>
    <row r="4" spans="1:41" ht="240" x14ac:dyDescent="0.25">
      <c r="A4" s="54" t="s">
        <v>994</v>
      </c>
      <c r="B4" s="54" t="s">
        <v>994</v>
      </c>
      <c r="C4" s="54" t="s">
        <v>995</v>
      </c>
      <c r="D4" s="42" t="s">
        <v>982</v>
      </c>
      <c r="E4" s="42" t="s">
        <v>982</v>
      </c>
      <c r="F4" s="42" t="s">
        <v>996</v>
      </c>
      <c r="G4" s="54" t="s">
        <v>997</v>
      </c>
      <c r="H4" s="42" t="s">
        <v>982</v>
      </c>
      <c r="I4" s="42" t="s">
        <v>982</v>
      </c>
      <c r="J4" s="42" t="s">
        <v>998</v>
      </c>
      <c r="K4" s="42" t="s">
        <v>999</v>
      </c>
      <c r="L4" s="42" t="s">
        <v>1000</v>
      </c>
      <c r="M4" s="42" t="s">
        <v>982</v>
      </c>
      <c r="N4" s="42" t="s">
        <v>982</v>
      </c>
      <c r="O4" s="42" t="s">
        <v>982</v>
      </c>
      <c r="P4" s="42" t="s">
        <v>982</v>
      </c>
      <c r="Q4" s="42">
        <v>3</v>
      </c>
      <c r="R4" s="54" t="s">
        <v>1001</v>
      </c>
      <c r="S4" s="54" t="s">
        <v>1002</v>
      </c>
      <c r="T4" s="54"/>
      <c r="U4" s="42"/>
      <c r="V4" s="61">
        <v>3</v>
      </c>
      <c r="W4" s="62" t="s">
        <v>1003</v>
      </c>
      <c r="X4" s="42" t="s">
        <v>1004</v>
      </c>
      <c r="Y4" s="42" t="s">
        <v>1005</v>
      </c>
      <c r="Z4" s="42" t="s">
        <v>1006</v>
      </c>
      <c r="AA4" s="37"/>
      <c r="AB4" s="37"/>
      <c r="AC4" s="37"/>
      <c r="AD4" s="37"/>
      <c r="AE4" s="37"/>
      <c r="AF4" s="37"/>
      <c r="AG4" s="37"/>
      <c r="AH4" s="37"/>
      <c r="AI4" s="37"/>
      <c r="AJ4" s="37"/>
      <c r="AK4" s="37"/>
      <c r="AL4" s="42" t="s">
        <v>301</v>
      </c>
      <c r="AM4" s="53" t="s">
        <v>993</v>
      </c>
      <c r="AN4" s="53">
        <v>2004</v>
      </c>
      <c r="AO4" s="53">
        <v>25</v>
      </c>
    </row>
    <row r="5" spans="1:41" ht="150" x14ac:dyDescent="0.25">
      <c r="A5" s="54" t="s">
        <v>1007</v>
      </c>
      <c r="B5" s="54" t="s">
        <v>1008</v>
      </c>
      <c r="C5" s="54" t="s">
        <v>1009</v>
      </c>
      <c r="D5" s="54" t="s">
        <v>982</v>
      </c>
      <c r="E5" s="54" t="s">
        <v>982</v>
      </c>
      <c r="F5" s="54" t="s">
        <v>1010</v>
      </c>
      <c r="G5" s="54" t="s">
        <v>982</v>
      </c>
      <c r="H5" s="54" t="s">
        <v>982</v>
      </c>
      <c r="I5" s="54" t="s">
        <v>982</v>
      </c>
      <c r="J5" s="54" t="s">
        <v>983</v>
      </c>
      <c r="K5" s="54" t="s">
        <v>982</v>
      </c>
      <c r="L5" s="54" t="s">
        <v>986</v>
      </c>
      <c r="M5" s="54" t="s">
        <v>982</v>
      </c>
      <c r="N5" s="54" t="s">
        <v>982</v>
      </c>
      <c r="O5" s="54" t="s">
        <v>987</v>
      </c>
      <c r="P5" s="54" t="s">
        <v>988</v>
      </c>
      <c r="Q5" s="54">
        <v>1</v>
      </c>
      <c r="R5" s="54" t="s">
        <v>1011</v>
      </c>
      <c r="S5" s="54" t="s">
        <v>1012</v>
      </c>
      <c r="T5" s="54"/>
      <c r="U5" s="42"/>
      <c r="V5" s="63">
        <v>4</v>
      </c>
      <c r="W5" s="64" t="s">
        <v>1013</v>
      </c>
      <c r="X5" s="54" t="s">
        <v>1014</v>
      </c>
      <c r="Y5" s="59" t="s">
        <v>1015</v>
      </c>
      <c r="Z5" s="54" t="s">
        <v>1016</v>
      </c>
      <c r="AA5" s="37"/>
      <c r="AB5" s="37"/>
      <c r="AC5" s="37"/>
      <c r="AD5" s="37"/>
      <c r="AE5" s="37"/>
      <c r="AF5" s="37"/>
      <c r="AG5" s="37"/>
      <c r="AH5" s="37"/>
      <c r="AI5" s="37"/>
      <c r="AJ5" s="37"/>
      <c r="AK5" s="37"/>
      <c r="AL5" s="59" t="s">
        <v>301</v>
      </c>
      <c r="AM5" s="65" t="s">
        <v>993</v>
      </c>
      <c r="AN5" s="65">
        <v>2016</v>
      </c>
      <c r="AO5" s="63">
        <v>6</v>
      </c>
    </row>
    <row r="6" spans="1:41" ht="285" x14ac:dyDescent="0.25">
      <c r="A6" s="54" t="s">
        <v>982</v>
      </c>
      <c r="B6" s="54" t="s">
        <v>982</v>
      </c>
      <c r="C6" s="54" t="s">
        <v>982</v>
      </c>
      <c r="D6" s="54" t="s">
        <v>982</v>
      </c>
      <c r="E6" s="54" t="s">
        <v>982</v>
      </c>
      <c r="F6" s="54" t="s">
        <v>982</v>
      </c>
      <c r="G6" s="54" t="s">
        <v>982</v>
      </c>
      <c r="H6" s="54" t="s">
        <v>982</v>
      </c>
      <c r="I6" s="54" t="s">
        <v>1017</v>
      </c>
      <c r="J6" s="54" t="s">
        <v>1018</v>
      </c>
      <c r="K6" s="54" t="s">
        <v>982</v>
      </c>
      <c r="L6" s="54" t="s">
        <v>986</v>
      </c>
      <c r="M6" s="54" t="s">
        <v>982</v>
      </c>
      <c r="N6" s="54" t="s">
        <v>982</v>
      </c>
      <c r="O6" s="54" t="s">
        <v>982</v>
      </c>
      <c r="P6" s="54" t="s">
        <v>982</v>
      </c>
      <c r="Q6" s="54">
        <v>1</v>
      </c>
      <c r="R6" s="54" t="s">
        <v>1019</v>
      </c>
      <c r="S6" s="54"/>
      <c r="T6" s="54"/>
      <c r="U6" s="42"/>
      <c r="V6" s="63">
        <v>5</v>
      </c>
      <c r="W6" s="54" t="s">
        <v>1020</v>
      </c>
      <c r="X6" s="59" t="s">
        <v>1021</v>
      </c>
      <c r="Y6" s="59" t="s">
        <v>1022</v>
      </c>
      <c r="Z6" s="54" t="s">
        <v>1023</v>
      </c>
      <c r="AA6" s="37"/>
      <c r="AB6" s="37"/>
      <c r="AC6" s="37"/>
      <c r="AD6" s="37"/>
      <c r="AE6" s="37"/>
      <c r="AF6" s="37"/>
      <c r="AG6" s="37"/>
      <c r="AH6" s="37"/>
      <c r="AI6" s="37"/>
      <c r="AJ6" s="37"/>
      <c r="AK6" s="37"/>
      <c r="AL6" s="59" t="s">
        <v>304</v>
      </c>
      <c r="AM6" s="65" t="s">
        <v>993</v>
      </c>
      <c r="AN6" s="65">
        <v>2018</v>
      </c>
      <c r="AO6" s="63">
        <v>2</v>
      </c>
    </row>
    <row r="7" spans="1:41" ht="135" x14ac:dyDescent="0.25">
      <c r="A7" s="54" t="s">
        <v>1024</v>
      </c>
      <c r="B7" s="54" t="s">
        <v>1025</v>
      </c>
      <c r="C7" s="54" t="s">
        <v>982</v>
      </c>
      <c r="D7" s="54" t="s">
        <v>1026</v>
      </c>
      <c r="E7" s="54" t="s">
        <v>982</v>
      </c>
      <c r="F7" s="54" t="s">
        <v>1027</v>
      </c>
      <c r="G7" s="54" t="s">
        <v>982</v>
      </c>
      <c r="H7" s="54" t="s">
        <v>982</v>
      </c>
      <c r="I7" s="54" t="s">
        <v>982</v>
      </c>
      <c r="J7" s="54" t="s">
        <v>982</v>
      </c>
      <c r="K7" s="54" t="s">
        <v>1028</v>
      </c>
      <c r="L7" s="54" t="s">
        <v>986</v>
      </c>
      <c r="M7" s="54" t="s">
        <v>982</v>
      </c>
      <c r="N7" s="54" t="s">
        <v>982</v>
      </c>
      <c r="O7" s="54" t="s">
        <v>982</v>
      </c>
      <c r="P7" s="54" t="s">
        <v>982</v>
      </c>
      <c r="Q7" s="54">
        <v>1</v>
      </c>
      <c r="R7" s="54" t="s">
        <v>1029</v>
      </c>
      <c r="S7" s="54" t="s">
        <v>1030</v>
      </c>
      <c r="T7" s="54"/>
      <c r="U7" s="42"/>
      <c r="V7" s="63">
        <v>6</v>
      </c>
      <c r="W7" s="54" t="s">
        <v>1031</v>
      </c>
      <c r="X7" s="54" t="s">
        <v>1032</v>
      </c>
      <c r="Y7" s="59" t="s">
        <v>1033</v>
      </c>
      <c r="Z7" s="54" t="s">
        <v>1034</v>
      </c>
      <c r="AA7" s="56"/>
      <c r="AB7" s="56"/>
      <c r="AC7" s="56"/>
      <c r="AD7" s="56"/>
      <c r="AE7" s="56"/>
      <c r="AF7" s="56"/>
      <c r="AG7" s="56"/>
      <c r="AH7" s="56"/>
      <c r="AI7" s="56"/>
      <c r="AJ7" s="56"/>
      <c r="AK7" s="56"/>
      <c r="AL7" s="59" t="s">
        <v>304</v>
      </c>
      <c r="AM7" s="65" t="s">
        <v>993</v>
      </c>
      <c r="AN7" s="65">
        <v>2018</v>
      </c>
      <c r="AO7" s="63">
        <v>2</v>
      </c>
    </row>
    <row r="8" spans="1:41" ht="165" x14ac:dyDescent="0.25">
      <c r="A8" s="54" t="s">
        <v>1035</v>
      </c>
      <c r="B8" s="54" t="s">
        <v>1036</v>
      </c>
      <c r="C8" s="54" t="s">
        <v>1037</v>
      </c>
      <c r="D8" s="42" t="s">
        <v>982</v>
      </c>
      <c r="E8" s="42" t="s">
        <v>1038</v>
      </c>
      <c r="F8" s="42" t="s">
        <v>1039</v>
      </c>
      <c r="G8" s="54" t="s">
        <v>982</v>
      </c>
      <c r="H8" s="42" t="s">
        <v>982</v>
      </c>
      <c r="I8" s="42" t="s">
        <v>982</v>
      </c>
      <c r="J8" s="42" t="s">
        <v>55</v>
      </c>
      <c r="K8" s="42" t="s">
        <v>982</v>
      </c>
      <c r="L8" s="42" t="s">
        <v>986</v>
      </c>
      <c r="M8" s="42" t="s">
        <v>982</v>
      </c>
      <c r="N8" s="42" t="s">
        <v>982</v>
      </c>
      <c r="O8" s="42" t="s">
        <v>982</v>
      </c>
      <c r="P8" s="42" t="s">
        <v>982</v>
      </c>
      <c r="Q8" s="42">
        <v>3</v>
      </c>
      <c r="R8" s="54" t="s">
        <v>1040</v>
      </c>
      <c r="S8" s="54" t="s">
        <v>1041</v>
      </c>
      <c r="T8" s="54"/>
      <c r="U8" s="42"/>
      <c r="V8" s="61">
        <v>7</v>
      </c>
      <c r="W8" s="42" t="s">
        <v>1042</v>
      </c>
      <c r="X8" s="42" t="s">
        <v>1043</v>
      </c>
      <c r="Y8" s="42" t="s">
        <v>1044</v>
      </c>
      <c r="Z8" s="42" t="s">
        <v>1045</v>
      </c>
      <c r="AA8" s="56"/>
      <c r="AB8" s="56"/>
      <c r="AC8" s="56"/>
      <c r="AD8" s="56"/>
      <c r="AE8" s="56"/>
      <c r="AF8" s="56"/>
      <c r="AG8" s="56"/>
      <c r="AH8" s="56"/>
      <c r="AI8" s="56"/>
      <c r="AJ8" s="56"/>
      <c r="AK8" s="56"/>
      <c r="AL8" s="42" t="s">
        <v>307</v>
      </c>
      <c r="AM8" s="53" t="s">
        <v>993</v>
      </c>
      <c r="AN8" s="53">
        <v>2018</v>
      </c>
      <c r="AO8" s="61">
        <v>0</v>
      </c>
    </row>
    <row r="9" spans="1:41" ht="135" x14ac:dyDescent="0.25">
      <c r="A9" s="54" t="s">
        <v>982</v>
      </c>
      <c r="B9" s="54" t="s">
        <v>982</v>
      </c>
      <c r="C9" s="54" t="s">
        <v>982</v>
      </c>
      <c r="D9" s="54" t="s">
        <v>982</v>
      </c>
      <c r="E9" s="54" t="s">
        <v>982</v>
      </c>
      <c r="F9" s="54" t="s">
        <v>982</v>
      </c>
      <c r="G9" s="54" t="s">
        <v>982</v>
      </c>
      <c r="H9" s="54" t="s">
        <v>982</v>
      </c>
      <c r="I9" s="54" t="s">
        <v>982</v>
      </c>
      <c r="J9" s="54" t="s">
        <v>982</v>
      </c>
      <c r="K9" s="54" t="s">
        <v>982</v>
      </c>
      <c r="L9" s="54" t="s">
        <v>982</v>
      </c>
      <c r="M9" s="54" t="s">
        <v>982</v>
      </c>
      <c r="N9" s="54" t="s">
        <v>1046</v>
      </c>
      <c r="O9" s="54" t="s">
        <v>982</v>
      </c>
      <c r="P9" s="54" t="s">
        <v>982</v>
      </c>
      <c r="Q9" s="54">
        <v>1</v>
      </c>
      <c r="R9" s="54" t="s">
        <v>1047</v>
      </c>
      <c r="S9" s="54" t="s">
        <v>1048</v>
      </c>
      <c r="T9" s="54"/>
      <c r="U9" s="42"/>
      <c r="V9" s="63">
        <v>11</v>
      </c>
      <c r="W9" s="54" t="s">
        <v>1049</v>
      </c>
      <c r="X9" s="54" t="s">
        <v>1049</v>
      </c>
      <c r="Y9" s="59" t="s">
        <v>1050</v>
      </c>
      <c r="Z9" s="54" t="s">
        <v>1051</v>
      </c>
      <c r="AA9" s="56"/>
      <c r="AB9" s="56"/>
      <c r="AC9" s="56"/>
      <c r="AD9" s="56"/>
      <c r="AE9" s="56"/>
      <c r="AF9" s="56"/>
      <c r="AG9" s="56"/>
      <c r="AH9" s="56"/>
      <c r="AI9" s="56"/>
      <c r="AJ9" s="56"/>
      <c r="AK9" s="56"/>
      <c r="AL9" s="59" t="s">
        <v>298</v>
      </c>
      <c r="AM9" s="65" t="s">
        <v>993</v>
      </c>
      <c r="AN9" s="65">
        <v>2013</v>
      </c>
      <c r="AO9" s="65">
        <v>131</v>
      </c>
    </row>
    <row r="10" spans="1:41" ht="240" x14ac:dyDescent="0.25">
      <c r="A10" s="54" t="s">
        <v>982</v>
      </c>
      <c r="B10" s="54" t="s">
        <v>1052</v>
      </c>
      <c r="C10" s="54" t="s">
        <v>982</v>
      </c>
      <c r="D10" s="54" t="s">
        <v>1053</v>
      </c>
      <c r="E10" s="54" t="s">
        <v>982</v>
      </c>
      <c r="F10" s="54" t="s">
        <v>982</v>
      </c>
      <c r="G10" s="54" t="s">
        <v>982</v>
      </c>
      <c r="H10" s="54" t="s">
        <v>982</v>
      </c>
      <c r="I10" s="54" t="s">
        <v>982</v>
      </c>
      <c r="J10" s="54" t="s">
        <v>982</v>
      </c>
      <c r="K10" s="54" t="s">
        <v>982</v>
      </c>
      <c r="L10" s="54" t="s">
        <v>1000</v>
      </c>
      <c r="M10" s="54" t="s">
        <v>982</v>
      </c>
      <c r="N10" s="54" t="s">
        <v>1054</v>
      </c>
      <c r="O10" s="54" t="s">
        <v>987</v>
      </c>
      <c r="P10" s="54" t="s">
        <v>988</v>
      </c>
      <c r="Q10" s="54">
        <v>1</v>
      </c>
      <c r="R10" s="54" t="s">
        <v>1055</v>
      </c>
      <c r="S10" s="54" t="s">
        <v>1056</v>
      </c>
      <c r="T10" s="54" t="s">
        <v>1057</v>
      </c>
      <c r="U10" s="42"/>
      <c r="V10" s="63">
        <v>12</v>
      </c>
      <c r="W10" s="54" t="s">
        <v>1058</v>
      </c>
      <c r="X10" s="54" t="s">
        <v>1059</v>
      </c>
      <c r="Y10" s="59" t="s">
        <v>1060</v>
      </c>
      <c r="Z10" s="54" t="s">
        <v>1061</v>
      </c>
      <c r="AA10" s="37"/>
      <c r="AB10" s="37"/>
      <c r="AC10" s="37"/>
      <c r="AD10" s="37"/>
      <c r="AE10" s="37"/>
      <c r="AF10" s="37"/>
      <c r="AG10" s="37"/>
      <c r="AH10" s="37"/>
      <c r="AI10" s="37"/>
      <c r="AJ10" s="37"/>
      <c r="AK10" s="37"/>
      <c r="AL10" s="59" t="s">
        <v>298</v>
      </c>
      <c r="AM10" s="65" t="s">
        <v>993</v>
      </c>
      <c r="AN10" s="65">
        <v>2014</v>
      </c>
      <c r="AO10" s="63">
        <v>10</v>
      </c>
    </row>
    <row r="11" spans="1:41" ht="165" x14ac:dyDescent="0.25">
      <c r="A11" s="54" t="s">
        <v>982</v>
      </c>
      <c r="B11" s="54" t="s">
        <v>982</v>
      </c>
      <c r="C11" s="54" t="s">
        <v>982</v>
      </c>
      <c r="D11" s="54" t="s">
        <v>996</v>
      </c>
      <c r="E11" s="54"/>
      <c r="F11" s="54"/>
      <c r="G11" s="54" t="s">
        <v>982</v>
      </c>
      <c r="H11" s="54"/>
      <c r="I11" s="54" t="s">
        <v>982</v>
      </c>
      <c r="J11" s="54" t="s">
        <v>982</v>
      </c>
      <c r="K11" s="54" t="s">
        <v>982</v>
      </c>
      <c r="L11" s="54"/>
      <c r="M11" s="54" t="s">
        <v>982</v>
      </c>
      <c r="N11" s="54" t="s">
        <v>982</v>
      </c>
      <c r="O11" s="54" t="s">
        <v>982</v>
      </c>
      <c r="P11" s="54" t="s">
        <v>982</v>
      </c>
      <c r="Q11" s="54">
        <v>3</v>
      </c>
      <c r="R11" s="54"/>
      <c r="S11" s="54"/>
      <c r="T11" s="54"/>
      <c r="U11" s="42"/>
      <c r="V11" s="63">
        <v>14</v>
      </c>
      <c r="W11" s="54" t="s">
        <v>1062</v>
      </c>
      <c r="X11" s="54" t="s">
        <v>1063</v>
      </c>
      <c r="Y11" s="59" t="s">
        <v>1064</v>
      </c>
      <c r="Z11" s="59" t="s">
        <v>1065</v>
      </c>
      <c r="AA11" s="56"/>
      <c r="AB11" s="56"/>
      <c r="AC11" s="56"/>
      <c r="AD11" s="56"/>
      <c r="AE11" s="56"/>
      <c r="AF11" s="56"/>
      <c r="AG11" s="56"/>
      <c r="AH11" s="56"/>
      <c r="AI11" s="56"/>
      <c r="AJ11" s="56"/>
      <c r="AK11" s="56"/>
      <c r="AL11" s="59" t="s">
        <v>298</v>
      </c>
      <c r="AM11" s="65" t="s">
        <v>993</v>
      </c>
      <c r="AN11" s="65">
        <v>2010</v>
      </c>
      <c r="AO11" s="65">
        <v>33</v>
      </c>
    </row>
    <row r="12" spans="1:41" ht="405" x14ac:dyDescent="0.25">
      <c r="A12" s="54" t="s">
        <v>982</v>
      </c>
      <c r="B12" s="54" t="s">
        <v>982</v>
      </c>
      <c r="C12" s="54" t="s">
        <v>982</v>
      </c>
      <c r="D12" s="54" t="s">
        <v>982</v>
      </c>
      <c r="E12" s="54"/>
      <c r="F12" s="54"/>
      <c r="G12" s="54" t="s">
        <v>982</v>
      </c>
      <c r="H12" s="54"/>
      <c r="I12" s="54" t="s">
        <v>982</v>
      </c>
      <c r="J12" s="54" t="s">
        <v>982</v>
      </c>
      <c r="K12" s="54"/>
      <c r="L12" s="54"/>
      <c r="M12" s="54" t="s">
        <v>982</v>
      </c>
      <c r="N12" s="54" t="s">
        <v>982</v>
      </c>
      <c r="O12" s="54" t="s">
        <v>982</v>
      </c>
      <c r="P12" s="54" t="s">
        <v>982</v>
      </c>
      <c r="Q12" s="56">
        <v>2</v>
      </c>
      <c r="R12" s="54"/>
      <c r="S12" s="54"/>
      <c r="T12" s="54"/>
      <c r="U12" s="42"/>
      <c r="V12" s="63">
        <v>16</v>
      </c>
      <c r="W12" s="54" t="s">
        <v>1066</v>
      </c>
      <c r="X12" s="54" t="s">
        <v>1067</v>
      </c>
      <c r="Y12" s="59" t="s">
        <v>1068</v>
      </c>
      <c r="Z12" s="54" t="s">
        <v>1069</v>
      </c>
      <c r="AA12" s="56"/>
      <c r="AB12" s="56"/>
      <c r="AC12" s="56"/>
      <c r="AD12" s="56"/>
      <c r="AE12" s="56"/>
      <c r="AF12" s="56"/>
      <c r="AG12" s="56"/>
      <c r="AH12" s="56"/>
      <c r="AI12" s="56"/>
      <c r="AJ12" s="56"/>
      <c r="AK12" s="56"/>
      <c r="AL12" s="59" t="s">
        <v>298</v>
      </c>
      <c r="AM12" s="65" t="s">
        <v>993</v>
      </c>
      <c r="AN12" s="65">
        <v>2012</v>
      </c>
      <c r="AO12" s="65">
        <v>13</v>
      </c>
    </row>
    <row r="13" spans="1:41" ht="210" x14ac:dyDescent="0.25">
      <c r="A13" s="54" t="s">
        <v>982</v>
      </c>
      <c r="B13" s="54" t="s">
        <v>1070</v>
      </c>
      <c r="C13" s="54" t="s">
        <v>1071</v>
      </c>
      <c r="D13" s="54" t="s">
        <v>982</v>
      </c>
      <c r="E13" s="54" t="s">
        <v>1038</v>
      </c>
      <c r="F13" s="54" t="s">
        <v>982</v>
      </c>
      <c r="G13" s="54" t="s">
        <v>1072</v>
      </c>
      <c r="H13" s="54" t="s">
        <v>982</v>
      </c>
      <c r="I13" s="54" t="s">
        <v>982</v>
      </c>
      <c r="J13" s="54" t="s">
        <v>19</v>
      </c>
      <c r="K13" s="54" t="s">
        <v>982</v>
      </c>
      <c r="L13" s="54" t="s">
        <v>982</v>
      </c>
      <c r="M13" s="54" t="s">
        <v>982</v>
      </c>
      <c r="N13" s="54" t="s">
        <v>982</v>
      </c>
      <c r="O13" s="54" t="s">
        <v>982</v>
      </c>
      <c r="P13" s="54" t="s">
        <v>1073</v>
      </c>
      <c r="Q13" s="54">
        <v>1</v>
      </c>
      <c r="R13" s="54"/>
      <c r="S13" s="54"/>
      <c r="T13" s="54"/>
      <c r="U13" s="42"/>
      <c r="V13" s="63">
        <v>20</v>
      </c>
      <c r="W13" s="54" t="s">
        <v>1074</v>
      </c>
      <c r="X13" s="54" t="s">
        <v>1075</v>
      </c>
      <c r="Y13" s="59" t="s">
        <v>1076</v>
      </c>
      <c r="Z13" s="54" t="s">
        <v>1077</v>
      </c>
      <c r="AA13" s="37"/>
      <c r="AB13" s="37"/>
      <c r="AC13" s="37"/>
      <c r="AD13" s="37"/>
      <c r="AE13" s="37"/>
      <c r="AF13" s="37"/>
      <c r="AG13" s="37"/>
      <c r="AH13" s="37"/>
      <c r="AI13" s="37"/>
      <c r="AJ13" s="37"/>
      <c r="AK13" s="37"/>
      <c r="AL13" s="59" t="s">
        <v>298</v>
      </c>
      <c r="AM13" s="65" t="s">
        <v>993</v>
      </c>
      <c r="AN13" s="65">
        <v>2014</v>
      </c>
      <c r="AO13" s="65">
        <v>20</v>
      </c>
    </row>
    <row r="14" spans="1:41" ht="195" x14ac:dyDescent="0.25">
      <c r="A14" s="54" t="s">
        <v>1024</v>
      </c>
      <c r="B14" s="54" t="s">
        <v>1078</v>
      </c>
      <c r="C14" s="54"/>
      <c r="D14" s="54" t="s">
        <v>982</v>
      </c>
      <c r="E14" s="54" t="s">
        <v>982</v>
      </c>
      <c r="F14" s="54" t="s">
        <v>1079</v>
      </c>
      <c r="G14" s="54" t="s">
        <v>1080</v>
      </c>
      <c r="H14" s="54" t="s">
        <v>982</v>
      </c>
      <c r="I14" s="54" t="s">
        <v>982</v>
      </c>
      <c r="J14" s="54" t="s">
        <v>982</v>
      </c>
      <c r="K14" s="54" t="s">
        <v>982</v>
      </c>
      <c r="L14" s="54" t="s">
        <v>982</v>
      </c>
      <c r="M14" s="54" t="s">
        <v>982</v>
      </c>
      <c r="N14" s="54" t="s">
        <v>982</v>
      </c>
      <c r="O14" s="54" t="s">
        <v>982</v>
      </c>
      <c r="P14" s="54" t="s">
        <v>1081</v>
      </c>
      <c r="Q14" s="54">
        <v>1</v>
      </c>
      <c r="R14" s="54" t="s">
        <v>1082</v>
      </c>
      <c r="S14" s="54" t="s">
        <v>1083</v>
      </c>
      <c r="T14" s="54" t="s">
        <v>1084</v>
      </c>
      <c r="U14" s="42"/>
      <c r="V14" s="63">
        <v>26</v>
      </c>
      <c r="W14" s="54" t="s">
        <v>1085</v>
      </c>
      <c r="X14" s="54" t="s">
        <v>1086</v>
      </c>
      <c r="Y14" s="59" t="s">
        <v>1087</v>
      </c>
      <c r="Z14" s="54" t="s">
        <v>1088</v>
      </c>
      <c r="AA14" s="56"/>
      <c r="AB14" s="56"/>
      <c r="AC14" s="56"/>
      <c r="AD14" s="56"/>
      <c r="AE14" s="56"/>
      <c r="AF14" s="56"/>
      <c r="AG14" s="56"/>
      <c r="AH14" s="56"/>
      <c r="AI14" s="56"/>
      <c r="AJ14" s="56"/>
      <c r="AK14" s="56"/>
      <c r="AL14" s="59" t="s">
        <v>298</v>
      </c>
      <c r="AM14" s="65" t="s">
        <v>993</v>
      </c>
      <c r="AN14" s="65">
        <v>2014</v>
      </c>
      <c r="AO14" s="65">
        <v>16</v>
      </c>
    </row>
    <row r="15" spans="1:41" ht="375" x14ac:dyDescent="0.25">
      <c r="A15" s="54" t="s">
        <v>982</v>
      </c>
      <c r="B15" s="54" t="s">
        <v>982</v>
      </c>
      <c r="C15" s="54" t="s">
        <v>982</v>
      </c>
      <c r="D15" s="54" t="s">
        <v>982</v>
      </c>
      <c r="E15" s="54"/>
      <c r="F15" s="54"/>
      <c r="G15" s="54" t="s">
        <v>982</v>
      </c>
      <c r="H15" s="54"/>
      <c r="I15" s="54" t="s">
        <v>982</v>
      </c>
      <c r="J15" s="54" t="s">
        <v>982</v>
      </c>
      <c r="K15" s="54"/>
      <c r="L15" s="54"/>
      <c r="M15" s="54" t="s">
        <v>982</v>
      </c>
      <c r="N15" s="54" t="s">
        <v>982</v>
      </c>
      <c r="O15" s="54" t="s">
        <v>982</v>
      </c>
      <c r="P15" s="54" t="s">
        <v>982</v>
      </c>
      <c r="Q15" s="56">
        <v>2</v>
      </c>
      <c r="R15" s="54"/>
      <c r="S15" s="54"/>
      <c r="T15" s="54"/>
      <c r="U15" s="42"/>
      <c r="V15" s="63">
        <v>27</v>
      </c>
      <c r="W15" s="54" t="s">
        <v>1089</v>
      </c>
      <c r="X15" s="54" t="s">
        <v>1090</v>
      </c>
      <c r="Y15" s="59" t="s">
        <v>1091</v>
      </c>
      <c r="Z15" s="59" t="s">
        <v>1092</v>
      </c>
      <c r="AA15" s="56"/>
      <c r="AB15" s="56"/>
      <c r="AC15" s="56"/>
      <c r="AD15" s="56"/>
      <c r="AE15" s="56"/>
      <c r="AF15" s="56"/>
      <c r="AG15" s="56"/>
      <c r="AH15" s="56"/>
      <c r="AI15" s="56"/>
      <c r="AJ15" s="56"/>
      <c r="AK15" s="56"/>
      <c r="AL15" s="59" t="s">
        <v>298</v>
      </c>
      <c r="AM15" s="65" t="s">
        <v>993</v>
      </c>
      <c r="AN15" s="65">
        <v>2016</v>
      </c>
      <c r="AO15" s="63">
        <v>10</v>
      </c>
    </row>
    <row r="16" spans="1:41" ht="150" x14ac:dyDescent="0.25">
      <c r="A16" s="54" t="s">
        <v>982</v>
      </c>
      <c r="B16" s="54" t="s">
        <v>982</v>
      </c>
      <c r="C16" s="54" t="s">
        <v>982</v>
      </c>
      <c r="D16" s="54" t="s">
        <v>982</v>
      </c>
      <c r="E16" s="54"/>
      <c r="F16" s="54"/>
      <c r="G16" s="54" t="s">
        <v>982</v>
      </c>
      <c r="H16" s="54"/>
      <c r="I16" s="54" t="s">
        <v>982</v>
      </c>
      <c r="J16" s="54" t="s">
        <v>982</v>
      </c>
      <c r="K16" s="54"/>
      <c r="L16" s="54"/>
      <c r="M16" s="54" t="s">
        <v>982</v>
      </c>
      <c r="N16" s="54" t="s">
        <v>982</v>
      </c>
      <c r="O16" s="54" t="s">
        <v>982</v>
      </c>
      <c r="P16" s="54" t="s">
        <v>982</v>
      </c>
      <c r="Q16" s="56">
        <v>2</v>
      </c>
      <c r="R16" s="54"/>
      <c r="S16" s="54"/>
      <c r="T16" s="54"/>
      <c r="U16" s="42"/>
      <c r="V16" s="63">
        <v>31</v>
      </c>
      <c r="W16" s="54" t="s">
        <v>1093</v>
      </c>
      <c r="X16" s="54" t="s">
        <v>1094</v>
      </c>
      <c r="Y16" s="59" t="s">
        <v>1095</v>
      </c>
      <c r="Z16" s="59" t="s">
        <v>1096</v>
      </c>
      <c r="AA16" s="37"/>
      <c r="AB16" s="37"/>
      <c r="AC16" s="37"/>
      <c r="AD16" s="37"/>
      <c r="AE16" s="37"/>
      <c r="AF16" s="37"/>
      <c r="AG16" s="37"/>
      <c r="AH16" s="37"/>
      <c r="AI16" s="37"/>
      <c r="AJ16" s="37"/>
      <c r="AK16" s="37"/>
      <c r="AL16" s="59" t="s">
        <v>328</v>
      </c>
      <c r="AM16" s="65" t="s">
        <v>993</v>
      </c>
      <c r="AN16" s="65">
        <v>2012</v>
      </c>
      <c r="AO16" s="63">
        <v>100</v>
      </c>
    </row>
    <row r="17" spans="1:41" ht="180" x14ac:dyDescent="0.25">
      <c r="A17" s="54" t="s">
        <v>982</v>
      </c>
      <c r="B17" s="54" t="s">
        <v>1097</v>
      </c>
      <c r="C17" s="54" t="s">
        <v>1098</v>
      </c>
      <c r="D17" s="66" t="s">
        <v>1099</v>
      </c>
      <c r="E17" s="66" t="s">
        <v>1038</v>
      </c>
      <c r="F17" s="66" t="s">
        <v>982</v>
      </c>
      <c r="G17" s="54" t="s">
        <v>1100</v>
      </c>
      <c r="H17" s="66" t="s">
        <v>982</v>
      </c>
      <c r="I17" s="66" t="s">
        <v>982</v>
      </c>
      <c r="J17" s="66" t="s">
        <v>982</v>
      </c>
      <c r="K17" s="66" t="s">
        <v>982</v>
      </c>
      <c r="L17" s="66" t="s">
        <v>982</v>
      </c>
      <c r="M17" s="66" t="s">
        <v>966</v>
      </c>
      <c r="N17" s="66" t="s">
        <v>982</v>
      </c>
      <c r="O17" s="66" t="s">
        <v>982</v>
      </c>
      <c r="P17" s="66" t="s">
        <v>1101</v>
      </c>
      <c r="Q17" s="66">
        <v>1</v>
      </c>
      <c r="R17" s="54" t="s">
        <v>1102</v>
      </c>
      <c r="S17" s="54"/>
      <c r="T17" s="54"/>
      <c r="U17" s="42"/>
      <c r="V17" s="67">
        <v>34</v>
      </c>
      <c r="W17" s="66" t="s">
        <v>1103</v>
      </c>
      <c r="X17" s="66" t="s">
        <v>1104</v>
      </c>
      <c r="Y17" s="66" t="s">
        <v>1105</v>
      </c>
      <c r="Z17" s="66" t="s">
        <v>1106</v>
      </c>
      <c r="AA17" s="37"/>
      <c r="AB17" s="37"/>
      <c r="AC17" s="37"/>
      <c r="AD17" s="37"/>
      <c r="AE17" s="37"/>
      <c r="AF17" s="37"/>
      <c r="AG17" s="37"/>
      <c r="AH17" s="37"/>
      <c r="AI17" s="37"/>
      <c r="AJ17" s="37"/>
      <c r="AK17" s="37"/>
      <c r="AL17" s="66" t="s">
        <v>313</v>
      </c>
      <c r="AM17" s="68" t="s">
        <v>993</v>
      </c>
      <c r="AN17" s="68">
        <v>2017</v>
      </c>
      <c r="AO17" s="67">
        <v>0</v>
      </c>
    </row>
    <row r="18" spans="1:41" ht="210" x14ac:dyDescent="0.25">
      <c r="A18" s="54" t="s">
        <v>1107</v>
      </c>
      <c r="B18" s="54" t="s">
        <v>1108</v>
      </c>
      <c r="C18" s="54" t="s">
        <v>1109</v>
      </c>
      <c r="D18" s="54" t="s">
        <v>982</v>
      </c>
      <c r="E18" s="54"/>
      <c r="F18" s="54"/>
      <c r="G18" s="54" t="s">
        <v>1110</v>
      </c>
      <c r="H18" s="54"/>
      <c r="I18" s="54" t="s">
        <v>982</v>
      </c>
      <c r="J18" s="54" t="s">
        <v>1111</v>
      </c>
      <c r="K18" s="54"/>
      <c r="L18" s="54"/>
      <c r="M18" s="54" t="s">
        <v>982</v>
      </c>
      <c r="N18" s="54" t="s">
        <v>982</v>
      </c>
      <c r="O18" s="54" t="s">
        <v>982</v>
      </c>
      <c r="P18" s="54" t="s">
        <v>982</v>
      </c>
      <c r="Q18" s="54">
        <v>1</v>
      </c>
      <c r="R18" s="54" t="s">
        <v>1112</v>
      </c>
      <c r="S18" s="54" t="s">
        <v>1113</v>
      </c>
      <c r="T18" s="54" t="s">
        <v>1114</v>
      </c>
      <c r="U18" s="42"/>
      <c r="V18" s="63">
        <v>37</v>
      </c>
      <c r="W18" s="54" t="s">
        <v>1115</v>
      </c>
      <c r="X18" s="54" t="s">
        <v>1116</v>
      </c>
      <c r="Y18" s="59" t="s">
        <v>1117</v>
      </c>
      <c r="Z18" s="54" t="s">
        <v>1118</v>
      </c>
      <c r="AA18" s="56"/>
      <c r="AB18" s="56"/>
      <c r="AC18" s="56"/>
      <c r="AD18" s="56"/>
      <c r="AE18" s="56"/>
      <c r="AF18" s="56"/>
      <c r="AG18" s="56"/>
      <c r="AH18" s="56"/>
      <c r="AI18" s="56"/>
      <c r="AJ18" s="56"/>
      <c r="AK18" s="56"/>
      <c r="AL18" s="59" t="s">
        <v>313</v>
      </c>
      <c r="AM18" s="65" t="s">
        <v>993</v>
      </c>
      <c r="AN18" s="65">
        <v>2019</v>
      </c>
      <c r="AO18" s="63">
        <v>0</v>
      </c>
    </row>
    <row r="19" spans="1:41" ht="180" x14ac:dyDescent="0.25">
      <c r="A19" s="54" t="s">
        <v>982</v>
      </c>
      <c r="B19" s="54" t="s">
        <v>982</v>
      </c>
      <c r="C19" s="54" t="s">
        <v>982</v>
      </c>
      <c r="D19" s="54" t="s">
        <v>983</v>
      </c>
      <c r="E19" s="54"/>
      <c r="F19" s="54"/>
      <c r="G19" s="54" t="s">
        <v>982</v>
      </c>
      <c r="H19" s="54"/>
      <c r="I19" s="54" t="s">
        <v>982</v>
      </c>
      <c r="J19" s="54" t="s">
        <v>982</v>
      </c>
      <c r="K19" s="54"/>
      <c r="L19" s="54"/>
      <c r="M19" s="54" t="s">
        <v>982</v>
      </c>
      <c r="N19" s="54" t="s">
        <v>982</v>
      </c>
      <c r="O19" s="54" t="s">
        <v>982</v>
      </c>
      <c r="P19" s="54" t="s">
        <v>982</v>
      </c>
      <c r="Q19" s="56">
        <v>1</v>
      </c>
      <c r="R19" s="54"/>
      <c r="S19" s="54"/>
      <c r="T19" s="54"/>
      <c r="U19" s="42"/>
      <c r="V19" s="63">
        <v>42</v>
      </c>
      <c r="W19" s="54" t="s">
        <v>1119</v>
      </c>
      <c r="X19" s="54" t="s">
        <v>1120</v>
      </c>
      <c r="Y19" s="54" t="s">
        <v>1121</v>
      </c>
      <c r="Z19" s="54" t="s">
        <v>1122</v>
      </c>
      <c r="AA19" s="56"/>
      <c r="AB19" s="56"/>
      <c r="AC19" s="56"/>
      <c r="AD19" s="56"/>
      <c r="AE19" s="56"/>
      <c r="AF19" s="56"/>
      <c r="AG19" s="56"/>
      <c r="AH19" s="56"/>
      <c r="AI19" s="56"/>
      <c r="AJ19" s="56"/>
      <c r="AK19" s="56"/>
      <c r="AL19" s="59" t="s">
        <v>314</v>
      </c>
      <c r="AM19" s="65" t="s">
        <v>993</v>
      </c>
      <c r="AN19" s="65">
        <v>2013</v>
      </c>
      <c r="AO19" s="65">
        <v>46</v>
      </c>
    </row>
    <row r="20" spans="1:41" ht="180" x14ac:dyDescent="0.25">
      <c r="A20" s="54" t="s">
        <v>982</v>
      </c>
      <c r="B20" s="54" t="s">
        <v>1123</v>
      </c>
      <c r="C20" s="54" t="s">
        <v>982</v>
      </c>
      <c r="D20" s="54" t="s">
        <v>1124</v>
      </c>
      <c r="E20" s="54" t="s">
        <v>982</v>
      </c>
      <c r="F20" s="54" t="s">
        <v>982</v>
      </c>
      <c r="G20" s="54" t="s">
        <v>982</v>
      </c>
      <c r="H20" s="54" t="s">
        <v>982</v>
      </c>
      <c r="I20" s="54" t="s">
        <v>982</v>
      </c>
      <c r="J20" s="54" t="s">
        <v>1125</v>
      </c>
      <c r="K20" s="54" t="s">
        <v>982</v>
      </c>
      <c r="L20" s="54" t="s">
        <v>982</v>
      </c>
      <c r="M20" s="54" t="s">
        <v>982</v>
      </c>
      <c r="N20" s="54" t="s">
        <v>1126</v>
      </c>
      <c r="O20" s="54" t="s">
        <v>982</v>
      </c>
      <c r="P20" s="54" t="s">
        <v>982</v>
      </c>
      <c r="Q20" s="54">
        <v>1</v>
      </c>
      <c r="R20" s="54" t="s">
        <v>1127</v>
      </c>
      <c r="S20" s="54"/>
      <c r="T20" s="54"/>
      <c r="U20" s="42"/>
      <c r="V20" s="63">
        <v>47</v>
      </c>
      <c r="W20" s="54" t="s">
        <v>1128</v>
      </c>
      <c r="X20" s="59" t="s">
        <v>1129</v>
      </c>
      <c r="Y20" s="59" t="s">
        <v>1130</v>
      </c>
      <c r="Z20" s="59" t="s">
        <v>1131</v>
      </c>
      <c r="AA20" s="37"/>
      <c r="AB20" s="37"/>
      <c r="AC20" s="37"/>
      <c r="AD20" s="37"/>
      <c r="AE20" s="37"/>
      <c r="AF20" s="37"/>
      <c r="AG20" s="37"/>
      <c r="AH20" s="37"/>
      <c r="AI20" s="37"/>
      <c r="AJ20" s="37"/>
      <c r="AK20" s="37"/>
      <c r="AL20" s="59" t="s">
        <v>311</v>
      </c>
      <c r="AM20" s="65" t="s">
        <v>993</v>
      </c>
      <c r="AN20" s="65">
        <v>2010</v>
      </c>
      <c r="AO20" s="65">
        <v>22</v>
      </c>
    </row>
    <row r="21" spans="1:41" ht="165" x14ac:dyDescent="0.25">
      <c r="A21" s="54" t="s">
        <v>982</v>
      </c>
      <c r="B21" s="54" t="s">
        <v>982</v>
      </c>
      <c r="C21" s="54" t="s">
        <v>982</v>
      </c>
      <c r="D21" s="54" t="s">
        <v>982</v>
      </c>
      <c r="E21" s="54"/>
      <c r="F21" s="54"/>
      <c r="G21" s="54" t="s">
        <v>982</v>
      </c>
      <c r="H21" s="54"/>
      <c r="I21" s="54" t="s">
        <v>982</v>
      </c>
      <c r="J21" s="54" t="s">
        <v>982</v>
      </c>
      <c r="K21" s="54"/>
      <c r="L21" s="54"/>
      <c r="M21" s="54" t="s">
        <v>982</v>
      </c>
      <c r="N21" s="54" t="s">
        <v>982</v>
      </c>
      <c r="O21" s="54" t="s">
        <v>982</v>
      </c>
      <c r="P21" s="54" t="s">
        <v>982</v>
      </c>
      <c r="Q21" s="56">
        <v>1</v>
      </c>
      <c r="R21" s="54"/>
      <c r="S21" s="54"/>
      <c r="T21" s="54"/>
      <c r="U21" s="42"/>
      <c r="V21" s="63">
        <v>83</v>
      </c>
      <c r="W21" s="54" t="s">
        <v>1132</v>
      </c>
      <c r="X21" s="54" t="s">
        <v>1133</v>
      </c>
      <c r="Y21" s="59" t="s">
        <v>1134</v>
      </c>
      <c r="Z21" s="54" t="s">
        <v>1135</v>
      </c>
      <c r="AA21" s="56"/>
      <c r="AB21" s="56"/>
      <c r="AC21" s="56"/>
      <c r="AD21" s="56"/>
      <c r="AE21" s="56"/>
      <c r="AF21" s="56"/>
      <c r="AG21" s="56"/>
      <c r="AH21" s="56"/>
      <c r="AI21" s="56"/>
      <c r="AJ21" s="56"/>
      <c r="AK21" s="56"/>
      <c r="AL21" s="59" t="s">
        <v>310</v>
      </c>
      <c r="AM21" s="65" t="s">
        <v>993</v>
      </c>
      <c r="AN21" s="65">
        <v>2017</v>
      </c>
      <c r="AO21" s="63">
        <v>2</v>
      </c>
    </row>
    <row r="22" spans="1:41" ht="120" x14ac:dyDescent="0.25">
      <c r="A22" s="54" t="s">
        <v>982</v>
      </c>
      <c r="B22" s="54" t="s">
        <v>1136</v>
      </c>
      <c r="C22" s="54" t="s">
        <v>982</v>
      </c>
      <c r="D22" s="54" t="s">
        <v>1137</v>
      </c>
      <c r="E22" s="54" t="s">
        <v>982</v>
      </c>
      <c r="F22" s="54" t="s">
        <v>982</v>
      </c>
      <c r="G22" s="54" t="s">
        <v>1138</v>
      </c>
      <c r="H22" s="54" t="s">
        <v>982</v>
      </c>
      <c r="I22" s="54" t="s">
        <v>982</v>
      </c>
      <c r="J22" s="54" t="s">
        <v>24</v>
      </c>
      <c r="K22" s="54" t="s">
        <v>982</v>
      </c>
      <c r="L22" s="54" t="s">
        <v>982</v>
      </c>
      <c r="M22" s="54" t="s">
        <v>982</v>
      </c>
      <c r="N22" s="54" t="s">
        <v>982</v>
      </c>
      <c r="O22" s="54" t="s">
        <v>982</v>
      </c>
      <c r="P22" s="54" t="s">
        <v>982</v>
      </c>
      <c r="Q22" s="54">
        <v>1</v>
      </c>
      <c r="R22" s="54"/>
      <c r="S22" s="54"/>
      <c r="T22" s="54"/>
      <c r="U22" s="42"/>
      <c r="V22" s="63">
        <v>86</v>
      </c>
      <c r="W22" s="54" t="s">
        <v>1139</v>
      </c>
      <c r="X22" s="54" t="s">
        <v>1140</v>
      </c>
      <c r="Y22" s="59" t="s">
        <v>1141</v>
      </c>
      <c r="Z22" s="54" t="s">
        <v>1142</v>
      </c>
      <c r="AA22" s="37"/>
      <c r="AB22" s="37"/>
      <c r="AC22" s="37"/>
      <c r="AD22" s="37"/>
      <c r="AE22" s="37"/>
      <c r="AF22" s="37"/>
      <c r="AG22" s="37"/>
      <c r="AH22" s="37"/>
      <c r="AI22" s="37"/>
      <c r="AJ22" s="37"/>
      <c r="AK22" s="37"/>
      <c r="AL22" s="59" t="s">
        <v>316</v>
      </c>
      <c r="AM22" s="65" t="s">
        <v>993</v>
      </c>
      <c r="AN22" s="65">
        <v>2018</v>
      </c>
      <c r="AO22" s="63">
        <v>0</v>
      </c>
    </row>
    <row r="23" spans="1:41" ht="180" x14ac:dyDescent="0.25">
      <c r="A23" s="54" t="s">
        <v>982</v>
      </c>
      <c r="B23" s="54" t="s">
        <v>982</v>
      </c>
      <c r="C23" s="54" t="s">
        <v>982</v>
      </c>
      <c r="D23" s="42" t="s">
        <v>982</v>
      </c>
      <c r="E23" s="42" t="s">
        <v>982</v>
      </c>
      <c r="F23" s="42" t="s">
        <v>982</v>
      </c>
      <c r="G23" s="54" t="s">
        <v>982</v>
      </c>
      <c r="H23" s="42" t="s">
        <v>982</v>
      </c>
      <c r="I23" s="42" t="s">
        <v>982</v>
      </c>
      <c r="J23" s="42" t="s">
        <v>982</v>
      </c>
      <c r="K23" s="42" t="s">
        <v>982</v>
      </c>
      <c r="L23" s="42" t="s">
        <v>982</v>
      </c>
      <c r="M23" s="42" t="s">
        <v>982</v>
      </c>
      <c r="N23" s="42" t="s">
        <v>1143</v>
      </c>
      <c r="O23" s="42" t="s">
        <v>982</v>
      </c>
      <c r="P23" s="42" t="s">
        <v>982</v>
      </c>
      <c r="Q23" s="42">
        <v>3</v>
      </c>
      <c r="R23" s="54"/>
      <c r="S23" s="54"/>
      <c r="T23" s="54"/>
      <c r="U23" s="42"/>
      <c r="V23" s="61">
        <v>98</v>
      </c>
      <c r="W23" s="42" t="s">
        <v>1144</v>
      </c>
      <c r="X23" s="42" t="s">
        <v>1145</v>
      </c>
      <c r="Y23" s="42" t="s">
        <v>1146</v>
      </c>
      <c r="Z23" s="42" t="s">
        <v>1147</v>
      </c>
      <c r="AA23" s="56"/>
      <c r="AB23" s="56"/>
      <c r="AC23" s="56"/>
      <c r="AD23" s="56"/>
      <c r="AE23" s="56"/>
      <c r="AF23" s="56"/>
      <c r="AG23" s="56"/>
      <c r="AH23" s="56"/>
      <c r="AI23" s="56"/>
      <c r="AJ23" s="56"/>
      <c r="AK23" s="56"/>
      <c r="AL23" s="42" t="s">
        <v>302</v>
      </c>
      <c r="AM23" s="53" t="s">
        <v>993</v>
      </c>
      <c r="AN23" s="53">
        <v>2008</v>
      </c>
      <c r="AO23" s="53">
        <v>17</v>
      </c>
    </row>
    <row r="24" spans="1:41" ht="195" x14ac:dyDescent="0.25">
      <c r="A24" s="54" t="s">
        <v>982</v>
      </c>
      <c r="B24" s="54" t="s">
        <v>982</v>
      </c>
      <c r="C24" s="54" t="s">
        <v>982</v>
      </c>
      <c r="D24" s="54" t="s">
        <v>982</v>
      </c>
      <c r="E24" s="54" t="s">
        <v>982</v>
      </c>
      <c r="F24" s="54" t="s">
        <v>982</v>
      </c>
      <c r="G24" s="54" t="s">
        <v>982</v>
      </c>
      <c r="H24" s="54" t="s">
        <v>982</v>
      </c>
      <c r="I24" s="54" t="s">
        <v>1017</v>
      </c>
      <c r="J24" s="54" t="s">
        <v>982</v>
      </c>
      <c r="K24" s="54" t="s">
        <v>982</v>
      </c>
      <c r="L24" s="54" t="s">
        <v>982</v>
      </c>
      <c r="M24" s="54" t="s">
        <v>982</v>
      </c>
      <c r="N24" s="54" t="s">
        <v>982</v>
      </c>
      <c r="O24" s="54" t="s">
        <v>982</v>
      </c>
      <c r="P24" s="54" t="s">
        <v>982</v>
      </c>
      <c r="Q24" s="54">
        <v>1</v>
      </c>
      <c r="R24" s="54"/>
      <c r="S24" s="54"/>
      <c r="T24" s="54"/>
      <c r="U24" s="42"/>
      <c r="V24" s="63">
        <v>127</v>
      </c>
      <c r="W24" s="54" t="s">
        <v>1148</v>
      </c>
      <c r="X24" s="54" t="s">
        <v>1149</v>
      </c>
      <c r="Y24" s="54" t="s">
        <v>1150</v>
      </c>
      <c r="Z24" s="59" t="s">
        <v>1151</v>
      </c>
      <c r="AA24" s="37"/>
      <c r="AB24" s="37"/>
      <c r="AC24" s="37"/>
      <c r="AD24" s="37"/>
      <c r="AE24" s="37"/>
      <c r="AF24" s="37"/>
      <c r="AG24" s="37"/>
      <c r="AH24" s="37"/>
      <c r="AI24" s="37"/>
      <c r="AJ24" s="37"/>
      <c r="AK24" s="37"/>
      <c r="AL24" s="59" t="s">
        <v>318</v>
      </c>
      <c r="AM24" s="65" t="s">
        <v>993</v>
      </c>
      <c r="AN24" s="65">
        <v>2018</v>
      </c>
      <c r="AO24" s="63">
        <v>1</v>
      </c>
    </row>
    <row r="25" spans="1:41" ht="210" x14ac:dyDescent="0.25">
      <c r="A25" s="54" t="s">
        <v>982</v>
      </c>
      <c r="B25" s="54" t="s">
        <v>982</v>
      </c>
      <c r="C25" s="54" t="s">
        <v>982</v>
      </c>
      <c r="D25" s="54" t="s">
        <v>1152</v>
      </c>
      <c r="E25" s="54" t="s">
        <v>982</v>
      </c>
      <c r="F25" s="54" t="s">
        <v>982</v>
      </c>
      <c r="G25" s="54" t="s">
        <v>982</v>
      </c>
      <c r="H25" s="54" t="s">
        <v>982</v>
      </c>
      <c r="I25" s="54" t="s">
        <v>982</v>
      </c>
      <c r="J25" s="54" t="s">
        <v>982</v>
      </c>
      <c r="K25" s="54" t="s">
        <v>982</v>
      </c>
      <c r="L25" s="54" t="s">
        <v>982</v>
      </c>
      <c r="M25" s="54" t="s">
        <v>982</v>
      </c>
      <c r="N25" s="54" t="s">
        <v>982</v>
      </c>
      <c r="O25" s="56" t="s">
        <v>1153</v>
      </c>
      <c r="P25" s="54" t="s">
        <v>982</v>
      </c>
      <c r="Q25" s="56">
        <v>1</v>
      </c>
      <c r="R25" s="54"/>
      <c r="S25" s="54"/>
      <c r="T25" s="54"/>
      <c r="U25" s="42"/>
      <c r="V25" s="63">
        <v>141</v>
      </c>
      <c r="W25" s="54" t="s">
        <v>1154</v>
      </c>
      <c r="X25" s="54" t="s">
        <v>1155</v>
      </c>
      <c r="Y25" s="59" t="s">
        <v>1156</v>
      </c>
      <c r="Z25" s="54" t="s">
        <v>1157</v>
      </c>
      <c r="AA25" s="56"/>
      <c r="AB25" s="56"/>
      <c r="AC25" s="56"/>
      <c r="AD25" s="56"/>
      <c r="AE25" s="56"/>
      <c r="AF25" s="56"/>
      <c r="AG25" s="56"/>
      <c r="AH25" s="56"/>
      <c r="AI25" s="56"/>
      <c r="AJ25" s="56"/>
      <c r="AK25" s="56"/>
      <c r="AL25" s="59" t="s">
        <v>312</v>
      </c>
      <c r="AM25" s="65" t="s">
        <v>993</v>
      </c>
      <c r="AN25" s="65">
        <v>2017</v>
      </c>
      <c r="AO25" s="63">
        <v>2</v>
      </c>
    </row>
    <row r="26" spans="1:41" ht="210" x14ac:dyDescent="0.25">
      <c r="A26" s="54" t="s">
        <v>982</v>
      </c>
      <c r="B26" s="54" t="s">
        <v>982</v>
      </c>
      <c r="C26" s="54" t="s">
        <v>982</v>
      </c>
      <c r="D26" s="54" t="s">
        <v>982</v>
      </c>
      <c r="E26" s="54"/>
      <c r="F26" s="54"/>
      <c r="G26" s="54" t="s">
        <v>982</v>
      </c>
      <c r="H26" s="54"/>
      <c r="I26" s="54" t="s">
        <v>982</v>
      </c>
      <c r="J26" s="54" t="s">
        <v>982</v>
      </c>
      <c r="K26" s="54"/>
      <c r="L26" s="54"/>
      <c r="M26" s="54" t="s">
        <v>982</v>
      </c>
      <c r="N26" s="54" t="s">
        <v>1143</v>
      </c>
      <c r="O26" s="54" t="s">
        <v>982</v>
      </c>
      <c r="P26" s="54" t="s">
        <v>982</v>
      </c>
      <c r="Q26" s="56">
        <v>3</v>
      </c>
      <c r="R26" s="54"/>
      <c r="S26" s="54"/>
      <c r="T26" s="54"/>
      <c r="U26" s="42"/>
      <c r="V26" s="63">
        <v>143</v>
      </c>
      <c r="W26" s="54" t="s">
        <v>1158</v>
      </c>
      <c r="X26" s="54" t="s">
        <v>1159</v>
      </c>
      <c r="Y26" s="54" t="s">
        <v>1160</v>
      </c>
      <c r="Z26" s="54" t="s">
        <v>1161</v>
      </c>
      <c r="AA26" s="56"/>
      <c r="AB26" s="56"/>
      <c r="AC26" s="56"/>
      <c r="AD26" s="56"/>
      <c r="AE26" s="56"/>
      <c r="AF26" s="56"/>
      <c r="AG26" s="56"/>
      <c r="AH26" s="56"/>
      <c r="AI26" s="56"/>
      <c r="AJ26" s="56"/>
      <c r="AK26" s="56"/>
      <c r="AL26" s="59" t="s">
        <v>1162</v>
      </c>
      <c r="AM26" s="65" t="s">
        <v>993</v>
      </c>
      <c r="AN26" s="65">
        <v>2019</v>
      </c>
      <c r="AO26" s="63"/>
    </row>
    <row r="27" spans="1:41" ht="180" x14ac:dyDescent="0.25">
      <c r="A27" s="54" t="s">
        <v>982</v>
      </c>
      <c r="B27" s="54" t="s">
        <v>982</v>
      </c>
      <c r="C27" s="54" t="s">
        <v>982</v>
      </c>
      <c r="D27" s="42" t="s">
        <v>982</v>
      </c>
      <c r="E27" s="42" t="s">
        <v>982</v>
      </c>
      <c r="F27" s="42" t="s">
        <v>982</v>
      </c>
      <c r="G27" s="54" t="s">
        <v>982</v>
      </c>
      <c r="H27" s="42" t="s">
        <v>982</v>
      </c>
      <c r="I27" s="42" t="s">
        <v>982</v>
      </c>
      <c r="J27" s="42" t="s">
        <v>982</v>
      </c>
      <c r="K27" s="42" t="s">
        <v>982</v>
      </c>
      <c r="L27" s="42" t="s">
        <v>982</v>
      </c>
      <c r="M27" s="42" t="s">
        <v>982</v>
      </c>
      <c r="N27" s="42" t="s">
        <v>982</v>
      </c>
      <c r="O27" s="42" t="s">
        <v>982</v>
      </c>
      <c r="P27" s="42" t="s">
        <v>982</v>
      </c>
      <c r="Q27" s="37">
        <v>3</v>
      </c>
      <c r="R27" s="54"/>
      <c r="S27" s="54"/>
      <c r="T27" s="54"/>
      <c r="U27" s="42"/>
      <c r="V27" s="61">
        <v>144</v>
      </c>
      <c r="W27" s="42" t="s">
        <v>1163</v>
      </c>
      <c r="X27" s="42" t="s">
        <v>1164</v>
      </c>
      <c r="Y27" s="42" t="s">
        <v>1165</v>
      </c>
      <c r="Z27" s="42" t="s">
        <v>1166</v>
      </c>
      <c r="AA27" s="37"/>
      <c r="AB27" s="37"/>
      <c r="AC27" s="37"/>
      <c r="AD27" s="37"/>
      <c r="AE27" s="37"/>
      <c r="AF27" s="37"/>
      <c r="AG27" s="37"/>
      <c r="AH27" s="37"/>
      <c r="AI27" s="37"/>
      <c r="AJ27" s="37"/>
      <c r="AK27" s="37"/>
      <c r="AL27" s="42" t="s">
        <v>315</v>
      </c>
      <c r="AM27" s="53" t="s">
        <v>993</v>
      </c>
      <c r="AN27" s="53">
        <v>2008</v>
      </c>
      <c r="AO27" s="53">
        <v>56</v>
      </c>
    </row>
    <row r="28" spans="1:41" ht="135" x14ac:dyDescent="0.25">
      <c r="A28" s="54" t="s">
        <v>982</v>
      </c>
      <c r="B28" s="54" t="s">
        <v>982</v>
      </c>
      <c r="C28" s="54" t="s">
        <v>982</v>
      </c>
      <c r="D28" s="42" t="s">
        <v>982</v>
      </c>
      <c r="E28" s="42" t="s">
        <v>982</v>
      </c>
      <c r="F28" s="42" t="s">
        <v>982</v>
      </c>
      <c r="G28" s="54" t="s">
        <v>982</v>
      </c>
      <c r="H28" s="42" t="s">
        <v>982</v>
      </c>
      <c r="I28" s="42" t="s">
        <v>982</v>
      </c>
      <c r="J28" s="42" t="s">
        <v>982</v>
      </c>
      <c r="K28" s="42" t="s">
        <v>982</v>
      </c>
      <c r="L28" s="42" t="s">
        <v>982</v>
      </c>
      <c r="M28" s="42" t="s">
        <v>982</v>
      </c>
      <c r="N28" s="42" t="s">
        <v>982</v>
      </c>
      <c r="O28" s="42" t="s">
        <v>982</v>
      </c>
      <c r="P28" s="42" t="s">
        <v>982</v>
      </c>
      <c r="Q28" s="42">
        <v>3</v>
      </c>
      <c r="R28" s="54" t="s">
        <v>1167</v>
      </c>
      <c r="S28" s="54"/>
      <c r="T28" s="54"/>
      <c r="U28" s="42"/>
      <c r="V28" s="61">
        <v>171</v>
      </c>
      <c r="W28" s="42" t="s">
        <v>1168</v>
      </c>
      <c r="X28" s="42" t="s">
        <v>1169</v>
      </c>
      <c r="Y28" s="42" t="s">
        <v>1170</v>
      </c>
      <c r="Z28" s="42" t="s">
        <v>1171</v>
      </c>
      <c r="AA28" s="56"/>
      <c r="AB28" s="56"/>
      <c r="AC28" s="56"/>
      <c r="AD28" s="56"/>
      <c r="AE28" s="56"/>
      <c r="AF28" s="56"/>
      <c r="AG28" s="56"/>
      <c r="AH28" s="56"/>
      <c r="AI28" s="56"/>
      <c r="AJ28" s="56"/>
      <c r="AK28" s="56"/>
      <c r="AL28" s="42" t="s">
        <v>308</v>
      </c>
      <c r="AM28" s="53" t="s">
        <v>1172</v>
      </c>
      <c r="AN28" s="53">
        <v>2004</v>
      </c>
      <c r="AO28" s="53">
        <v>13</v>
      </c>
    </row>
    <row r="29" spans="1:41" ht="180" x14ac:dyDescent="0.25">
      <c r="A29" s="54" t="s">
        <v>982</v>
      </c>
      <c r="B29" s="54" t="s">
        <v>982</v>
      </c>
      <c r="C29" s="54" t="s">
        <v>982</v>
      </c>
      <c r="D29" s="54" t="s">
        <v>982</v>
      </c>
      <c r="E29" s="54" t="s">
        <v>982</v>
      </c>
      <c r="F29" s="54" t="s">
        <v>982</v>
      </c>
      <c r="G29" s="54" t="s">
        <v>982</v>
      </c>
      <c r="H29" s="54" t="s">
        <v>982</v>
      </c>
      <c r="I29" s="54" t="s">
        <v>982</v>
      </c>
      <c r="J29" s="54" t="s">
        <v>982</v>
      </c>
      <c r="K29" s="54" t="s">
        <v>982</v>
      </c>
      <c r="L29" s="54" t="s">
        <v>982</v>
      </c>
      <c r="M29" s="54" t="s">
        <v>982</v>
      </c>
      <c r="N29" s="54" t="s">
        <v>982</v>
      </c>
      <c r="O29" s="54" t="s">
        <v>982</v>
      </c>
      <c r="P29" s="54" t="s">
        <v>982</v>
      </c>
      <c r="Q29" s="54">
        <v>1</v>
      </c>
      <c r="R29" s="54"/>
      <c r="S29" s="54"/>
      <c r="T29" s="54"/>
      <c r="U29" s="42"/>
      <c r="V29" s="63">
        <v>195</v>
      </c>
      <c r="W29" s="54" t="s">
        <v>1173</v>
      </c>
      <c r="X29" s="54" t="s">
        <v>1174</v>
      </c>
      <c r="Y29" s="59" t="s">
        <v>1175</v>
      </c>
      <c r="Z29" s="59" t="s">
        <v>1176</v>
      </c>
      <c r="AA29" s="56"/>
      <c r="AB29" s="56"/>
      <c r="AC29" s="56"/>
      <c r="AD29" s="56"/>
      <c r="AE29" s="56"/>
      <c r="AF29" s="56"/>
      <c r="AG29" s="56"/>
      <c r="AH29" s="56"/>
      <c r="AI29" s="56"/>
      <c r="AJ29" s="56"/>
      <c r="AK29" s="56"/>
      <c r="AL29" s="59" t="s">
        <v>305</v>
      </c>
      <c r="AM29" s="65" t="s">
        <v>993</v>
      </c>
      <c r="AN29" s="65">
        <v>2013</v>
      </c>
      <c r="AO29" s="63">
        <v>179</v>
      </c>
    </row>
    <row r="30" spans="1:41" ht="150" x14ac:dyDescent="0.25">
      <c r="A30" s="54" t="s">
        <v>982</v>
      </c>
      <c r="B30" s="54" t="s">
        <v>982</v>
      </c>
      <c r="C30" s="54" t="s">
        <v>982</v>
      </c>
      <c r="D30" s="54" t="s">
        <v>982</v>
      </c>
      <c r="E30" s="54" t="s">
        <v>982</v>
      </c>
      <c r="F30" s="54" t="s">
        <v>982</v>
      </c>
      <c r="G30" s="54" t="s">
        <v>982</v>
      </c>
      <c r="H30" s="54" t="s">
        <v>982</v>
      </c>
      <c r="I30" s="54" t="s">
        <v>982</v>
      </c>
      <c r="J30" s="54" t="s">
        <v>982</v>
      </c>
      <c r="K30" s="54" t="s">
        <v>982</v>
      </c>
      <c r="L30" s="54" t="s">
        <v>982</v>
      </c>
      <c r="M30" s="54" t="s">
        <v>1177</v>
      </c>
      <c r="N30" s="54" t="s">
        <v>982</v>
      </c>
      <c r="O30" s="54" t="s">
        <v>982</v>
      </c>
      <c r="P30" s="54" t="s">
        <v>982</v>
      </c>
      <c r="Q30" s="54">
        <v>1</v>
      </c>
      <c r="R30" s="54" t="s">
        <v>1178</v>
      </c>
      <c r="S30" s="54"/>
      <c r="T30" s="54"/>
      <c r="U30" s="42"/>
      <c r="V30" s="63">
        <v>199</v>
      </c>
      <c r="W30" s="54" t="s">
        <v>1179</v>
      </c>
      <c r="X30" s="54" t="s">
        <v>1180</v>
      </c>
      <c r="Y30" s="54" t="s">
        <v>1181</v>
      </c>
      <c r="Z30" s="54" t="s">
        <v>1182</v>
      </c>
      <c r="AA30" s="37"/>
      <c r="AB30" s="37"/>
      <c r="AC30" s="37"/>
      <c r="AD30" s="37"/>
      <c r="AE30" s="37"/>
      <c r="AF30" s="37"/>
      <c r="AG30" s="37"/>
      <c r="AH30" s="37"/>
      <c r="AI30" s="37"/>
      <c r="AJ30" s="37"/>
      <c r="AK30" s="37"/>
      <c r="AL30" s="54" t="s">
        <v>1183</v>
      </c>
      <c r="AM30" s="65" t="s">
        <v>993</v>
      </c>
      <c r="AN30" s="65">
        <v>2010</v>
      </c>
      <c r="AO30" s="63"/>
    </row>
    <row r="31" spans="1:41" ht="105" x14ac:dyDescent="0.25">
      <c r="A31" s="54" t="s">
        <v>982</v>
      </c>
      <c r="B31" s="54" t="s">
        <v>982</v>
      </c>
      <c r="C31" s="54" t="s">
        <v>982</v>
      </c>
      <c r="D31" s="42" t="s">
        <v>982</v>
      </c>
      <c r="E31" s="42" t="s">
        <v>982</v>
      </c>
      <c r="F31" s="42" t="s">
        <v>982</v>
      </c>
      <c r="G31" s="54" t="s">
        <v>982</v>
      </c>
      <c r="H31" s="42" t="s">
        <v>982</v>
      </c>
      <c r="I31" s="42" t="s">
        <v>982</v>
      </c>
      <c r="J31" s="42" t="s">
        <v>982</v>
      </c>
      <c r="K31" s="42" t="s">
        <v>982</v>
      </c>
      <c r="L31" s="42" t="s">
        <v>982</v>
      </c>
      <c r="M31" s="42" t="s">
        <v>982</v>
      </c>
      <c r="N31" s="42" t="s">
        <v>982</v>
      </c>
      <c r="O31" s="42" t="s">
        <v>1184</v>
      </c>
      <c r="P31" s="42" t="s">
        <v>982</v>
      </c>
      <c r="Q31" s="42">
        <v>3</v>
      </c>
      <c r="R31" s="54"/>
      <c r="S31" s="54"/>
      <c r="T31" s="54"/>
      <c r="U31" s="42"/>
      <c r="V31" s="61">
        <v>200</v>
      </c>
      <c r="W31" s="42" t="s">
        <v>1185</v>
      </c>
      <c r="X31" s="42" t="s">
        <v>1186</v>
      </c>
      <c r="Y31" s="42" t="s">
        <v>1187</v>
      </c>
      <c r="Z31" s="42" t="s">
        <v>1188</v>
      </c>
      <c r="AA31" s="37"/>
      <c r="AB31" s="37"/>
      <c r="AC31" s="37"/>
      <c r="AD31" s="37"/>
      <c r="AE31" s="37"/>
      <c r="AF31" s="37"/>
      <c r="AG31" s="37"/>
      <c r="AH31" s="37"/>
      <c r="AI31" s="37"/>
      <c r="AJ31" s="37"/>
      <c r="AK31" s="37"/>
      <c r="AL31" s="37" t="s">
        <v>311</v>
      </c>
      <c r="AM31" s="53" t="s">
        <v>993</v>
      </c>
      <c r="AN31" s="53">
        <v>2003</v>
      </c>
      <c r="AO31" s="61">
        <v>675</v>
      </c>
    </row>
    <row r="32" spans="1:41" ht="180" x14ac:dyDescent="0.25">
      <c r="A32" s="54" t="s">
        <v>982</v>
      </c>
      <c r="B32" s="54" t="s">
        <v>982</v>
      </c>
      <c r="C32" s="54" t="s">
        <v>982</v>
      </c>
      <c r="D32" s="54" t="s">
        <v>982</v>
      </c>
      <c r="E32" s="54"/>
      <c r="F32" s="54"/>
      <c r="G32" s="54" t="s">
        <v>982</v>
      </c>
      <c r="H32" s="54"/>
      <c r="I32" s="54" t="s">
        <v>982</v>
      </c>
      <c r="J32" s="54" t="s">
        <v>982</v>
      </c>
      <c r="K32" s="54"/>
      <c r="L32" s="54"/>
      <c r="M32" s="54" t="s">
        <v>982</v>
      </c>
      <c r="N32" s="54" t="s">
        <v>982</v>
      </c>
      <c r="O32" s="54" t="s">
        <v>982</v>
      </c>
      <c r="P32" s="54" t="s">
        <v>982</v>
      </c>
      <c r="Q32" s="56">
        <v>2</v>
      </c>
      <c r="R32" s="54"/>
      <c r="S32" s="54"/>
      <c r="T32" s="54"/>
      <c r="U32" s="42"/>
      <c r="V32" s="63">
        <v>204</v>
      </c>
      <c r="W32" s="54" t="s">
        <v>1189</v>
      </c>
      <c r="X32" s="54" t="s">
        <v>1190</v>
      </c>
      <c r="Y32" s="54" t="s">
        <v>1191</v>
      </c>
      <c r="Z32" s="59" t="s">
        <v>1192</v>
      </c>
      <c r="AA32" s="56"/>
      <c r="AB32" s="56"/>
      <c r="AC32" s="56"/>
      <c r="AD32" s="56"/>
      <c r="AE32" s="56"/>
      <c r="AF32" s="56"/>
      <c r="AG32" s="56"/>
      <c r="AH32" s="56"/>
      <c r="AI32" s="56"/>
      <c r="AJ32" s="56"/>
      <c r="AK32" s="56"/>
      <c r="AL32" s="59" t="s">
        <v>305</v>
      </c>
      <c r="AM32" s="65" t="s">
        <v>993</v>
      </c>
      <c r="AN32" s="65">
        <v>2015</v>
      </c>
      <c r="AO32" s="63"/>
    </row>
    <row r="33" spans="1:41" ht="180" x14ac:dyDescent="0.25">
      <c r="A33" s="54" t="s">
        <v>982</v>
      </c>
      <c r="B33" s="54" t="s">
        <v>982</v>
      </c>
      <c r="C33" s="54" t="s">
        <v>982</v>
      </c>
      <c r="D33" s="42" t="s">
        <v>982</v>
      </c>
      <c r="E33" s="42" t="s">
        <v>982</v>
      </c>
      <c r="F33" s="42" t="s">
        <v>982</v>
      </c>
      <c r="G33" s="54" t="s">
        <v>982</v>
      </c>
      <c r="H33" s="42" t="s">
        <v>982</v>
      </c>
      <c r="I33" s="42" t="s">
        <v>982</v>
      </c>
      <c r="J33" s="42" t="s">
        <v>982</v>
      </c>
      <c r="K33" s="42" t="s">
        <v>982</v>
      </c>
      <c r="L33" s="42" t="s">
        <v>982</v>
      </c>
      <c r="M33" s="42" t="s">
        <v>982</v>
      </c>
      <c r="N33" s="42" t="s">
        <v>982</v>
      </c>
      <c r="O33" s="42" t="s">
        <v>982</v>
      </c>
      <c r="P33" s="42" t="s">
        <v>982</v>
      </c>
      <c r="Q33" s="42">
        <v>3</v>
      </c>
      <c r="R33" s="54"/>
      <c r="S33" s="54"/>
      <c r="T33" s="54"/>
      <c r="U33" s="42"/>
      <c r="V33" s="61">
        <v>222</v>
      </c>
      <c r="W33" s="42" t="s">
        <v>1193</v>
      </c>
      <c r="X33" s="42" t="s">
        <v>1194</v>
      </c>
      <c r="Y33" s="42" t="s">
        <v>1195</v>
      </c>
      <c r="Z33" s="42" t="s">
        <v>1196</v>
      </c>
      <c r="AA33" s="56"/>
      <c r="AB33" s="56"/>
      <c r="AC33" s="56"/>
      <c r="AD33" s="56"/>
      <c r="AE33" s="56"/>
      <c r="AF33" s="56"/>
      <c r="AG33" s="56"/>
      <c r="AH33" s="56"/>
      <c r="AI33" s="56"/>
      <c r="AJ33" s="56"/>
      <c r="AK33" s="56"/>
      <c r="AL33" s="42" t="s">
        <v>311</v>
      </c>
      <c r="AM33" s="53" t="s">
        <v>993</v>
      </c>
      <c r="AN33" s="53">
        <v>2008</v>
      </c>
      <c r="AO33" s="61"/>
    </row>
    <row r="34" spans="1:41" ht="195" x14ac:dyDescent="0.25">
      <c r="A34" s="54" t="s">
        <v>982</v>
      </c>
      <c r="B34" s="54" t="s">
        <v>982</v>
      </c>
      <c r="C34" s="54" t="s">
        <v>1197</v>
      </c>
      <c r="D34" s="42" t="s">
        <v>982</v>
      </c>
      <c r="E34" s="42" t="s">
        <v>982</v>
      </c>
      <c r="F34" s="42" t="s">
        <v>982</v>
      </c>
      <c r="G34" s="54" t="s">
        <v>982</v>
      </c>
      <c r="H34" s="42" t="s">
        <v>982</v>
      </c>
      <c r="I34" s="42" t="s">
        <v>982</v>
      </c>
      <c r="J34" s="42" t="s">
        <v>982</v>
      </c>
      <c r="K34" s="42" t="s">
        <v>982</v>
      </c>
      <c r="L34" s="42" t="s">
        <v>982</v>
      </c>
      <c r="M34" s="42" t="s">
        <v>982</v>
      </c>
      <c r="N34" s="42" t="s">
        <v>1198</v>
      </c>
      <c r="O34" s="42" t="s">
        <v>1199</v>
      </c>
      <c r="P34" s="42" t="s">
        <v>982</v>
      </c>
      <c r="Q34" s="42">
        <v>3</v>
      </c>
      <c r="R34" s="54"/>
      <c r="S34" s="54"/>
      <c r="T34" s="54"/>
      <c r="U34" s="42"/>
      <c r="V34" s="61">
        <v>223</v>
      </c>
      <c r="W34" s="42" t="s">
        <v>1200</v>
      </c>
      <c r="X34" s="42" t="s">
        <v>1201</v>
      </c>
      <c r="Y34" s="42" t="s">
        <v>1202</v>
      </c>
      <c r="Z34" s="42" t="s">
        <v>1203</v>
      </c>
      <c r="AA34" s="56"/>
      <c r="AB34" s="56"/>
      <c r="AC34" s="56"/>
      <c r="AD34" s="56"/>
      <c r="AE34" s="56"/>
      <c r="AF34" s="56"/>
      <c r="AG34" s="56"/>
      <c r="AH34" s="56"/>
      <c r="AI34" s="56"/>
      <c r="AJ34" s="56"/>
      <c r="AK34" s="56"/>
      <c r="AL34" s="42" t="s">
        <v>315</v>
      </c>
      <c r="AM34" s="53" t="s">
        <v>993</v>
      </c>
      <c r="AN34" s="53">
        <v>2007</v>
      </c>
      <c r="AO34" s="61"/>
    </row>
    <row r="35" spans="1:41" ht="120" x14ac:dyDescent="0.25">
      <c r="A35" s="54" t="s">
        <v>982</v>
      </c>
      <c r="B35" s="54" t="s">
        <v>982</v>
      </c>
      <c r="C35" s="54" t="s">
        <v>982</v>
      </c>
      <c r="D35" s="42" t="s">
        <v>982</v>
      </c>
      <c r="E35" s="42" t="s">
        <v>982</v>
      </c>
      <c r="F35" s="42" t="s">
        <v>982</v>
      </c>
      <c r="G35" s="54" t="s">
        <v>982</v>
      </c>
      <c r="H35" s="42" t="s">
        <v>982</v>
      </c>
      <c r="I35" s="42" t="s">
        <v>1204</v>
      </c>
      <c r="J35" s="42" t="s">
        <v>982</v>
      </c>
      <c r="K35" s="42" t="s">
        <v>982</v>
      </c>
      <c r="L35" s="42" t="s">
        <v>982</v>
      </c>
      <c r="M35" s="42" t="s">
        <v>982</v>
      </c>
      <c r="N35" s="42" t="s">
        <v>982</v>
      </c>
      <c r="O35" s="42" t="s">
        <v>982</v>
      </c>
      <c r="P35" s="42" t="s">
        <v>982</v>
      </c>
      <c r="Q35" s="42">
        <v>3</v>
      </c>
      <c r="R35" s="54"/>
      <c r="S35" s="54"/>
      <c r="T35" s="54"/>
      <c r="U35" s="42"/>
      <c r="V35" s="61">
        <v>224</v>
      </c>
      <c r="W35" s="42" t="s">
        <v>1205</v>
      </c>
      <c r="X35" s="42" t="s">
        <v>1206</v>
      </c>
      <c r="Y35" s="42" t="s">
        <v>1207</v>
      </c>
      <c r="Z35" s="42" t="s">
        <v>1208</v>
      </c>
      <c r="AA35" s="56"/>
      <c r="AB35" s="56"/>
      <c r="AC35" s="56"/>
      <c r="AD35" s="56"/>
      <c r="AE35" s="56"/>
      <c r="AF35" s="56"/>
      <c r="AG35" s="56"/>
      <c r="AH35" s="56"/>
      <c r="AI35" s="56"/>
      <c r="AJ35" s="56"/>
      <c r="AK35" s="56"/>
      <c r="AL35" s="42" t="s">
        <v>304</v>
      </c>
      <c r="AM35" s="53" t="s">
        <v>993</v>
      </c>
      <c r="AN35" s="53">
        <v>2005</v>
      </c>
      <c r="AO35" s="61"/>
    </row>
    <row r="36" spans="1:41" ht="180" x14ac:dyDescent="0.25">
      <c r="A36" s="54" t="s">
        <v>1209</v>
      </c>
      <c r="B36" s="54" t="s">
        <v>1210</v>
      </c>
      <c r="C36" s="54" t="s">
        <v>1197</v>
      </c>
      <c r="D36" s="54" t="s">
        <v>982</v>
      </c>
      <c r="E36" s="54" t="s">
        <v>982</v>
      </c>
      <c r="F36" s="54" t="s">
        <v>1211</v>
      </c>
      <c r="G36" s="54" t="s">
        <v>982</v>
      </c>
      <c r="H36" s="54" t="s">
        <v>982</v>
      </c>
      <c r="I36" s="54" t="s">
        <v>982</v>
      </c>
      <c r="J36" s="54" t="s">
        <v>982</v>
      </c>
      <c r="K36" s="54" t="s">
        <v>982</v>
      </c>
      <c r="L36" s="54" t="s">
        <v>982</v>
      </c>
      <c r="M36" s="54" t="s">
        <v>982</v>
      </c>
      <c r="N36" s="54" t="s">
        <v>982</v>
      </c>
      <c r="O36" s="54" t="s">
        <v>982</v>
      </c>
      <c r="P36" s="54" t="s">
        <v>982</v>
      </c>
      <c r="Q36" s="56">
        <v>1</v>
      </c>
      <c r="R36" s="54"/>
      <c r="S36" s="54"/>
      <c r="T36" s="54"/>
      <c r="U36" s="42"/>
      <c r="V36" s="63">
        <v>225</v>
      </c>
      <c r="W36" s="54" t="s">
        <v>1212</v>
      </c>
      <c r="X36" s="54" t="s">
        <v>1213</v>
      </c>
      <c r="Y36" s="54" t="s">
        <v>1214</v>
      </c>
      <c r="Z36" s="54" t="s">
        <v>1215</v>
      </c>
      <c r="AA36" s="56"/>
      <c r="AB36" s="56"/>
      <c r="AC36" s="56"/>
      <c r="AD36" s="56"/>
      <c r="AE36" s="56"/>
      <c r="AF36" s="56"/>
      <c r="AG36" s="56"/>
      <c r="AH36" s="56"/>
      <c r="AI36" s="56"/>
      <c r="AJ36" s="56"/>
      <c r="AK36" s="56"/>
      <c r="AL36" s="59" t="s">
        <v>302</v>
      </c>
      <c r="AM36" s="65" t="s">
        <v>993</v>
      </c>
      <c r="AN36" s="65">
        <v>2004</v>
      </c>
      <c r="AO36" s="63"/>
    </row>
    <row r="37" spans="1:41" ht="195" x14ac:dyDescent="0.25">
      <c r="A37" s="54" t="s">
        <v>1216</v>
      </c>
      <c r="B37" s="54" t="s">
        <v>1217</v>
      </c>
      <c r="C37" s="54" t="s">
        <v>1218</v>
      </c>
      <c r="D37" s="54" t="s">
        <v>1219</v>
      </c>
      <c r="E37" s="54" t="s">
        <v>982</v>
      </c>
      <c r="F37" s="54" t="s">
        <v>982</v>
      </c>
      <c r="G37" s="54" t="s">
        <v>1220</v>
      </c>
      <c r="H37" s="54" t="s">
        <v>982</v>
      </c>
      <c r="I37" s="54" t="s">
        <v>982</v>
      </c>
      <c r="J37" s="54" t="s">
        <v>982</v>
      </c>
      <c r="K37" s="54" t="s">
        <v>982</v>
      </c>
      <c r="L37" s="54" t="s">
        <v>982</v>
      </c>
      <c r="M37" s="54" t="s">
        <v>982</v>
      </c>
      <c r="N37" s="54" t="s">
        <v>982</v>
      </c>
      <c r="O37" s="54" t="s">
        <v>1221</v>
      </c>
      <c r="P37" s="54" t="s">
        <v>982</v>
      </c>
      <c r="Q37" s="54">
        <v>1</v>
      </c>
      <c r="R37" s="54"/>
      <c r="S37" s="54"/>
      <c r="T37" s="54"/>
      <c r="U37" s="42"/>
      <c r="V37" s="63">
        <v>226</v>
      </c>
      <c r="W37" s="54" t="s">
        <v>1222</v>
      </c>
      <c r="X37" s="54" t="s">
        <v>1223</v>
      </c>
      <c r="Y37" s="54" t="s">
        <v>1224</v>
      </c>
      <c r="Z37" s="54" t="s">
        <v>1225</v>
      </c>
      <c r="AA37" s="56"/>
      <c r="AB37" s="56"/>
      <c r="AC37" s="56"/>
      <c r="AD37" s="56"/>
      <c r="AE37" s="56"/>
      <c r="AF37" s="56"/>
      <c r="AG37" s="56"/>
      <c r="AH37" s="56"/>
      <c r="AI37" s="56"/>
      <c r="AJ37" s="56"/>
      <c r="AK37" s="56"/>
      <c r="AL37" s="59" t="s">
        <v>308</v>
      </c>
      <c r="AM37" s="65" t="s">
        <v>993</v>
      </c>
      <c r="AN37" s="65">
        <v>2004</v>
      </c>
      <c r="AO37" s="63"/>
    </row>
    <row r="38" spans="1:41" ht="120" x14ac:dyDescent="0.25">
      <c r="A38" s="37"/>
      <c r="B38" s="37"/>
      <c r="C38" s="37"/>
      <c r="D38" s="37"/>
      <c r="E38" s="37"/>
      <c r="F38" s="37"/>
      <c r="G38" s="37"/>
      <c r="H38" s="37"/>
      <c r="I38" s="37"/>
      <c r="J38" s="37"/>
      <c r="K38" s="37"/>
      <c r="L38" s="37"/>
      <c r="M38" s="37"/>
      <c r="N38" s="37"/>
      <c r="O38" s="37"/>
      <c r="P38" s="37"/>
      <c r="Q38" s="37">
        <v>2</v>
      </c>
      <c r="R38" s="37"/>
      <c r="S38" s="37"/>
      <c r="T38" s="37"/>
      <c r="U38" s="37"/>
      <c r="V38" s="69">
        <v>2</v>
      </c>
      <c r="W38" s="69"/>
      <c r="X38" s="42" t="s">
        <v>1226</v>
      </c>
      <c r="Y38" s="42" t="s">
        <v>1227</v>
      </c>
      <c r="Z38" s="42" t="s">
        <v>1228</v>
      </c>
      <c r="AA38" s="37"/>
      <c r="AB38" s="37"/>
      <c r="AC38" s="37"/>
      <c r="AD38" s="37"/>
      <c r="AE38" s="37"/>
      <c r="AF38" s="37"/>
      <c r="AG38" s="37"/>
      <c r="AH38" s="37"/>
      <c r="AI38" s="37"/>
      <c r="AJ38" s="37"/>
      <c r="AK38" s="37"/>
      <c r="AL38" s="42" t="s">
        <v>299</v>
      </c>
      <c r="AM38" s="53" t="s">
        <v>1172</v>
      </c>
      <c r="AN38" s="53">
        <v>2005</v>
      </c>
      <c r="AO38" s="61">
        <v>3</v>
      </c>
    </row>
    <row r="39" spans="1:41" ht="135" x14ac:dyDescent="0.25">
      <c r="A39" s="70" t="s">
        <v>982</v>
      </c>
      <c r="B39" s="70" t="s">
        <v>982</v>
      </c>
      <c r="C39" s="70" t="s">
        <v>982</v>
      </c>
      <c r="D39" s="70" t="s">
        <v>1229</v>
      </c>
      <c r="E39" s="70"/>
      <c r="F39" s="70"/>
      <c r="G39" s="70" t="s">
        <v>982</v>
      </c>
      <c r="H39" s="70"/>
      <c r="I39" s="70"/>
      <c r="J39" s="70" t="s">
        <v>982</v>
      </c>
      <c r="K39" s="70"/>
      <c r="L39" s="70"/>
      <c r="M39" s="70" t="s">
        <v>982</v>
      </c>
      <c r="N39" s="70" t="s">
        <v>982</v>
      </c>
      <c r="O39" s="70" t="s">
        <v>982</v>
      </c>
      <c r="P39" s="70" t="s">
        <v>982</v>
      </c>
      <c r="Q39" s="70">
        <v>2</v>
      </c>
      <c r="R39" s="70" t="s">
        <v>1230</v>
      </c>
      <c r="S39" s="70" t="s">
        <v>1231</v>
      </c>
      <c r="T39" s="70" t="s">
        <v>1232</v>
      </c>
      <c r="U39" s="42"/>
      <c r="V39" s="69">
        <v>8</v>
      </c>
      <c r="W39" s="71"/>
      <c r="X39" s="71" t="s">
        <v>1233</v>
      </c>
      <c r="Y39" s="71" t="s">
        <v>1234</v>
      </c>
      <c r="Z39" s="71" t="s">
        <v>1235</v>
      </c>
      <c r="AA39" s="37"/>
      <c r="AB39" s="37"/>
      <c r="AC39" s="37"/>
      <c r="AD39" s="37"/>
      <c r="AE39" s="37"/>
      <c r="AF39" s="37"/>
      <c r="AG39" s="37"/>
      <c r="AH39" s="37"/>
      <c r="AI39" s="37"/>
      <c r="AJ39" s="37"/>
      <c r="AK39" s="37"/>
      <c r="AL39" s="71" t="s">
        <v>309</v>
      </c>
      <c r="AM39" s="72" t="s">
        <v>1172</v>
      </c>
      <c r="AN39" s="72">
        <v>2006</v>
      </c>
      <c r="AO39" s="72">
        <v>14</v>
      </c>
    </row>
    <row r="40" spans="1:41" ht="165" x14ac:dyDescent="0.25">
      <c r="A40" s="37"/>
      <c r="B40" s="37"/>
      <c r="C40" s="37"/>
      <c r="D40" s="37"/>
      <c r="E40" s="37"/>
      <c r="F40" s="37"/>
      <c r="G40" s="37"/>
      <c r="H40" s="37"/>
      <c r="I40" s="37"/>
      <c r="J40" s="37"/>
      <c r="K40" s="37"/>
      <c r="L40" s="37"/>
      <c r="M40" s="37"/>
      <c r="N40" s="37"/>
      <c r="O40" s="37"/>
      <c r="P40" s="37"/>
      <c r="Q40" s="37">
        <v>2</v>
      </c>
      <c r="R40" s="73"/>
      <c r="S40" s="73"/>
      <c r="T40" s="73"/>
      <c r="U40" s="42"/>
      <c r="V40" s="69">
        <v>9</v>
      </c>
      <c r="W40" s="71"/>
      <c r="X40" s="42" t="s">
        <v>1236</v>
      </c>
      <c r="Y40" s="42" t="s">
        <v>1237</v>
      </c>
      <c r="Z40" s="42" t="s">
        <v>1238</v>
      </c>
      <c r="AA40" s="37"/>
      <c r="AB40" s="37"/>
      <c r="AC40" s="37"/>
      <c r="AD40" s="37"/>
      <c r="AE40" s="37"/>
      <c r="AF40" s="37"/>
      <c r="AG40" s="37"/>
      <c r="AH40" s="37"/>
      <c r="AI40" s="37"/>
      <c r="AJ40" s="37"/>
      <c r="AK40" s="37"/>
      <c r="AL40" s="42" t="s">
        <v>298</v>
      </c>
      <c r="AM40" s="53" t="s">
        <v>993</v>
      </c>
      <c r="AN40" s="53">
        <v>2008</v>
      </c>
      <c r="AO40" s="53">
        <v>5623</v>
      </c>
    </row>
    <row r="41" spans="1:41" ht="180" x14ac:dyDescent="0.25">
      <c r="A41" s="37"/>
      <c r="B41" s="37"/>
      <c r="C41" s="37"/>
      <c r="D41" s="37"/>
      <c r="E41" s="37"/>
      <c r="F41" s="37"/>
      <c r="G41" s="37"/>
      <c r="H41" s="37"/>
      <c r="I41" s="37"/>
      <c r="J41" s="37"/>
      <c r="K41" s="37"/>
      <c r="L41" s="37"/>
      <c r="M41" s="37"/>
      <c r="N41" s="37"/>
      <c r="O41" s="37"/>
      <c r="P41" s="37"/>
      <c r="Q41" s="37">
        <v>2</v>
      </c>
      <c r="R41" s="73"/>
      <c r="S41" s="73"/>
      <c r="T41" s="73"/>
      <c r="U41" s="42"/>
      <c r="V41" s="69">
        <v>10</v>
      </c>
      <c r="W41" s="71"/>
      <c r="X41" s="42" t="s">
        <v>1239</v>
      </c>
      <c r="Y41" s="42" t="s">
        <v>1240</v>
      </c>
      <c r="Z41" s="42" t="s">
        <v>1241</v>
      </c>
      <c r="AA41" s="37"/>
      <c r="AB41" s="37"/>
      <c r="AC41" s="37"/>
      <c r="AD41" s="37"/>
      <c r="AE41" s="37"/>
      <c r="AF41" s="37"/>
      <c r="AG41" s="37"/>
      <c r="AH41" s="37"/>
      <c r="AI41" s="37"/>
      <c r="AJ41" s="37"/>
      <c r="AK41" s="37"/>
      <c r="AL41" s="42" t="s">
        <v>298</v>
      </c>
      <c r="AM41" s="53" t="s">
        <v>993</v>
      </c>
      <c r="AN41" s="53">
        <v>2015</v>
      </c>
      <c r="AO41" s="53">
        <v>20</v>
      </c>
    </row>
    <row r="42" spans="1:41" ht="195" x14ac:dyDescent="0.25">
      <c r="A42" s="37"/>
      <c r="B42" s="37"/>
      <c r="C42" s="37"/>
      <c r="D42" s="37"/>
      <c r="E42" s="37"/>
      <c r="F42" s="37"/>
      <c r="G42" s="37"/>
      <c r="H42" s="37"/>
      <c r="I42" s="37"/>
      <c r="J42" s="37"/>
      <c r="K42" s="37"/>
      <c r="L42" s="37"/>
      <c r="M42" s="37"/>
      <c r="N42" s="37"/>
      <c r="O42" s="37"/>
      <c r="P42" s="37"/>
      <c r="Q42" s="37">
        <v>3</v>
      </c>
      <c r="R42" s="73"/>
      <c r="S42" s="73"/>
      <c r="T42" s="73"/>
      <c r="U42" s="42"/>
      <c r="V42" s="69">
        <v>13</v>
      </c>
      <c r="W42" s="71"/>
      <c r="X42" s="42" t="s">
        <v>1242</v>
      </c>
      <c r="Y42" s="42" t="s">
        <v>1243</v>
      </c>
      <c r="Z42" s="42" t="s">
        <v>1244</v>
      </c>
      <c r="AA42" s="37"/>
      <c r="AB42" s="37"/>
      <c r="AC42" s="37"/>
      <c r="AD42" s="37"/>
      <c r="AE42" s="37"/>
      <c r="AF42" s="37"/>
      <c r="AG42" s="37"/>
      <c r="AH42" s="37"/>
      <c r="AI42" s="37"/>
      <c r="AJ42" s="37"/>
      <c r="AK42" s="37"/>
      <c r="AL42" s="42" t="s">
        <v>298</v>
      </c>
      <c r="AM42" s="53" t="s">
        <v>993</v>
      </c>
      <c r="AN42" s="53">
        <v>2010</v>
      </c>
      <c r="AO42" s="53">
        <v>120</v>
      </c>
    </row>
    <row r="43" spans="1:41" ht="225" x14ac:dyDescent="0.25">
      <c r="A43" s="37"/>
      <c r="B43" s="37"/>
      <c r="C43" s="37"/>
      <c r="D43" s="37"/>
      <c r="E43" s="37"/>
      <c r="F43" s="37"/>
      <c r="G43" s="37"/>
      <c r="H43" s="37"/>
      <c r="I43" s="37"/>
      <c r="J43" s="37"/>
      <c r="K43" s="37"/>
      <c r="L43" s="37"/>
      <c r="M43" s="37"/>
      <c r="N43" s="37"/>
      <c r="O43" s="37"/>
      <c r="P43" s="37"/>
      <c r="Q43" s="37">
        <v>2</v>
      </c>
      <c r="R43" s="73"/>
      <c r="S43" s="73"/>
      <c r="T43" s="73"/>
      <c r="U43" s="42"/>
      <c r="V43" s="69">
        <v>15</v>
      </c>
      <c r="W43" s="71"/>
      <c r="X43" s="42" t="s">
        <v>1245</v>
      </c>
      <c r="Y43" s="42" t="s">
        <v>1246</v>
      </c>
      <c r="Z43" s="42" t="s">
        <v>1247</v>
      </c>
      <c r="AA43" s="37"/>
      <c r="AB43" s="37"/>
      <c r="AC43" s="37"/>
      <c r="AD43" s="37"/>
      <c r="AE43" s="37"/>
      <c r="AF43" s="37"/>
      <c r="AG43" s="37"/>
      <c r="AH43" s="37"/>
      <c r="AI43" s="37"/>
      <c r="AJ43" s="37"/>
      <c r="AK43" s="37"/>
      <c r="AL43" s="42" t="s">
        <v>298</v>
      </c>
      <c r="AM43" s="53" t="s">
        <v>993</v>
      </c>
      <c r="AN43" s="53">
        <v>2001</v>
      </c>
      <c r="AO43" s="53">
        <v>91</v>
      </c>
    </row>
    <row r="44" spans="1:41" ht="150" x14ac:dyDescent="0.25">
      <c r="A44" s="37"/>
      <c r="B44" s="37"/>
      <c r="C44" s="37"/>
      <c r="D44" s="37"/>
      <c r="E44" s="37"/>
      <c r="F44" s="37"/>
      <c r="G44" s="37"/>
      <c r="H44" s="37"/>
      <c r="I44" s="37"/>
      <c r="J44" s="37"/>
      <c r="K44" s="37"/>
      <c r="L44" s="37"/>
      <c r="M44" s="37"/>
      <c r="N44" s="37"/>
      <c r="O44" s="37"/>
      <c r="P44" s="37"/>
      <c r="Q44" s="37">
        <v>3</v>
      </c>
      <c r="R44" s="73"/>
      <c r="S44" s="73"/>
      <c r="T44" s="73"/>
      <c r="U44" s="42"/>
      <c r="V44" s="69">
        <v>17</v>
      </c>
      <c r="W44" s="71"/>
      <c r="X44" s="42" t="s">
        <v>1248</v>
      </c>
      <c r="Y44" s="42" t="s">
        <v>1249</v>
      </c>
      <c r="Z44" s="42" t="s">
        <v>1250</v>
      </c>
      <c r="AA44" s="37"/>
      <c r="AB44" s="37"/>
      <c r="AC44" s="37"/>
      <c r="AD44" s="37"/>
      <c r="AE44" s="37"/>
      <c r="AF44" s="37"/>
      <c r="AG44" s="37"/>
      <c r="AH44" s="37"/>
      <c r="AI44" s="37"/>
      <c r="AJ44" s="37"/>
      <c r="AK44" s="37"/>
      <c r="AL44" s="42" t="s">
        <v>298</v>
      </c>
      <c r="AM44" s="53" t="s">
        <v>993</v>
      </c>
      <c r="AN44" s="53">
        <v>2006</v>
      </c>
      <c r="AO44" s="53">
        <v>1184</v>
      </c>
    </row>
    <row r="45" spans="1:41" ht="225" x14ac:dyDescent="0.25">
      <c r="A45" s="37"/>
      <c r="B45" s="37"/>
      <c r="C45" s="37"/>
      <c r="D45" s="37"/>
      <c r="E45" s="37"/>
      <c r="F45" s="37"/>
      <c r="G45" s="37"/>
      <c r="H45" s="37"/>
      <c r="I45" s="37"/>
      <c r="J45" s="37"/>
      <c r="K45" s="37"/>
      <c r="L45" s="37"/>
      <c r="M45" s="37"/>
      <c r="N45" s="37"/>
      <c r="O45" s="37"/>
      <c r="P45" s="37"/>
      <c r="Q45" s="37">
        <v>3</v>
      </c>
      <c r="R45" s="73"/>
      <c r="S45" s="73"/>
      <c r="T45" s="73"/>
      <c r="U45" s="42"/>
      <c r="V45" s="69">
        <v>18</v>
      </c>
      <c r="W45" s="71"/>
      <c r="X45" s="42" t="s">
        <v>1251</v>
      </c>
      <c r="Y45" s="42" t="s">
        <v>1252</v>
      </c>
      <c r="Z45" s="42" t="s">
        <v>1253</v>
      </c>
      <c r="AA45" s="37"/>
      <c r="AB45" s="37"/>
      <c r="AC45" s="37"/>
      <c r="AD45" s="37"/>
      <c r="AE45" s="37"/>
      <c r="AF45" s="37"/>
      <c r="AG45" s="37"/>
      <c r="AH45" s="37"/>
      <c r="AI45" s="37"/>
      <c r="AJ45" s="37"/>
      <c r="AK45" s="37"/>
      <c r="AL45" s="42" t="s">
        <v>298</v>
      </c>
      <c r="AM45" s="53" t="s">
        <v>993</v>
      </c>
      <c r="AN45" s="53">
        <v>2017</v>
      </c>
      <c r="AO45" s="61">
        <v>2</v>
      </c>
    </row>
    <row r="46" spans="1:41" ht="225" x14ac:dyDescent="0.25">
      <c r="A46" s="37"/>
      <c r="B46" s="37"/>
      <c r="C46" s="37"/>
      <c r="D46" s="37"/>
      <c r="E46" s="37"/>
      <c r="F46" s="37"/>
      <c r="G46" s="37"/>
      <c r="H46" s="37"/>
      <c r="I46" s="37"/>
      <c r="J46" s="37"/>
      <c r="K46" s="37"/>
      <c r="L46" s="37"/>
      <c r="M46" s="37"/>
      <c r="N46" s="37"/>
      <c r="O46" s="37"/>
      <c r="P46" s="37"/>
      <c r="Q46" s="37">
        <v>3</v>
      </c>
      <c r="R46" s="73"/>
      <c r="S46" s="73"/>
      <c r="T46" s="73"/>
      <c r="U46" s="42"/>
      <c r="V46" s="69">
        <v>19</v>
      </c>
      <c r="W46" s="71"/>
      <c r="X46" s="42" t="s">
        <v>1254</v>
      </c>
      <c r="Y46" s="42" t="s">
        <v>1255</v>
      </c>
      <c r="Z46" s="42" t="s">
        <v>1256</v>
      </c>
      <c r="AA46" s="37"/>
      <c r="AB46" s="37"/>
      <c r="AC46" s="37"/>
      <c r="AD46" s="37"/>
      <c r="AE46" s="37"/>
      <c r="AF46" s="37"/>
      <c r="AG46" s="37"/>
      <c r="AH46" s="37"/>
      <c r="AI46" s="37"/>
      <c r="AJ46" s="37"/>
      <c r="AK46" s="37"/>
      <c r="AL46" s="42" t="s">
        <v>298</v>
      </c>
      <c r="AM46" s="53" t="s">
        <v>993</v>
      </c>
      <c r="AN46" s="53">
        <v>2010</v>
      </c>
      <c r="AO46" s="53">
        <v>14</v>
      </c>
    </row>
    <row r="47" spans="1:41" ht="120" x14ac:dyDescent="0.25">
      <c r="A47" s="70" t="s">
        <v>982</v>
      </c>
      <c r="B47" s="70" t="s">
        <v>982</v>
      </c>
      <c r="C47" s="70" t="s">
        <v>982</v>
      </c>
      <c r="D47" s="70" t="s">
        <v>982</v>
      </c>
      <c r="E47" s="70"/>
      <c r="F47" s="70"/>
      <c r="G47" s="70" t="s">
        <v>982</v>
      </c>
      <c r="H47" s="70"/>
      <c r="I47" s="70"/>
      <c r="J47" s="70" t="s">
        <v>982</v>
      </c>
      <c r="K47" s="70"/>
      <c r="L47" s="70"/>
      <c r="M47" s="70" t="s">
        <v>982</v>
      </c>
      <c r="N47" s="70" t="s">
        <v>982</v>
      </c>
      <c r="O47" s="70" t="s">
        <v>982</v>
      </c>
      <c r="P47" s="70" t="s">
        <v>982</v>
      </c>
      <c r="Q47" s="70">
        <v>2</v>
      </c>
      <c r="R47" s="70" t="s">
        <v>1257</v>
      </c>
      <c r="S47" s="70" t="s">
        <v>1258</v>
      </c>
      <c r="T47" s="70" t="s">
        <v>1259</v>
      </c>
      <c r="U47" s="42"/>
      <c r="V47" s="69">
        <v>21</v>
      </c>
      <c r="W47" s="71"/>
      <c r="X47" s="71" t="s">
        <v>1260</v>
      </c>
      <c r="Y47" s="71" t="s">
        <v>1261</v>
      </c>
      <c r="Z47" s="71" t="s">
        <v>1262</v>
      </c>
      <c r="AA47" s="37"/>
      <c r="AB47" s="37"/>
      <c r="AC47" s="37"/>
      <c r="AD47" s="37"/>
      <c r="AE47" s="37"/>
      <c r="AF47" s="37"/>
      <c r="AG47" s="37"/>
      <c r="AH47" s="37"/>
      <c r="AI47" s="37"/>
      <c r="AJ47" s="37"/>
      <c r="AK47" s="37"/>
      <c r="AL47" s="71" t="s">
        <v>298</v>
      </c>
      <c r="AM47" s="72" t="s">
        <v>993</v>
      </c>
      <c r="AN47" s="72">
        <v>2008</v>
      </c>
      <c r="AO47" s="72">
        <v>31</v>
      </c>
    </row>
    <row r="48" spans="1:41" ht="150" x14ac:dyDescent="0.25">
      <c r="A48" s="70" t="s">
        <v>1263</v>
      </c>
      <c r="B48" s="70" t="s">
        <v>1264</v>
      </c>
      <c r="C48" s="70" t="s">
        <v>982</v>
      </c>
      <c r="D48" s="66" t="s">
        <v>1265</v>
      </c>
      <c r="E48" s="66"/>
      <c r="F48" s="66"/>
      <c r="G48" s="70" t="s">
        <v>982</v>
      </c>
      <c r="H48" s="66"/>
      <c r="I48" s="66"/>
      <c r="J48" s="66" t="s">
        <v>982</v>
      </c>
      <c r="K48" s="66"/>
      <c r="L48" s="66"/>
      <c r="M48" s="66" t="s">
        <v>982</v>
      </c>
      <c r="N48" s="66" t="s">
        <v>982</v>
      </c>
      <c r="O48" s="66" t="s">
        <v>982</v>
      </c>
      <c r="P48" s="66" t="s">
        <v>982</v>
      </c>
      <c r="Q48" s="66">
        <v>1</v>
      </c>
      <c r="R48" s="70" t="s">
        <v>1266</v>
      </c>
      <c r="S48" s="70"/>
      <c r="T48" s="70"/>
      <c r="U48" s="42"/>
      <c r="V48" s="67">
        <v>22</v>
      </c>
      <c r="W48" s="66"/>
      <c r="X48" s="66" t="s">
        <v>1267</v>
      </c>
      <c r="Y48" s="66" t="s">
        <v>1268</v>
      </c>
      <c r="Z48" s="66" t="s">
        <v>1269</v>
      </c>
      <c r="AA48" s="37"/>
      <c r="AB48" s="37"/>
      <c r="AC48" s="37"/>
      <c r="AD48" s="37"/>
      <c r="AE48" s="37"/>
      <c r="AF48" s="37"/>
      <c r="AG48" s="37"/>
      <c r="AH48" s="37"/>
      <c r="AI48" s="37"/>
      <c r="AJ48" s="37"/>
      <c r="AK48" s="37"/>
      <c r="AL48" s="66" t="s">
        <v>298</v>
      </c>
      <c r="AM48" s="68" t="s">
        <v>993</v>
      </c>
      <c r="AN48" s="68">
        <v>2013</v>
      </c>
      <c r="AO48" s="68">
        <v>95</v>
      </c>
    </row>
    <row r="49" spans="1:41" ht="255" x14ac:dyDescent="0.25">
      <c r="A49" s="37"/>
      <c r="B49" s="37"/>
      <c r="C49" s="37"/>
      <c r="D49" s="37"/>
      <c r="E49" s="37"/>
      <c r="F49" s="37"/>
      <c r="G49" s="37"/>
      <c r="H49" s="37"/>
      <c r="I49" s="37"/>
      <c r="J49" s="37"/>
      <c r="K49" s="37"/>
      <c r="L49" s="37"/>
      <c r="M49" s="37"/>
      <c r="N49" s="37"/>
      <c r="O49" s="37"/>
      <c r="P49" s="37"/>
      <c r="Q49" s="37">
        <v>2</v>
      </c>
      <c r="R49" s="73"/>
      <c r="S49" s="73"/>
      <c r="T49" s="73"/>
      <c r="U49" s="42"/>
      <c r="V49" s="69">
        <v>23</v>
      </c>
      <c r="W49" s="71"/>
      <c r="X49" s="42" t="s">
        <v>1270</v>
      </c>
      <c r="Y49" s="42" t="s">
        <v>1271</v>
      </c>
      <c r="Z49" s="42" t="s">
        <v>1272</v>
      </c>
      <c r="AA49" s="37"/>
      <c r="AB49" s="37"/>
      <c r="AC49" s="37"/>
      <c r="AD49" s="37"/>
      <c r="AE49" s="37"/>
      <c r="AF49" s="37"/>
      <c r="AG49" s="37"/>
      <c r="AH49" s="37"/>
      <c r="AI49" s="37"/>
      <c r="AJ49" s="37"/>
      <c r="AK49" s="37"/>
      <c r="AL49" s="42" t="s">
        <v>298</v>
      </c>
      <c r="AM49" s="53" t="s">
        <v>993</v>
      </c>
      <c r="AN49" s="53">
        <v>2008</v>
      </c>
      <c r="AO49" s="53">
        <v>37</v>
      </c>
    </row>
    <row r="50" spans="1:41" ht="270" x14ac:dyDescent="0.25">
      <c r="A50" s="37"/>
      <c r="B50" s="37"/>
      <c r="C50" s="37"/>
      <c r="D50" s="37"/>
      <c r="E50" s="37"/>
      <c r="F50" s="37"/>
      <c r="G50" s="37"/>
      <c r="H50" s="37"/>
      <c r="I50" s="37"/>
      <c r="J50" s="37"/>
      <c r="K50" s="37"/>
      <c r="L50" s="37"/>
      <c r="M50" s="37"/>
      <c r="N50" s="37"/>
      <c r="O50" s="37"/>
      <c r="P50" s="37"/>
      <c r="Q50" s="37">
        <v>2</v>
      </c>
      <c r="R50" s="73"/>
      <c r="S50" s="73"/>
      <c r="T50" s="73"/>
      <c r="U50" s="42"/>
      <c r="V50" s="69">
        <v>24</v>
      </c>
      <c r="W50" s="71"/>
      <c r="X50" s="42" t="s">
        <v>1273</v>
      </c>
      <c r="Y50" s="42" t="s">
        <v>1274</v>
      </c>
      <c r="Z50" s="42" t="s">
        <v>1275</v>
      </c>
      <c r="AA50" s="37"/>
      <c r="AB50" s="37"/>
      <c r="AC50" s="37"/>
      <c r="AD50" s="37"/>
      <c r="AE50" s="37"/>
      <c r="AF50" s="37"/>
      <c r="AG50" s="37"/>
      <c r="AH50" s="37"/>
      <c r="AI50" s="37"/>
      <c r="AJ50" s="37"/>
      <c r="AK50" s="37"/>
      <c r="AL50" s="42" t="s">
        <v>298</v>
      </c>
      <c r="AM50" s="53" t="s">
        <v>993</v>
      </c>
      <c r="AN50" s="53">
        <v>2014</v>
      </c>
      <c r="AO50" s="53">
        <v>20</v>
      </c>
    </row>
    <row r="51" spans="1:41" ht="195" x14ac:dyDescent="0.25">
      <c r="A51" s="37"/>
      <c r="B51" s="37"/>
      <c r="C51" s="37"/>
      <c r="D51" s="37"/>
      <c r="E51" s="37"/>
      <c r="F51" s="37"/>
      <c r="G51" s="37"/>
      <c r="H51" s="37"/>
      <c r="I51" s="37"/>
      <c r="J51" s="37"/>
      <c r="K51" s="37"/>
      <c r="L51" s="37"/>
      <c r="M51" s="37"/>
      <c r="N51" s="37"/>
      <c r="O51" s="37"/>
      <c r="P51" s="37"/>
      <c r="Q51" s="37">
        <v>3</v>
      </c>
      <c r="R51" s="73"/>
      <c r="S51" s="73"/>
      <c r="T51" s="73"/>
      <c r="U51" s="42"/>
      <c r="V51" s="69">
        <v>25</v>
      </c>
      <c r="W51" s="71"/>
      <c r="X51" s="42" t="s">
        <v>1276</v>
      </c>
      <c r="Y51" s="42" t="s">
        <v>1277</v>
      </c>
      <c r="Z51" s="42" t="s">
        <v>1278</v>
      </c>
      <c r="AA51" s="37"/>
      <c r="AB51" s="37"/>
      <c r="AC51" s="37"/>
      <c r="AD51" s="37"/>
      <c r="AE51" s="37"/>
      <c r="AF51" s="37"/>
      <c r="AG51" s="37"/>
      <c r="AH51" s="37"/>
      <c r="AI51" s="37"/>
      <c r="AJ51" s="37"/>
      <c r="AK51" s="37"/>
      <c r="AL51" s="42" t="s">
        <v>298</v>
      </c>
      <c r="AM51" s="53" t="s">
        <v>993</v>
      </c>
      <c r="AN51" s="53">
        <v>2015</v>
      </c>
      <c r="AO51" s="53">
        <v>96</v>
      </c>
    </row>
    <row r="52" spans="1:41" ht="150" x14ac:dyDescent="0.25">
      <c r="A52" s="37"/>
      <c r="B52" s="37"/>
      <c r="C52" s="37"/>
      <c r="D52" s="37"/>
      <c r="E52" s="37"/>
      <c r="F52" s="37"/>
      <c r="G52" s="37"/>
      <c r="H52" s="37"/>
      <c r="I52" s="37"/>
      <c r="J52" s="37"/>
      <c r="K52" s="37"/>
      <c r="L52" s="37"/>
      <c r="M52" s="37"/>
      <c r="N52" s="37"/>
      <c r="O52" s="37"/>
      <c r="P52" s="37"/>
      <c r="Q52" s="37">
        <v>3</v>
      </c>
      <c r="R52" s="73"/>
      <c r="S52" s="73"/>
      <c r="T52" s="73"/>
      <c r="U52" s="42"/>
      <c r="V52" s="69">
        <v>28</v>
      </c>
      <c r="W52" s="71"/>
      <c r="X52" s="42" t="s">
        <v>1279</v>
      </c>
      <c r="Y52" s="42" t="s">
        <v>1280</v>
      </c>
      <c r="Z52" s="42" t="s">
        <v>1281</v>
      </c>
      <c r="AA52" s="37"/>
      <c r="AB52" s="37"/>
      <c r="AC52" s="37"/>
      <c r="AD52" s="37"/>
      <c r="AE52" s="37"/>
      <c r="AF52" s="37"/>
      <c r="AG52" s="37"/>
      <c r="AH52" s="37"/>
      <c r="AI52" s="37"/>
      <c r="AJ52" s="37"/>
      <c r="AK52" s="37"/>
      <c r="AL52" s="42" t="s">
        <v>298</v>
      </c>
      <c r="AM52" s="53" t="s">
        <v>993</v>
      </c>
      <c r="AN52" s="53">
        <v>2014</v>
      </c>
      <c r="AO52" s="53">
        <v>21</v>
      </c>
    </row>
    <row r="53" spans="1:41" ht="120" x14ac:dyDescent="0.25">
      <c r="A53" s="74" t="s">
        <v>982</v>
      </c>
      <c r="B53" s="74" t="s">
        <v>982</v>
      </c>
      <c r="C53" s="74" t="s">
        <v>982</v>
      </c>
      <c r="D53" s="55"/>
      <c r="E53" s="55"/>
      <c r="F53" s="55"/>
      <c r="G53" s="74"/>
      <c r="H53" s="55"/>
      <c r="I53" s="55"/>
      <c r="J53" s="55"/>
      <c r="K53" s="55"/>
      <c r="L53" s="55"/>
      <c r="M53" s="55"/>
      <c r="N53" s="55"/>
      <c r="O53" s="55"/>
      <c r="P53" s="55"/>
      <c r="Q53" s="55">
        <v>0</v>
      </c>
      <c r="R53" s="74"/>
      <c r="S53" s="74"/>
      <c r="T53" s="74"/>
      <c r="U53" s="42"/>
      <c r="V53" s="75">
        <v>29</v>
      </c>
      <c r="W53" s="55"/>
      <c r="X53" s="55" t="s">
        <v>1282</v>
      </c>
      <c r="Y53" s="55" t="s">
        <v>1050</v>
      </c>
      <c r="Z53" s="55" t="s">
        <v>1051</v>
      </c>
      <c r="AA53" s="37"/>
      <c r="AB53" s="37"/>
      <c r="AC53" s="37"/>
      <c r="AD53" s="37"/>
      <c r="AE53" s="37"/>
      <c r="AF53" s="37"/>
      <c r="AG53" s="37"/>
      <c r="AH53" s="37"/>
      <c r="AI53" s="37"/>
      <c r="AJ53" s="37"/>
      <c r="AK53" s="37"/>
      <c r="AL53" s="55" t="s">
        <v>298</v>
      </c>
      <c r="AM53" s="60" t="s">
        <v>993</v>
      </c>
      <c r="AN53" s="60">
        <v>2013</v>
      </c>
      <c r="AO53" s="57">
        <v>131</v>
      </c>
    </row>
    <row r="54" spans="1:41" ht="150" x14ac:dyDescent="0.25">
      <c r="A54" s="37"/>
      <c r="B54" s="37"/>
      <c r="C54" s="37"/>
      <c r="D54" s="37"/>
      <c r="E54" s="37"/>
      <c r="F54" s="37"/>
      <c r="G54" s="37"/>
      <c r="H54" s="37"/>
      <c r="I54" s="37"/>
      <c r="J54" s="37"/>
      <c r="K54" s="37"/>
      <c r="L54" s="37"/>
      <c r="M54" s="37"/>
      <c r="N54" s="37"/>
      <c r="O54" s="37"/>
      <c r="P54" s="37"/>
      <c r="Q54" s="37">
        <v>3</v>
      </c>
      <c r="R54" s="73"/>
      <c r="S54" s="73"/>
      <c r="T54" s="73"/>
      <c r="U54" s="42"/>
      <c r="V54" s="69">
        <v>30</v>
      </c>
      <c r="W54" s="71"/>
      <c r="X54" s="42" t="s">
        <v>1283</v>
      </c>
      <c r="Y54" s="42" t="s">
        <v>1284</v>
      </c>
      <c r="Z54" s="42" t="s">
        <v>1285</v>
      </c>
      <c r="AA54" s="37"/>
      <c r="AB54" s="37"/>
      <c r="AC54" s="37"/>
      <c r="AD54" s="37"/>
      <c r="AE54" s="37"/>
      <c r="AF54" s="37"/>
      <c r="AG54" s="37"/>
      <c r="AH54" s="37"/>
      <c r="AI54" s="37"/>
      <c r="AJ54" s="37"/>
      <c r="AK54" s="37"/>
      <c r="AL54" s="42" t="s">
        <v>322</v>
      </c>
      <c r="AM54" s="53" t="s">
        <v>993</v>
      </c>
      <c r="AN54" s="53">
        <v>2016</v>
      </c>
      <c r="AO54" s="61">
        <v>2</v>
      </c>
    </row>
    <row r="55" spans="1:41" ht="225" x14ac:dyDescent="0.25">
      <c r="A55" s="37"/>
      <c r="B55" s="37"/>
      <c r="C55" s="37"/>
      <c r="D55" s="37"/>
      <c r="E55" s="37"/>
      <c r="F55" s="37"/>
      <c r="G55" s="37"/>
      <c r="H55" s="37"/>
      <c r="I55" s="37"/>
      <c r="J55" s="37"/>
      <c r="K55" s="37"/>
      <c r="L55" s="37"/>
      <c r="M55" s="37"/>
      <c r="N55" s="37"/>
      <c r="O55" s="37"/>
      <c r="P55" s="37"/>
      <c r="Q55" s="37">
        <v>2</v>
      </c>
      <c r="R55" s="73"/>
      <c r="S55" s="73"/>
      <c r="T55" s="73"/>
      <c r="U55" s="42"/>
      <c r="V55" s="69">
        <v>32</v>
      </c>
      <c r="W55" s="71"/>
      <c r="X55" s="42" t="s">
        <v>1286</v>
      </c>
      <c r="Y55" s="42" t="s">
        <v>1287</v>
      </c>
      <c r="Z55" s="42" t="s">
        <v>1288</v>
      </c>
      <c r="AA55" s="37"/>
      <c r="AB55" s="37"/>
      <c r="AC55" s="37"/>
      <c r="AD55" s="37"/>
      <c r="AE55" s="37"/>
      <c r="AF55" s="37"/>
      <c r="AG55" s="37"/>
      <c r="AH55" s="37"/>
      <c r="AI55" s="37"/>
      <c r="AJ55" s="37"/>
      <c r="AK55" s="37"/>
      <c r="AL55" s="42" t="s">
        <v>323</v>
      </c>
      <c r="AM55" s="53" t="s">
        <v>993</v>
      </c>
      <c r="AN55" s="53">
        <v>2008</v>
      </c>
      <c r="AO55" s="53">
        <v>58</v>
      </c>
    </row>
    <row r="56" spans="1:41" ht="150" x14ac:dyDescent="0.25">
      <c r="A56" s="73"/>
      <c r="B56" s="73"/>
      <c r="C56" s="73"/>
      <c r="D56" s="66"/>
      <c r="E56" s="66"/>
      <c r="F56" s="66"/>
      <c r="G56" s="73"/>
      <c r="H56" s="66"/>
      <c r="I56" s="66"/>
      <c r="J56" s="66"/>
      <c r="K56" s="66"/>
      <c r="L56" s="66"/>
      <c r="M56" s="66"/>
      <c r="N56" s="66"/>
      <c r="O56" s="66"/>
      <c r="P56" s="66"/>
      <c r="Q56" s="66">
        <v>1</v>
      </c>
      <c r="R56" s="73"/>
      <c r="S56" s="73"/>
      <c r="T56" s="73"/>
      <c r="U56" s="42"/>
      <c r="V56" s="67">
        <v>33</v>
      </c>
      <c r="W56" s="66" t="s">
        <v>1289</v>
      </c>
      <c r="X56" s="66" t="s">
        <v>1290</v>
      </c>
      <c r="Y56" s="66" t="s">
        <v>1291</v>
      </c>
      <c r="Z56" s="66" t="s">
        <v>1292</v>
      </c>
      <c r="AA56" s="37"/>
      <c r="AB56" s="37"/>
      <c r="AC56" s="37"/>
      <c r="AD56" s="37"/>
      <c r="AE56" s="37"/>
      <c r="AF56" s="37"/>
      <c r="AG56" s="37"/>
      <c r="AH56" s="37"/>
      <c r="AI56" s="37"/>
      <c r="AJ56" s="37"/>
      <c r="AK56" s="37"/>
      <c r="AL56" s="66" t="s">
        <v>313</v>
      </c>
      <c r="AM56" s="68" t="s">
        <v>993</v>
      </c>
      <c r="AN56" s="68">
        <v>2018</v>
      </c>
      <c r="AO56" s="67">
        <v>6</v>
      </c>
    </row>
    <row r="57" spans="1:41" ht="165" x14ac:dyDescent="0.25">
      <c r="A57" s="73"/>
      <c r="B57" s="73"/>
      <c r="C57" s="73"/>
      <c r="D57" s="73"/>
      <c r="E57" s="73"/>
      <c r="F57" s="73"/>
      <c r="G57" s="73"/>
      <c r="H57" s="73"/>
      <c r="I57" s="73"/>
      <c r="J57" s="73"/>
      <c r="K57" s="73"/>
      <c r="L57" s="73"/>
      <c r="M57" s="73"/>
      <c r="N57" s="73"/>
      <c r="O57" s="73"/>
      <c r="P57" s="73"/>
      <c r="Q57" s="73">
        <v>1</v>
      </c>
      <c r="R57" s="73"/>
      <c r="S57" s="73"/>
      <c r="T57" s="73"/>
      <c r="U57" s="42"/>
      <c r="V57" s="69">
        <v>35</v>
      </c>
      <c r="W57" s="70"/>
      <c r="X57" s="42" t="s">
        <v>1293</v>
      </c>
      <c r="Y57" s="42" t="s">
        <v>1294</v>
      </c>
      <c r="Z57" s="42" t="s">
        <v>1295</v>
      </c>
      <c r="AA57" s="37"/>
      <c r="AB57" s="37"/>
      <c r="AC57" s="37"/>
      <c r="AD57" s="37"/>
      <c r="AE57" s="37"/>
      <c r="AF57" s="37"/>
      <c r="AG57" s="37"/>
      <c r="AH57" s="37"/>
      <c r="AI57" s="37"/>
      <c r="AJ57" s="37"/>
      <c r="AK57" s="37"/>
      <c r="AL57" s="42" t="s">
        <v>313</v>
      </c>
      <c r="AM57" s="53" t="s">
        <v>993</v>
      </c>
      <c r="AN57" s="53">
        <v>2012</v>
      </c>
      <c r="AO57" s="53">
        <v>51</v>
      </c>
    </row>
    <row r="58" spans="1:41" ht="210" x14ac:dyDescent="0.25">
      <c r="A58" s="73"/>
      <c r="B58" s="73"/>
      <c r="C58" s="73"/>
      <c r="D58" s="73"/>
      <c r="E58" s="73"/>
      <c r="F58" s="73"/>
      <c r="G58" s="73"/>
      <c r="H58" s="73"/>
      <c r="I58" s="73"/>
      <c r="J58" s="73"/>
      <c r="K58" s="73"/>
      <c r="L58" s="73"/>
      <c r="M58" s="73"/>
      <c r="N58" s="73"/>
      <c r="O58" s="73"/>
      <c r="P58" s="73"/>
      <c r="Q58" s="73">
        <v>1</v>
      </c>
      <c r="R58" s="73"/>
      <c r="S58" s="73"/>
      <c r="T58" s="73"/>
      <c r="U58" s="42"/>
      <c r="V58" s="69">
        <v>36</v>
      </c>
      <c r="W58" s="70"/>
      <c r="X58" s="42" t="s">
        <v>1296</v>
      </c>
      <c r="Y58" s="42" t="s">
        <v>1297</v>
      </c>
      <c r="Z58" s="42" t="s">
        <v>1298</v>
      </c>
      <c r="AA58" s="37"/>
      <c r="AB58" s="37"/>
      <c r="AC58" s="37"/>
      <c r="AD58" s="37"/>
      <c r="AE58" s="37"/>
      <c r="AF58" s="37"/>
      <c r="AG58" s="37"/>
      <c r="AH58" s="37"/>
      <c r="AI58" s="37"/>
      <c r="AJ58" s="37"/>
      <c r="AK58" s="37"/>
      <c r="AL58" s="42" t="s">
        <v>313</v>
      </c>
      <c r="AM58" s="53" t="s">
        <v>993</v>
      </c>
      <c r="AN58" s="53">
        <v>2016</v>
      </c>
      <c r="AO58" s="61">
        <v>9</v>
      </c>
    </row>
    <row r="59" spans="1:41" ht="150" x14ac:dyDescent="0.25">
      <c r="A59" s="73"/>
      <c r="B59" s="73"/>
      <c r="C59" s="73"/>
      <c r="D59" s="73"/>
      <c r="E59" s="73"/>
      <c r="F59" s="73"/>
      <c r="G59" s="73"/>
      <c r="H59" s="73"/>
      <c r="I59" s="73"/>
      <c r="J59" s="73"/>
      <c r="K59" s="73"/>
      <c r="L59" s="73"/>
      <c r="M59" s="73"/>
      <c r="N59" s="73"/>
      <c r="O59" s="73"/>
      <c r="P59" s="73"/>
      <c r="Q59" s="73">
        <v>1</v>
      </c>
      <c r="R59" s="73"/>
      <c r="S59" s="73"/>
      <c r="T59" s="73"/>
      <c r="U59" s="42"/>
      <c r="V59" s="69">
        <v>38</v>
      </c>
      <c r="W59" s="70"/>
      <c r="X59" s="42" t="s">
        <v>1299</v>
      </c>
      <c r="Y59" s="42" t="s">
        <v>1300</v>
      </c>
      <c r="Z59" s="42" t="s">
        <v>1301</v>
      </c>
      <c r="AA59" s="37"/>
      <c r="AB59" s="37"/>
      <c r="AC59" s="37"/>
      <c r="AD59" s="37"/>
      <c r="AE59" s="37"/>
      <c r="AF59" s="37"/>
      <c r="AG59" s="37"/>
      <c r="AH59" s="37"/>
      <c r="AI59" s="37"/>
      <c r="AJ59" s="37"/>
      <c r="AK59" s="37"/>
      <c r="AL59" s="42" t="s">
        <v>313</v>
      </c>
      <c r="AM59" s="53" t="s">
        <v>993</v>
      </c>
      <c r="AN59" s="53">
        <v>2013</v>
      </c>
      <c r="AO59" s="53">
        <v>17</v>
      </c>
    </row>
    <row r="60" spans="1:41" ht="210" x14ac:dyDescent="0.25">
      <c r="A60" s="37"/>
      <c r="B60" s="37"/>
      <c r="C60" s="37"/>
      <c r="D60" s="37"/>
      <c r="E60" s="37"/>
      <c r="F60" s="37"/>
      <c r="G60" s="37"/>
      <c r="H60" s="37"/>
      <c r="I60" s="37"/>
      <c r="J60" s="37"/>
      <c r="K60" s="37"/>
      <c r="L60" s="37"/>
      <c r="M60" s="37"/>
      <c r="N60" s="37"/>
      <c r="O60" s="37"/>
      <c r="P60" s="37"/>
      <c r="Q60" s="37">
        <v>3</v>
      </c>
      <c r="R60" s="73"/>
      <c r="S60" s="73"/>
      <c r="T60" s="73"/>
      <c r="U60" s="42"/>
      <c r="V60" s="69">
        <v>39</v>
      </c>
      <c r="W60" s="71"/>
      <c r="X60" s="42" t="s">
        <v>1302</v>
      </c>
      <c r="Y60" s="42" t="s">
        <v>1303</v>
      </c>
      <c r="Z60" s="42" t="s">
        <v>1304</v>
      </c>
      <c r="AA60" s="37"/>
      <c r="AB60" s="37"/>
      <c r="AC60" s="37"/>
      <c r="AD60" s="37"/>
      <c r="AE60" s="37"/>
      <c r="AF60" s="37"/>
      <c r="AG60" s="37"/>
      <c r="AH60" s="37"/>
      <c r="AI60" s="37"/>
      <c r="AJ60" s="37"/>
      <c r="AK60" s="37"/>
      <c r="AL60" s="42" t="s">
        <v>324</v>
      </c>
      <c r="AM60" s="53" t="s">
        <v>993</v>
      </c>
      <c r="AN60" s="53">
        <v>2018</v>
      </c>
      <c r="AO60" s="61">
        <v>0</v>
      </c>
    </row>
    <row r="61" spans="1:41" ht="165" x14ac:dyDescent="0.25">
      <c r="A61" s="37"/>
      <c r="B61" s="37"/>
      <c r="C61" s="37"/>
      <c r="D61" s="37"/>
      <c r="E61" s="37"/>
      <c r="F61" s="37"/>
      <c r="G61" s="37"/>
      <c r="H61" s="37"/>
      <c r="I61" s="37"/>
      <c r="J61" s="37"/>
      <c r="K61" s="37"/>
      <c r="L61" s="37"/>
      <c r="M61" s="37"/>
      <c r="N61" s="37"/>
      <c r="O61" s="37"/>
      <c r="P61" s="37"/>
      <c r="Q61" s="37">
        <v>2</v>
      </c>
      <c r="R61" s="73"/>
      <c r="S61" s="73"/>
      <c r="T61" s="73"/>
      <c r="U61" s="42"/>
      <c r="V61" s="69">
        <v>40</v>
      </c>
      <c r="W61" s="71"/>
      <c r="X61" s="42" t="s">
        <v>1305</v>
      </c>
      <c r="Y61" s="42" t="s">
        <v>1306</v>
      </c>
      <c r="Z61" s="42" t="s">
        <v>1307</v>
      </c>
      <c r="AA61" s="37"/>
      <c r="AB61" s="37"/>
      <c r="AC61" s="37"/>
      <c r="AD61" s="37"/>
      <c r="AE61" s="37"/>
      <c r="AF61" s="37"/>
      <c r="AG61" s="37"/>
      <c r="AH61" s="37"/>
      <c r="AI61" s="37"/>
      <c r="AJ61" s="37"/>
      <c r="AK61" s="37"/>
      <c r="AL61" s="42" t="s">
        <v>314</v>
      </c>
      <c r="AM61" s="53" t="s">
        <v>993</v>
      </c>
      <c r="AN61" s="53">
        <v>2016</v>
      </c>
      <c r="AO61" s="61">
        <v>0</v>
      </c>
    </row>
    <row r="62" spans="1:41" ht="240" x14ac:dyDescent="0.25">
      <c r="A62" s="37"/>
      <c r="B62" s="37"/>
      <c r="C62" s="37"/>
      <c r="D62" s="37"/>
      <c r="E62" s="37"/>
      <c r="F62" s="37"/>
      <c r="G62" s="37"/>
      <c r="H62" s="37"/>
      <c r="I62" s="37"/>
      <c r="J62" s="37"/>
      <c r="K62" s="37"/>
      <c r="L62" s="37"/>
      <c r="M62" s="37"/>
      <c r="N62" s="37"/>
      <c r="O62" s="37"/>
      <c r="P62" s="37"/>
      <c r="Q62" s="37">
        <v>2</v>
      </c>
      <c r="R62" s="73"/>
      <c r="S62" s="73"/>
      <c r="T62" s="73"/>
      <c r="U62" s="42"/>
      <c r="V62" s="69">
        <v>41</v>
      </c>
      <c r="W62" s="71"/>
      <c r="X62" s="42" t="s">
        <v>1308</v>
      </c>
      <c r="Y62" s="42" t="s">
        <v>1309</v>
      </c>
      <c r="Z62" s="42" t="s">
        <v>1310</v>
      </c>
      <c r="AA62" s="37"/>
      <c r="AB62" s="37"/>
      <c r="AC62" s="37"/>
      <c r="AD62" s="37"/>
      <c r="AE62" s="37"/>
      <c r="AF62" s="37"/>
      <c r="AG62" s="37"/>
      <c r="AH62" s="37"/>
      <c r="AI62" s="37"/>
      <c r="AJ62" s="37"/>
      <c r="AK62" s="37"/>
      <c r="AL62" s="42" t="s">
        <v>314</v>
      </c>
      <c r="AM62" s="53" t="s">
        <v>993</v>
      </c>
      <c r="AN62" s="53">
        <v>2017</v>
      </c>
      <c r="AO62" s="53">
        <v>37</v>
      </c>
    </row>
    <row r="63" spans="1:41" ht="195" x14ac:dyDescent="0.25">
      <c r="A63" s="73"/>
      <c r="B63" s="73"/>
      <c r="C63" s="73"/>
      <c r="D63" s="73"/>
      <c r="E63" s="73"/>
      <c r="F63" s="73"/>
      <c r="G63" s="73"/>
      <c r="H63" s="73"/>
      <c r="I63" s="73"/>
      <c r="J63" s="73"/>
      <c r="K63" s="73"/>
      <c r="L63" s="73"/>
      <c r="M63" s="73"/>
      <c r="N63" s="73"/>
      <c r="O63" s="73"/>
      <c r="P63" s="73"/>
      <c r="Q63" s="73">
        <v>3</v>
      </c>
      <c r="R63" s="73"/>
      <c r="S63" s="73"/>
      <c r="T63" s="73"/>
      <c r="U63" s="42"/>
      <c r="V63" s="69">
        <v>43</v>
      </c>
      <c r="W63" s="70"/>
      <c r="X63" s="42" t="s">
        <v>1311</v>
      </c>
      <c r="Y63" s="42" t="s">
        <v>1312</v>
      </c>
      <c r="Z63" s="42" t="s">
        <v>1313</v>
      </c>
      <c r="AA63" s="37"/>
      <c r="AB63" s="37"/>
      <c r="AC63" s="37"/>
      <c r="AD63" s="37"/>
      <c r="AE63" s="37"/>
      <c r="AF63" s="37"/>
      <c r="AG63" s="37"/>
      <c r="AH63" s="37"/>
      <c r="AI63" s="37"/>
      <c r="AJ63" s="37"/>
      <c r="AK63" s="37"/>
      <c r="AL63" s="42" t="s">
        <v>314</v>
      </c>
      <c r="AM63" s="53" t="s">
        <v>993</v>
      </c>
      <c r="AN63" s="53">
        <v>2014</v>
      </c>
      <c r="AO63" s="53">
        <v>37</v>
      </c>
    </row>
    <row r="64" spans="1:41" ht="210" x14ac:dyDescent="0.25">
      <c r="A64" s="73"/>
      <c r="B64" s="73"/>
      <c r="C64" s="73"/>
      <c r="D64" s="73"/>
      <c r="E64" s="73"/>
      <c r="F64" s="73"/>
      <c r="G64" s="73"/>
      <c r="H64" s="73"/>
      <c r="I64" s="73"/>
      <c r="J64" s="73"/>
      <c r="K64" s="73"/>
      <c r="L64" s="73"/>
      <c r="M64" s="73"/>
      <c r="N64" s="73"/>
      <c r="O64" s="73"/>
      <c r="P64" s="73"/>
      <c r="Q64" s="73">
        <v>1</v>
      </c>
      <c r="R64" s="73"/>
      <c r="S64" s="73"/>
      <c r="T64" s="73"/>
      <c r="U64" s="42"/>
      <c r="V64" s="69">
        <v>44</v>
      </c>
      <c r="W64" s="70"/>
      <c r="X64" s="42" t="s">
        <v>1314</v>
      </c>
      <c r="Y64" s="42" t="s">
        <v>1315</v>
      </c>
      <c r="Z64" s="42" t="s">
        <v>1316</v>
      </c>
      <c r="AA64" s="37"/>
      <c r="AB64" s="37"/>
      <c r="AC64" s="37"/>
      <c r="AD64" s="37"/>
      <c r="AE64" s="37"/>
      <c r="AF64" s="37"/>
      <c r="AG64" s="37"/>
      <c r="AH64" s="37"/>
      <c r="AI64" s="37"/>
      <c r="AJ64" s="37"/>
      <c r="AK64" s="37"/>
      <c r="AL64" s="42" t="s">
        <v>314</v>
      </c>
      <c r="AM64" s="53" t="s">
        <v>993</v>
      </c>
      <c r="AN64" s="53">
        <v>2017</v>
      </c>
      <c r="AO64" s="61">
        <v>2</v>
      </c>
    </row>
    <row r="65" spans="1:41" ht="195" x14ac:dyDescent="0.25">
      <c r="A65" s="37"/>
      <c r="B65" s="37"/>
      <c r="C65" s="37"/>
      <c r="D65" s="37"/>
      <c r="E65" s="37"/>
      <c r="F65" s="37"/>
      <c r="G65" s="37"/>
      <c r="H65" s="37"/>
      <c r="I65" s="37"/>
      <c r="J65" s="37"/>
      <c r="K65" s="37"/>
      <c r="L65" s="37"/>
      <c r="M65" s="37"/>
      <c r="N65" s="37"/>
      <c r="O65" s="37"/>
      <c r="P65" s="37"/>
      <c r="Q65" s="37">
        <v>3</v>
      </c>
      <c r="R65" s="73"/>
      <c r="S65" s="73"/>
      <c r="T65" s="73"/>
      <c r="U65" s="42"/>
      <c r="V65" s="69">
        <v>45</v>
      </c>
      <c r="W65" s="71"/>
      <c r="X65" s="42" t="s">
        <v>1317</v>
      </c>
      <c r="Y65" s="42" t="s">
        <v>1318</v>
      </c>
      <c r="Z65" s="42" t="s">
        <v>1319</v>
      </c>
      <c r="AA65" s="37"/>
      <c r="AB65" s="37"/>
      <c r="AC65" s="37"/>
      <c r="AD65" s="37"/>
      <c r="AE65" s="37"/>
      <c r="AF65" s="37"/>
      <c r="AG65" s="37"/>
      <c r="AH65" s="37"/>
      <c r="AI65" s="37"/>
      <c r="AJ65" s="37"/>
      <c r="AK65" s="37"/>
      <c r="AL65" s="42" t="s">
        <v>311</v>
      </c>
      <c r="AM65" s="53" t="s">
        <v>993</v>
      </c>
      <c r="AN65" s="53">
        <v>2015</v>
      </c>
      <c r="AO65" s="53">
        <v>305</v>
      </c>
    </row>
    <row r="66" spans="1:41" ht="255" x14ac:dyDescent="0.25">
      <c r="A66" s="37"/>
      <c r="B66" s="37"/>
      <c r="C66" s="37"/>
      <c r="D66" s="37"/>
      <c r="E66" s="37"/>
      <c r="F66" s="37"/>
      <c r="G66" s="37"/>
      <c r="H66" s="37"/>
      <c r="I66" s="37"/>
      <c r="J66" s="37"/>
      <c r="K66" s="37"/>
      <c r="L66" s="37"/>
      <c r="M66" s="37"/>
      <c r="N66" s="37"/>
      <c r="O66" s="37"/>
      <c r="P66" s="37"/>
      <c r="Q66" s="37">
        <v>3</v>
      </c>
      <c r="R66" s="73"/>
      <c r="S66" s="73"/>
      <c r="T66" s="73"/>
      <c r="U66" s="42"/>
      <c r="V66" s="69">
        <v>46</v>
      </c>
      <c r="W66" s="71"/>
      <c r="X66" s="42" t="s">
        <v>1320</v>
      </c>
      <c r="Y66" s="42" t="s">
        <v>1321</v>
      </c>
      <c r="Z66" s="42" t="s">
        <v>1322</v>
      </c>
      <c r="AA66" s="37"/>
      <c r="AB66" s="37"/>
      <c r="AC66" s="37"/>
      <c r="AD66" s="37"/>
      <c r="AE66" s="37"/>
      <c r="AF66" s="37"/>
      <c r="AG66" s="37"/>
      <c r="AH66" s="37"/>
      <c r="AI66" s="37"/>
      <c r="AJ66" s="37"/>
      <c r="AK66" s="37"/>
      <c r="AL66" s="42" t="s">
        <v>311</v>
      </c>
      <c r="AM66" s="53" t="s">
        <v>993</v>
      </c>
      <c r="AN66" s="53">
        <v>2015</v>
      </c>
      <c r="AO66" s="61">
        <v>8</v>
      </c>
    </row>
    <row r="67" spans="1:41" ht="300" x14ac:dyDescent="0.25">
      <c r="A67" s="37"/>
      <c r="B67" s="37"/>
      <c r="C67" s="37"/>
      <c r="D67" s="37"/>
      <c r="E67" s="37"/>
      <c r="F67" s="37"/>
      <c r="G67" s="37"/>
      <c r="H67" s="37"/>
      <c r="I67" s="37"/>
      <c r="J67" s="37"/>
      <c r="K67" s="37"/>
      <c r="L67" s="37"/>
      <c r="M67" s="37"/>
      <c r="N67" s="37"/>
      <c r="O67" s="37"/>
      <c r="P67" s="37"/>
      <c r="Q67" s="37">
        <v>2</v>
      </c>
      <c r="R67" s="73"/>
      <c r="S67" s="73"/>
      <c r="T67" s="73"/>
      <c r="U67" s="42"/>
      <c r="V67" s="69">
        <v>48</v>
      </c>
      <c r="W67" s="71"/>
      <c r="X67" s="42" t="s">
        <v>1323</v>
      </c>
      <c r="Y67" s="42" t="s">
        <v>1324</v>
      </c>
      <c r="Z67" s="42" t="s">
        <v>1325</v>
      </c>
      <c r="AA67" s="37"/>
      <c r="AB67" s="37"/>
      <c r="AC67" s="37"/>
      <c r="AD67" s="37"/>
      <c r="AE67" s="37"/>
      <c r="AF67" s="37"/>
      <c r="AG67" s="37"/>
      <c r="AH67" s="37"/>
      <c r="AI67" s="37"/>
      <c r="AJ67" s="37"/>
      <c r="AK67" s="37"/>
      <c r="AL67" s="42" t="s">
        <v>311</v>
      </c>
      <c r="AM67" s="53" t="s">
        <v>993</v>
      </c>
      <c r="AN67" s="53">
        <v>2015</v>
      </c>
      <c r="AO67" s="53">
        <v>14</v>
      </c>
    </row>
    <row r="68" spans="1:41" ht="225" x14ac:dyDescent="0.25">
      <c r="A68" s="37"/>
      <c r="B68" s="37"/>
      <c r="C68" s="37"/>
      <c r="D68" s="37"/>
      <c r="E68" s="37"/>
      <c r="F68" s="37"/>
      <c r="G68" s="37"/>
      <c r="H68" s="37"/>
      <c r="I68" s="37"/>
      <c r="J68" s="37"/>
      <c r="K68" s="37"/>
      <c r="L68" s="37"/>
      <c r="M68" s="37"/>
      <c r="N68" s="37"/>
      <c r="O68" s="37"/>
      <c r="P68" s="37"/>
      <c r="Q68" s="37">
        <v>2</v>
      </c>
      <c r="R68" s="73"/>
      <c r="S68" s="73"/>
      <c r="T68" s="73"/>
      <c r="U68" s="42"/>
      <c r="V68" s="69">
        <v>49</v>
      </c>
      <c r="W68" s="71"/>
      <c r="X68" s="42" t="s">
        <v>1326</v>
      </c>
      <c r="Y68" s="42" t="s">
        <v>1327</v>
      </c>
      <c r="Z68" s="42" t="s">
        <v>1328</v>
      </c>
      <c r="AA68" s="37"/>
      <c r="AB68" s="37"/>
      <c r="AC68" s="37"/>
      <c r="AD68" s="37"/>
      <c r="AE68" s="37"/>
      <c r="AF68" s="37"/>
      <c r="AG68" s="37"/>
      <c r="AH68" s="37"/>
      <c r="AI68" s="37"/>
      <c r="AJ68" s="37"/>
      <c r="AK68" s="37"/>
      <c r="AL68" s="42" t="s">
        <v>311</v>
      </c>
      <c r="AM68" s="53" t="s">
        <v>993</v>
      </c>
      <c r="AN68" s="53">
        <v>2018</v>
      </c>
      <c r="AO68" s="61">
        <v>1</v>
      </c>
    </row>
    <row r="69" spans="1:41" ht="165" x14ac:dyDescent="0.25">
      <c r="A69" s="37"/>
      <c r="B69" s="37"/>
      <c r="C69" s="37"/>
      <c r="D69" s="37"/>
      <c r="E69" s="37"/>
      <c r="F69" s="37"/>
      <c r="G69" s="37"/>
      <c r="H69" s="37"/>
      <c r="I69" s="37"/>
      <c r="J69" s="37"/>
      <c r="K69" s="37"/>
      <c r="L69" s="37"/>
      <c r="M69" s="37"/>
      <c r="N69" s="37"/>
      <c r="O69" s="37"/>
      <c r="P69" s="37"/>
      <c r="Q69" s="37">
        <v>3</v>
      </c>
      <c r="R69" s="73"/>
      <c r="S69" s="73"/>
      <c r="T69" s="73"/>
      <c r="U69" s="42"/>
      <c r="V69" s="69">
        <v>50</v>
      </c>
      <c r="W69" s="71"/>
      <c r="X69" s="42" t="s">
        <v>1329</v>
      </c>
      <c r="Y69" s="42" t="s">
        <v>1330</v>
      </c>
      <c r="Z69" s="42" t="s">
        <v>1331</v>
      </c>
      <c r="AA69" s="37"/>
      <c r="AB69" s="37"/>
      <c r="AC69" s="37"/>
      <c r="AD69" s="37"/>
      <c r="AE69" s="37"/>
      <c r="AF69" s="37"/>
      <c r="AG69" s="37"/>
      <c r="AH69" s="37"/>
      <c r="AI69" s="37"/>
      <c r="AJ69" s="37"/>
      <c r="AK69" s="37"/>
      <c r="AL69" s="42" t="s">
        <v>311</v>
      </c>
      <c r="AM69" s="53" t="s">
        <v>993</v>
      </c>
      <c r="AN69" s="53">
        <v>2008</v>
      </c>
      <c r="AO69" s="61">
        <v>11</v>
      </c>
    </row>
    <row r="70" spans="1:41" ht="210" x14ac:dyDescent="0.25">
      <c r="A70" s="37"/>
      <c r="B70" s="37"/>
      <c r="C70" s="37"/>
      <c r="D70" s="37"/>
      <c r="E70" s="37"/>
      <c r="F70" s="37"/>
      <c r="G70" s="37"/>
      <c r="H70" s="37"/>
      <c r="I70" s="37"/>
      <c r="J70" s="37"/>
      <c r="K70" s="37"/>
      <c r="L70" s="37"/>
      <c r="M70" s="37"/>
      <c r="N70" s="37"/>
      <c r="O70" s="37"/>
      <c r="P70" s="37"/>
      <c r="Q70" s="37">
        <v>3</v>
      </c>
      <c r="R70" s="73"/>
      <c r="S70" s="73"/>
      <c r="T70" s="73"/>
      <c r="U70" s="42"/>
      <c r="V70" s="69">
        <v>51</v>
      </c>
      <c r="W70" s="71"/>
      <c r="X70" s="42" t="s">
        <v>1332</v>
      </c>
      <c r="Y70" s="42" t="s">
        <v>1333</v>
      </c>
      <c r="Z70" s="42" t="s">
        <v>1334</v>
      </c>
      <c r="AA70" s="37"/>
      <c r="AB70" s="37"/>
      <c r="AC70" s="37"/>
      <c r="AD70" s="37"/>
      <c r="AE70" s="37"/>
      <c r="AF70" s="37"/>
      <c r="AG70" s="37"/>
      <c r="AH70" s="37"/>
      <c r="AI70" s="37"/>
      <c r="AJ70" s="37"/>
      <c r="AK70" s="37"/>
      <c r="AL70" s="42" t="s">
        <v>311</v>
      </c>
      <c r="AM70" s="53" t="s">
        <v>993</v>
      </c>
      <c r="AN70" s="53">
        <v>2014</v>
      </c>
      <c r="AO70" s="53">
        <v>39</v>
      </c>
    </row>
    <row r="71" spans="1:41" ht="180" x14ac:dyDescent="0.25">
      <c r="A71" s="37"/>
      <c r="B71" s="37"/>
      <c r="C71" s="37"/>
      <c r="D71" s="37"/>
      <c r="E71" s="37"/>
      <c r="F71" s="37"/>
      <c r="G71" s="37"/>
      <c r="H71" s="37"/>
      <c r="I71" s="37"/>
      <c r="J71" s="37"/>
      <c r="K71" s="37"/>
      <c r="L71" s="37"/>
      <c r="M71" s="37"/>
      <c r="N71" s="37"/>
      <c r="O71" s="37"/>
      <c r="P71" s="37"/>
      <c r="Q71" s="37">
        <v>2</v>
      </c>
      <c r="R71" s="73"/>
      <c r="S71" s="73"/>
      <c r="T71" s="73"/>
      <c r="U71" s="42"/>
      <c r="V71" s="69">
        <v>52</v>
      </c>
      <c r="W71" s="71"/>
      <c r="X71" s="42" t="s">
        <v>1335</v>
      </c>
      <c r="Y71" s="42" t="s">
        <v>1336</v>
      </c>
      <c r="Z71" s="42" t="s">
        <v>1337</v>
      </c>
      <c r="AA71" s="37"/>
      <c r="AB71" s="37"/>
      <c r="AC71" s="37"/>
      <c r="AD71" s="37"/>
      <c r="AE71" s="37"/>
      <c r="AF71" s="37"/>
      <c r="AG71" s="37"/>
      <c r="AH71" s="37"/>
      <c r="AI71" s="37"/>
      <c r="AJ71" s="37"/>
      <c r="AK71" s="37"/>
      <c r="AL71" s="42" t="s">
        <v>311</v>
      </c>
      <c r="AM71" s="53" t="s">
        <v>993</v>
      </c>
      <c r="AN71" s="53">
        <v>2015</v>
      </c>
      <c r="AO71" s="61">
        <v>9</v>
      </c>
    </row>
    <row r="72" spans="1:41" ht="240" x14ac:dyDescent="0.25">
      <c r="A72" s="37"/>
      <c r="B72" s="37"/>
      <c r="C72" s="37"/>
      <c r="D72" s="37"/>
      <c r="E72" s="37"/>
      <c r="F72" s="37"/>
      <c r="G72" s="37"/>
      <c r="H72" s="37"/>
      <c r="I72" s="37"/>
      <c r="J72" s="37"/>
      <c r="K72" s="37"/>
      <c r="L72" s="37"/>
      <c r="M72" s="37"/>
      <c r="N72" s="37"/>
      <c r="O72" s="37"/>
      <c r="P72" s="37"/>
      <c r="Q72" s="37">
        <v>2</v>
      </c>
      <c r="R72" s="73"/>
      <c r="S72" s="73"/>
      <c r="T72" s="73"/>
      <c r="U72" s="42"/>
      <c r="V72" s="69">
        <v>53</v>
      </c>
      <c r="W72" s="71"/>
      <c r="X72" s="42" t="s">
        <v>1338</v>
      </c>
      <c r="Y72" s="42" t="s">
        <v>1339</v>
      </c>
      <c r="Z72" s="42" t="s">
        <v>1340</v>
      </c>
      <c r="AA72" s="37"/>
      <c r="AB72" s="37"/>
      <c r="AC72" s="37"/>
      <c r="AD72" s="37"/>
      <c r="AE72" s="37"/>
      <c r="AF72" s="37"/>
      <c r="AG72" s="37"/>
      <c r="AH72" s="37"/>
      <c r="AI72" s="37"/>
      <c r="AJ72" s="37"/>
      <c r="AK72" s="37"/>
      <c r="AL72" s="42" t="s">
        <v>311</v>
      </c>
      <c r="AM72" s="53" t="s">
        <v>993</v>
      </c>
      <c r="AN72" s="53">
        <v>2018</v>
      </c>
      <c r="AO72" s="61">
        <v>1</v>
      </c>
    </row>
    <row r="73" spans="1:41" ht="180" x14ac:dyDescent="0.25">
      <c r="A73" s="73"/>
      <c r="B73" s="73"/>
      <c r="C73" s="73"/>
      <c r="D73" s="73"/>
      <c r="E73" s="73"/>
      <c r="F73" s="73"/>
      <c r="G73" s="73"/>
      <c r="H73" s="73"/>
      <c r="I73" s="73"/>
      <c r="J73" s="73"/>
      <c r="K73" s="73"/>
      <c r="L73" s="73"/>
      <c r="M73" s="73"/>
      <c r="N73" s="73"/>
      <c r="O73" s="73"/>
      <c r="P73" s="73"/>
      <c r="Q73" s="73">
        <v>1</v>
      </c>
      <c r="R73" s="73"/>
      <c r="S73" s="73"/>
      <c r="T73" s="73"/>
      <c r="U73" s="42"/>
      <c r="V73" s="69">
        <v>54</v>
      </c>
      <c r="W73" s="70"/>
      <c r="X73" s="42" t="s">
        <v>1194</v>
      </c>
      <c r="Y73" s="42" t="s">
        <v>1195</v>
      </c>
      <c r="Z73" s="42" t="s">
        <v>1196</v>
      </c>
      <c r="AA73" s="37"/>
      <c r="AB73" s="37"/>
      <c r="AC73" s="37"/>
      <c r="AD73" s="37"/>
      <c r="AE73" s="37"/>
      <c r="AF73" s="37"/>
      <c r="AG73" s="37"/>
      <c r="AH73" s="37"/>
      <c r="AI73" s="37"/>
      <c r="AJ73" s="37"/>
      <c r="AK73" s="37"/>
      <c r="AL73" s="42" t="s">
        <v>311</v>
      </c>
      <c r="AM73" s="53" t="s">
        <v>993</v>
      </c>
      <c r="AN73" s="53">
        <v>2008</v>
      </c>
      <c r="AO73" s="61">
        <v>388</v>
      </c>
    </row>
    <row r="74" spans="1:41" ht="255" x14ac:dyDescent="0.25">
      <c r="A74" s="37"/>
      <c r="B74" s="37"/>
      <c r="C74" s="37"/>
      <c r="D74" s="37"/>
      <c r="E74" s="37"/>
      <c r="F74" s="37"/>
      <c r="G74" s="37"/>
      <c r="H74" s="37"/>
      <c r="I74" s="37"/>
      <c r="J74" s="37"/>
      <c r="K74" s="37"/>
      <c r="L74" s="37"/>
      <c r="M74" s="37"/>
      <c r="N74" s="37"/>
      <c r="O74" s="37"/>
      <c r="P74" s="37"/>
      <c r="Q74" s="37">
        <v>3</v>
      </c>
      <c r="R74" s="73"/>
      <c r="S74" s="73"/>
      <c r="T74" s="73"/>
      <c r="U74" s="42"/>
      <c r="V74" s="69">
        <v>55</v>
      </c>
      <c r="W74" s="71"/>
      <c r="X74" s="42" t="s">
        <v>1341</v>
      </c>
      <c r="Y74" s="42" t="s">
        <v>1342</v>
      </c>
      <c r="Z74" s="42" t="s">
        <v>1343</v>
      </c>
      <c r="AA74" s="37"/>
      <c r="AB74" s="37"/>
      <c r="AC74" s="37"/>
      <c r="AD74" s="37"/>
      <c r="AE74" s="37"/>
      <c r="AF74" s="37"/>
      <c r="AG74" s="37"/>
      <c r="AH74" s="37"/>
      <c r="AI74" s="37"/>
      <c r="AJ74" s="37"/>
      <c r="AK74" s="37"/>
      <c r="AL74" s="42" t="s">
        <v>325</v>
      </c>
      <c r="AM74" s="53" t="s">
        <v>993</v>
      </c>
      <c r="AN74" s="53">
        <v>2018</v>
      </c>
      <c r="AO74" s="53">
        <v>31</v>
      </c>
    </row>
    <row r="75" spans="1:41" ht="180" x14ac:dyDescent="0.25">
      <c r="A75" s="37"/>
      <c r="B75" s="37"/>
      <c r="C75" s="37"/>
      <c r="D75" s="37"/>
      <c r="E75" s="37"/>
      <c r="F75" s="37"/>
      <c r="G75" s="37"/>
      <c r="H75" s="37"/>
      <c r="I75" s="37"/>
      <c r="J75" s="37"/>
      <c r="K75" s="37"/>
      <c r="L75" s="37"/>
      <c r="M75" s="37"/>
      <c r="N75" s="37"/>
      <c r="O75" s="37"/>
      <c r="P75" s="37"/>
      <c r="Q75" s="37">
        <v>3</v>
      </c>
      <c r="R75" s="73"/>
      <c r="S75" s="73"/>
      <c r="T75" s="73"/>
      <c r="U75" s="42"/>
      <c r="V75" s="69">
        <v>56</v>
      </c>
      <c r="W75" s="71"/>
      <c r="X75" s="42" t="s">
        <v>1344</v>
      </c>
      <c r="Y75" s="42" t="s">
        <v>1345</v>
      </c>
      <c r="Z75" s="42" t="s">
        <v>1346</v>
      </c>
      <c r="AA75" s="37"/>
      <c r="AB75" s="37"/>
      <c r="AC75" s="37"/>
      <c r="AD75" s="37"/>
      <c r="AE75" s="37"/>
      <c r="AF75" s="37"/>
      <c r="AG75" s="37"/>
      <c r="AH75" s="37"/>
      <c r="AI75" s="37"/>
      <c r="AJ75" s="37"/>
      <c r="AK75" s="37"/>
      <c r="AL75" s="42" t="s">
        <v>300</v>
      </c>
      <c r="AM75" s="53" t="s">
        <v>993</v>
      </c>
      <c r="AN75" s="53">
        <v>2010</v>
      </c>
      <c r="AO75" s="53">
        <v>16</v>
      </c>
    </row>
    <row r="76" spans="1:41" ht="195" x14ac:dyDescent="0.25">
      <c r="A76" s="37"/>
      <c r="B76" s="37"/>
      <c r="C76" s="37"/>
      <c r="D76" s="37"/>
      <c r="E76" s="37"/>
      <c r="F76" s="37"/>
      <c r="G76" s="37"/>
      <c r="H76" s="37"/>
      <c r="I76" s="37"/>
      <c r="J76" s="37"/>
      <c r="K76" s="37"/>
      <c r="L76" s="37"/>
      <c r="M76" s="37"/>
      <c r="N76" s="37"/>
      <c r="O76" s="37"/>
      <c r="P76" s="37"/>
      <c r="Q76" s="37">
        <v>2</v>
      </c>
      <c r="R76" s="73"/>
      <c r="S76" s="73"/>
      <c r="T76" s="73"/>
      <c r="U76" s="42"/>
      <c r="V76" s="69">
        <v>57</v>
      </c>
      <c r="W76" s="71"/>
      <c r="X76" s="42" t="s">
        <v>1347</v>
      </c>
      <c r="Y76" s="42" t="s">
        <v>1348</v>
      </c>
      <c r="Z76" s="42" t="s">
        <v>1349</v>
      </c>
      <c r="AA76" s="37"/>
      <c r="AB76" s="37"/>
      <c r="AC76" s="37"/>
      <c r="AD76" s="37"/>
      <c r="AE76" s="37"/>
      <c r="AF76" s="37"/>
      <c r="AG76" s="37"/>
      <c r="AH76" s="37"/>
      <c r="AI76" s="37"/>
      <c r="AJ76" s="37"/>
      <c r="AK76" s="37"/>
      <c r="AL76" s="42" t="s">
        <v>300</v>
      </c>
      <c r="AM76" s="53" t="s">
        <v>993</v>
      </c>
      <c r="AN76" s="53">
        <v>2012</v>
      </c>
      <c r="AO76" s="53">
        <v>930</v>
      </c>
    </row>
    <row r="77" spans="1:41" ht="105" x14ac:dyDescent="0.25">
      <c r="A77" s="73"/>
      <c r="B77" s="73"/>
      <c r="C77" s="73"/>
      <c r="D77" s="73"/>
      <c r="E77" s="73"/>
      <c r="F77" s="73"/>
      <c r="G77" s="73"/>
      <c r="H77" s="73"/>
      <c r="I77" s="73"/>
      <c r="J77" s="73"/>
      <c r="K77" s="73"/>
      <c r="L77" s="73"/>
      <c r="M77" s="73"/>
      <c r="N77" s="73"/>
      <c r="O77" s="73"/>
      <c r="P77" s="73"/>
      <c r="Q77" s="73">
        <v>3</v>
      </c>
      <c r="R77" s="73"/>
      <c r="S77" s="73"/>
      <c r="T77" s="73"/>
      <c r="U77" s="42"/>
      <c r="V77" s="69">
        <v>58</v>
      </c>
      <c r="W77" s="70"/>
      <c r="X77" s="42" t="s">
        <v>1350</v>
      </c>
      <c r="Y77" s="42" t="s">
        <v>1351</v>
      </c>
      <c r="Z77" s="42" t="s">
        <v>1352</v>
      </c>
      <c r="AA77" s="37"/>
      <c r="AB77" s="37"/>
      <c r="AC77" s="37"/>
      <c r="AD77" s="37"/>
      <c r="AE77" s="37"/>
      <c r="AF77" s="37"/>
      <c r="AG77" s="37"/>
      <c r="AH77" s="37"/>
      <c r="AI77" s="37"/>
      <c r="AJ77" s="37"/>
      <c r="AK77" s="37"/>
      <c r="AL77" s="42" t="s">
        <v>300</v>
      </c>
      <c r="AM77" s="53" t="s">
        <v>993</v>
      </c>
      <c r="AN77" s="53">
        <v>2011</v>
      </c>
      <c r="AO77" s="53">
        <v>85</v>
      </c>
    </row>
    <row r="78" spans="1:41" ht="165" x14ac:dyDescent="0.25">
      <c r="A78" s="73"/>
      <c r="B78" s="73"/>
      <c r="C78" s="73"/>
      <c r="D78" s="73"/>
      <c r="E78" s="73"/>
      <c r="F78" s="73"/>
      <c r="G78" s="73"/>
      <c r="H78" s="73"/>
      <c r="I78" s="73"/>
      <c r="J78" s="73"/>
      <c r="K78" s="73"/>
      <c r="L78" s="73"/>
      <c r="M78" s="73"/>
      <c r="N78" s="73"/>
      <c r="O78" s="73"/>
      <c r="P78" s="73"/>
      <c r="Q78" s="73">
        <v>1</v>
      </c>
      <c r="R78" s="73"/>
      <c r="S78" s="73"/>
      <c r="T78" s="73"/>
      <c r="U78" s="42"/>
      <c r="V78" s="69">
        <v>59</v>
      </c>
      <c r="W78" s="70"/>
      <c r="X78" s="42" t="s">
        <v>1353</v>
      </c>
      <c r="Y78" s="42" t="s">
        <v>1354</v>
      </c>
      <c r="Z78" s="42" t="s">
        <v>1355</v>
      </c>
      <c r="AA78" s="37"/>
      <c r="AB78" s="37"/>
      <c r="AC78" s="37"/>
      <c r="AD78" s="37"/>
      <c r="AE78" s="37"/>
      <c r="AF78" s="37"/>
      <c r="AG78" s="37"/>
      <c r="AH78" s="37"/>
      <c r="AI78" s="37"/>
      <c r="AJ78" s="37"/>
      <c r="AK78" s="37"/>
      <c r="AL78" s="42" t="s">
        <v>300</v>
      </c>
      <c r="AM78" s="53" t="s">
        <v>993</v>
      </c>
      <c r="AN78" s="53">
        <v>2011</v>
      </c>
      <c r="AO78" s="53">
        <v>258</v>
      </c>
    </row>
    <row r="79" spans="1:41" ht="150" x14ac:dyDescent="0.25">
      <c r="A79" s="37"/>
      <c r="B79" s="37"/>
      <c r="C79" s="37"/>
      <c r="D79" s="37"/>
      <c r="E79" s="37"/>
      <c r="F79" s="37"/>
      <c r="G79" s="37"/>
      <c r="H79" s="37"/>
      <c r="I79" s="37"/>
      <c r="J79" s="37"/>
      <c r="K79" s="37"/>
      <c r="L79" s="37"/>
      <c r="M79" s="37"/>
      <c r="N79" s="37"/>
      <c r="O79" s="37"/>
      <c r="P79" s="37"/>
      <c r="Q79" s="37">
        <v>3</v>
      </c>
      <c r="R79" s="73"/>
      <c r="S79" s="73"/>
      <c r="T79" s="73"/>
      <c r="U79" s="42"/>
      <c r="V79" s="69">
        <v>60</v>
      </c>
      <c r="W79" s="71"/>
      <c r="X79" s="42" t="s">
        <v>1356</v>
      </c>
      <c r="Y79" s="42" t="s">
        <v>1357</v>
      </c>
      <c r="Z79" s="42" t="s">
        <v>1358</v>
      </c>
      <c r="AA79" s="37"/>
      <c r="AB79" s="37"/>
      <c r="AC79" s="37"/>
      <c r="AD79" s="37"/>
      <c r="AE79" s="37"/>
      <c r="AF79" s="37"/>
      <c r="AG79" s="37"/>
      <c r="AH79" s="37"/>
      <c r="AI79" s="37"/>
      <c r="AJ79" s="37"/>
      <c r="AK79" s="37"/>
      <c r="AL79" s="42" t="s">
        <v>300</v>
      </c>
      <c r="AM79" s="53" t="s">
        <v>993</v>
      </c>
      <c r="AN79" s="53">
        <v>2016</v>
      </c>
      <c r="AO79" s="53">
        <v>139</v>
      </c>
    </row>
    <row r="80" spans="1:41" ht="120" x14ac:dyDescent="0.25">
      <c r="A80" s="37"/>
      <c r="B80" s="37"/>
      <c r="C80" s="37"/>
      <c r="D80" s="37"/>
      <c r="E80" s="37"/>
      <c r="F80" s="37"/>
      <c r="G80" s="37"/>
      <c r="H80" s="37"/>
      <c r="I80" s="37"/>
      <c r="J80" s="37"/>
      <c r="K80" s="37"/>
      <c r="L80" s="37"/>
      <c r="M80" s="37"/>
      <c r="N80" s="37"/>
      <c r="O80" s="37"/>
      <c r="P80" s="37"/>
      <c r="Q80" s="37">
        <v>3</v>
      </c>
      <c r="R80" s="73"/>
      <c r="S80" s="73"/>
      <c r="T80" s="73"/>
      <c r="U80" s="42"/>
      <c r="V80" s="69">
        <v>61</v>
      </c>
      <c r="W80" s="71"/>
      <c r="X80" s="42" t="s">
        <v>1359</v>
      </c>
      <c r="Y80" s="42" t="s">
        <v>1360</v>
      </c>
      <c r="Z80" s="42" t="s">
        <v>1361</v>
      </c>
      <c r="AA80" s="37"/>
      <c r="AB80" s="37"/>
      <c r="AC80" s="37"/>
      <c r="AD80" s="37"/>
      <c r="AE80" s="37"/>
      <c r="AF80" s="37"/>
      <c r="AG80" s="37"/>
      <c r="AH80" s="37"/>
      <c r="AI80" s="37"/>
      <c r="AJ80" s="37"/>
      <c r="AK80" s="37"/>
      <c r="AL80" s="42" t="s">
        <v>300</v>
      </c>
      <c r="AM80" s="53" t="s">
        <v>993</v>
      </c>
      <c r="AN80" s="53">
        <v>2016</v>
      </c>
      <c r="AO80" s="61">
        <v>2</v>
      </c>
    </row>
    <row r="81" spans="1:41" ht="285" x14ac:dyDescent="0.25">
      <c r="A81" s="37"/>
      <c r="B81" s="37"/>
      <c r="C81" s="37"/>
      <c r="D81" s="37"/>
      <c r="E81" s="37"/>
      <c r="F81" s="37"/>
      <c r="G81" s="37"/>
      <c r="H81" s="37"/>
      <c r="I81" s="37"/>
      <c r="J81" s="37"/>
      <c r="K81" s="37"/>
      <c r="L81" s="37"/>
      <c r="M81" s="37"/>
      <c r="N81" s="37"/>
      <c r="O81" s="37"/>
      <c r="P81" s="37"/>
      <c r="Q81" s="37">
        <v>3</v>
      </c>
      <c r="R81" s="73"/>
      <c r="S81" s="73"/>
      <c r="T81" s="73"/>
      <c r="U81" s="42"/>
      <c r="V81" s="69">
        <v>62</v>
      </c>
      <c r="W81" s="71"/>
      <c r="X81" s="42" t="s">
        <v>1362</v>
      </c>
      <c r="Y81" s="42" t="s">
        <v>1363</v>
      </c>
      <c r="Z81" s="42" t="s">
        <v>1364</v>
      </c>
      <c r="AA81" s="37"/>
      <c r="AB81" s="37"/>
      <c r="AC81" s="37"/>
      <c r="AD81" s="37"/>
      <c r="AE81" s="37"/>
      <c r="AF81" s="37"/>
      <c r="AG81" s="37"/>
      <c r="AH81" s="37"/>
      <c r="AI81" s="37"/>
      <c r="AJ81" s="37"/>
      <c r="AK81" s="37"/>
      <c r="AL81" s="42" t="s">
        <v>300</v>
      </c>
      <c r="AM81" s="53" t="s">
        <v>993</v>
      </c>
      <c r="AN81" s="53">
        <v>2009</v>
      </c>
      <c r="AO81" s="53">
        <v>216</v>
      </c>
    </row>
    <row r="82" spans="1:41" ht="195" x14ac:dyDescent="0.25">
      <c r="A82" s="37"/>
      <c r="B82" s="37"/>
      <c r="C82" s="37"/>
      <c r="D82" s="37"/>
      <c r="E82" s="37"/>
      <c r="F82" s="37"/>
      <c r="G82" s="37"/>
      <c r="H82" s="37"/>
      <c r="I82" s="37"/>
      <c r="J82" s="37"/>
      <c r="K82" s="37"/>
      <c r="L82" s="37"/>
      <c r="M82" s="37"/>
      <c r="N82" s="37"/>
      <c r="O82" s="37"/>
      <c r="P82" s="37"/>
      <c r="Q82" s="37">
        <v>3</v>
      </c>
      <c r="R82" s="73"/>
      <c r="S82" s="73"/>
      <c r="T82" s="73"/>
      <c r="U82" s="42"/>
      <c r="V82" s="69">
        <v>63</v>
      </c>
      <c r="W82" s="71"/>
      <c r="X82" s="42" t="s">
        <v>1365</v>
      </c>
      <c r="Y82" s="42" t="s">
        <v>1366</v>
      </c>
      <c r="Z82" s="42" t="s">
        <v>1367</v>
      </c>
      <c r="AA82" s="37"/>
      <c r="AB82" s="37"/>
      <c r="AC82" s="37"/>
      <c r="AD82" s="37"/>
      <c r="AE82" s="37"/>
      <c r="AF82" s="37"/>
      <c r="AG82" s="37"/>
      <c r="AH82" s="37"/>
      <c r="AI82" s="37"/>
      <c r="AJ82" s="37"/>
      <c r="AK82" s="37"/>
      <c r="AL82" s="42" t="s">
        <v>300</v>
      </c>
      <c r="AM82" s="53" t="s">
        <v>993</v>
      </c>
      <c r="AN82" s="53">
        <v>2014</v>
      </c>
      <c r="AO82" s="53">
        <v>12</v>
      </c>
    </row>
    <row r="83" spans="1:41" ht="180" x14ac:dyDescent="0.25">
      <c r="A83" s="37"/>
      <c r="B83" s="37"/>
      <c r="C83" s="37"/>
      <c r="D83" s="37"/>
      <c r="E83" s="37"/>
      <c r="F83" s="37"/>
      <c r="G83" s="37"/>
      <c r="H83" s="37"/>
      <c r="I83" s="37"/>
      <c r="J83" s="37"/>
      <c r="K83" s="37"/>
      <c r="L83" s="37"/>
      <c r="M83" s="37"/>
      <c r="N83" s="37"/>
      <c r="O83" s="37"/>
      <c r="P83" s="37"/>
      <c r="Q83" s="37">
        <v>3</v>
      </c>
      <c r="R83" s="73"/>
      <c r="S83" s="73"/>
      <c r="T83" s="73"/>
      <c r="U83" s="42"/>
      <c r="V83" s="69">
        <v>64</v>
      </c>
      <c r="W83" s="71"/>
      <c r="X83" s="42" t="s">
        <v>1368</v>
      </c>
      <c r="Y83" s="42" t="s">
        <v>1369</v>
      </c>
      <c r="Z83" s="42" t="s">
        <v>1370</v>
      </c>
      <c r="AA83" s="37"/>
      <c r="AB83" s="37"/>
      <c r="AC83" s="37"/>
      <c r="AD83" s="37"/>
      <c r="AE83" s="37"/>
      <c r="AF83" s="37"/>
      <c r="AG83" s="37"/>
      <c r="AH83" s="37"/>
      <c r="AI83" s="37"/>
      <c r="AJ83" s="37"/>
      <c r="AK83" s="37"/>
      <c r="AL83" s="42" t="s">
        <v>300</v>
      </c>
      <c r="AM83" s="53" t="s">
        <v>993</v>
      </c>
      <c r="AN83" s="53">
        <v>2013</v>
      </c>
      <c r="AO83" s="53">
        <v>12</v>
      </c>
    </row>
    <row r="84" spans="1:41" ht="195" x14ac:dyDescent="0.25">
      <c r="A84" s="37"/>
      <c r="B84" s="37"/>
      <c r="C84" s="37"/>
      <c r="D84" s="37"/>
      <c r="E84" s="37"/>
      <c r="F84" s="37"/>
      <c r="G84" s="37"/>
      <c r="H84" s="37"/>
      <c r="I84" s="37"/>
      <c r="J84" s="37"/>
      <c r="K84" s="37"/>
      <c r="L84" s="37"/>
      <c r="M84" s="37"/>
      <c r="N84" s="37"/>
      <c r="O84" s="37"/>
      <c r="P84" s="37"/>
      <c r="Q84" s="37">
        <v>2</v>
      </c>
      <c r="R84" s="73"/>
      <c r="S84" s="73"/>
      <c r="T84" s="73"/>
      <c r="U84" s="42"/>
      <c r="V84" s="69">
        <v>65</v>
      </c>
      <c r="W84" s="71"/>
      <c r="X84" s="42" t="s">
        <v>1371</v>
      </c>
      <c r="Y84" s="42" t="s">
        <v>1372</v>
      </c>
      <c r="Z84" s="42" t="s">
        <v>1373</v>
      </c>
      <c r="AA84" s="37"/>
      <c r="AB84" s="37"/>
      <c r="AC84" s="37"/>
      <c r="AD84" s="37"/>
      <c r="AE84" s="37"/>
      <c r="AF84" s="37"/>
      <c r="AG84" s="37"/>
      <c r="AH84" s="37"/>
      <c r="AI84" s="37"/>
      <c r="AJ84" s="37"/>
      <c r="AK84" s="37"/>
      <c r="AL84" s="42" t="s">
        <v>300</v>
      </c>
      <c r="AM84" s="53" t="s">
        <v>993</v>
      </c>
      <c r="AN84" s="53">
        <v>2011</v>
      </c>
      <c r="AO84" s="53">
        <v>61</v>
      </c>
    </row>
    <row r="85" spans="1:41" ht="165" x14ac:dyDescent="0.25">
      <c r="A85" s="37"/>
      <c r="B85" s="37"/>
      <c r="C85" s="37"/>
      <c r="D85" s="37"/>
      <c r="E85" s="37"/>
      <c r="F85" s="37"/>
      <c r="G85" s="37"/>
      <c r="H85" s="37"/>
      <c r="I85" s="37"/>
      <c r="J85" s="37"/>
      <c r="K85" s="37"/>
      <c r="L85" s="37"/>
      <c r="M85" s="37"/>
      <c r="N85" s="37"/>
      <c r="O85" s="37"/>
      <c r="P85" s="37"/>
      <c r="Q85" s="37">
        <v>2</v>
      </c>
      <c r="R85" s="73"/>
      <c r="S85" s="73"/>
      <c r="T85" s="73"/>
      <c r="U85" s="42"/>
      <c r="V85" s="69">
        <v>66</v>
      </c>
      <c r="W85" s="71"/>
      <c r="X85" s="42" t="s">
        <v>1374</v>
      </c>
      <c r="Y85" s="42" t="s">
        <v>1375</v>
      </c>
      <c r="Z85" s="42" t="s">
        <v>1376</v>
      </c>
      <c r="AA85" s="37"/>
      <c r="AB85" s="37"/>
      <c r="AC85" s="37"/>
      <c r="AD85" s="37"/>
      <c r="AE85" s="37"/>
      <c r="AF85" s="37"/>
      <c r="AG85" s="37"/>
      <c r="AH85" s="37"/>
      <c r="AI85" s="37"/>
      <c r="AJ85" s="37"/>
      <c r="AK85" s="37"/>
      <c r="AL85" s="42" t="s">
        <v>300</v>
      </c>
      <c r="AM85" s="53" t="s">
        <v>993</v>
      </c>
      <c r="AN85" s="53">
        <v>2007</v>
      </c>
      <c r="AO85" s="53">
        <v>798</v>
      </c>
    </row>
    <row r="86" spans="1:41" ht="180" x14ac:dyDescent="0.25">
      <c r="A86" s="37"/>
      <c r="B86" s="37"/>
      <c r="C86" s="37"/>
      <c r="D86" s="37"/>
      <c r="E86" s="37"/>
      <c r="F86" s="37"/>
      <c r="G86" s="37"/>
      <c r="H86" s="37"/>
      <c r="I86" s="37"/>
      <c r="J86" s="37"/>
      <c r="K86" s="37"/>
      <c r="L86" s="37"/>
      <c r="M86" s="37"/>
      <c r="N86" s="37"/>
      <c r="O86" s="37"/>
      <c r="P86" s="37"/>
      <c r="Q86" s="37">
        <v>3</v>
      </c>
      <c r="R86" s="73"/>
      <c r="S86" s="73"/>
      <c r="T86" s="73"/>
      <c r="U86" s="42"/>
      <c r="V86" s="69">
        <v>67</v>
      </c>
      <c r="W86" s="71"/>
      <c r="X86" s="42" t="s">
        <v>1377</v>
      </c>
      <c r="Y86" s="42" t="s">
        <v>1378</v>
      </c>
      <c r="Z86" s="42" t="s">
        <v>1379</v>
      </c>
      <c r="AA86" s="37"/>
      <c r="AB86" s="37"/>
      <c r="AC86" s="37"/>
      <c r="AD86" s="37"/>
      <c r="AE86" s="37"/>
      <c r="AF86" s="37"/>
      <c r="AG86" s="37"/>
      <c r="AH86" s="37"/>
      <c r="AI86" s="37"/>
      <c r="AJ86" s="37"/>
      <c r="AK86" s="37"/>
      <c r="AL86" s="42" t="s">
        <v>300</v>
      </c>
      <c r="AM86" s="53" t="s">
        <v>993</v>
      </c>
      <c r="AN86" s="53">
        <v>2011</v>
      </c>
      <c r="AO86" s="53">
        <v>91</v>
      </c>
    </row>
    <row r="87" spans="1:41" ht="210" x14ac:dyDescent="0.25">
      <c r="A87" s="37"/>
      <c r="B87" s="37"/>
      <c r="C87" s="37"/>
      <c r="D87" s="37"/>
      <c r="E87" s="37"/>
      <c r="F87" s="37"/>
      <c r="G87" s="37"/>
      <c r="H87" s="37"/>
      <c r="I87" s="37"/>
      <c r="J87" s="37"/>
      <c r="K87" s="37"/>
      <c r="L87" s="37"/>
      <c r="M87" s="37"/>
      <c r="N87" s="37"/>
      <c r="O87" s="37"/>
      <c r="P87" s="37"/>
      <c r="Q87" s="37">
        <v>2</v>
      </c>
      <c r="R87" s="73"/>
      <c r="S87" s="73"/>
      <c r="T87" s="73"/>
      <c r="U87" s="42"/>
      <c r="V87" s="69">
        <v>68</v>
      </c>
      <c r="W87" s="71"/>
      <c r="X87" s="42" t="s">
        <v>1380</v>
      </c>
      <c r="Y87" s="42" t="s">
        <v>1381</v>
      </c>
      <c r="Z87" s="42" t="s">
        <v>1382</v>
      </c>
      <c r="AA87" s="37"/>
      <c r="AB87" s="37"/>
      <c r="AC87" s="37"/>
      <c r="AD87" s="37"/>
      <c r="AE87" s="37"/>
      <c r="AF87" s="37"/>
      <c r="AG87" s="37"/>
      <c r="AH87" s="37"/>
      <c r="AI87" s="37"/>
      <c r="AJ87" s="37"/>
      <c r="AK87" s="37"/>
      <c r="AL87" s="42" t="s">
        <v>300</v>
      </c>
      <c r="AM87" s="53" t="s">
        <v>993</v>
      </c>
      <c r="AN87" s="53">
        <v>2013</v>
      </c>
      <c r="AO87" s="53">
        <v>25</v>
      </c>
    </row>
    <row r="88" spans="1:41" ht="180" x14ac:dyDescent="0.25">
      <c r="A88" s="37"/>
      <c r="B88" s="37"/>
      <c r="C88" s="37"/>
      <c r="D88" s="37"/>
      <c r="E88" s="37"/>
      <c r="F88" s="37"/>
      <c r="G88" s="37"/>
      <c r="H88" s="37"/>
      <c r="I88" s="37"/>
      <c r="J88" s="37"/>
      <c r="K88" s="37"/>
      <c r="L88" s="37"/>
      <c r="M88" s="37"/>
      <c r="N88" s="37"/>
      <c r="O88" s="37"/>
      <c r="P88" s="37"/>
      <c r="Q88" s="37">
        <v>2</v>
      </c>
      <c r="R88" s="73"/>
      <c r="S88" s="73"/>
      <c r="T88" s="73"/>
      <c r="U88" s="42"/>
      <c r="V88" s="69">
        <v>69</v>
      </c>
      <c r="W88" s="71"/>
      <c r="X88" s="42" t="s">
        <v>1383</v>
      </c>
      <c r="Y88" s="42" t="s">
        <v>1384</v>
      </c>
      <c r="Z88" s="42" t="s">
        <v>1385</v>
      </c>
      <c r="AA88" s="37"/>
      <c r="AB88" s="37"/>
      <c r="AC88" s="37"/>
      <c r="AD88" s="37"/>
      <c r="AE88" s="37"/>
      <c r="AF88" s="37"/>
      <c r="AG88" s="37"/>
      <c r="AH88" s="37"/>
      <c r="AI88" s="37"/>
      <c r="AJ88" s="37"/>
      <c r="AK88" s="37"/>
      <c r="AL88" s="42" t="s">
        <v>300</v>
      </c>
      <c r="AM88" s="53" t="s">
        <v>993</v>
      </c>
      <c r="AN88" s="53">
        <v>2011</v>
      </c>
      <c r="AO88" s="53">
        <v>165</v>
      </c>
    </row>
    <row r="89" spans="1:41" ht="165" x14ac:dyDescent="0.25">
      <c r="A89" s="73"/>
      <c r="B89" s="73"/>
      <c r="C89" s="73"/>
      <c r="D89" s="73"/>
      <c r="E89" s="73"/>
      <c r="F89" s="73"/>
      <c r="G89" s="73"/>
      <c r="H89" s="73"/>
      <c r="I89" s="73"/>
      <c r="J89" s="73"/>
      <c r="K89" s="73"/>
      <c r="L89" s="73"/>
      <c r="M89" s="73"/>
      <c r="N89" s="73"/>
      <c r="O89" s="73"/>
      <c r="P89" s="73"/>
      <c r="Q89" s="73">
        <v>1</v>
      </c>
      <c r="R89" s="73"/>
      <c r="S89" s="73"/>
      <c r="T89" s="73"/>
      <c r="U89" s="42"/>
      <c r="V89" s="69">
        <v>70</v>
      </c>
      <c r="W89" s="70"/>
      <c r="X89" s="42" t="s">
        <v>1386</v>
      </c>
      <c r="Y89" s="42" t="s">
        <v>1387</v>
      </c>
      <c r="Z89" s="42" t="s">
        <v>1388</v>
      </c>
      <c r="AA89" s="37"/>
      <c r="AB89" s="37"/>
      <c r="AC89" s="37"/>
      <c r="AD89" s="37"/>
      <c r="AE89" s="37"/>
      <c r="AF89" s="37"/>
      <c r="AG89" s="37"/>
      <c r="AH89" s="37"/>
      <c r="AI89" s="37"/>
      <c r="AJ89" s="37"/>
      <c r="AK89" s="37"/>
      <c r="AL89" s="42" t="s">
        <v>300</v>
      </c>
      <c r="AM89" s="53" t="s">
        <v>993</v>
      </c>
      <c r="AN89" s="53">
        <v>2012</v>
      </c>
      <c r="AO89" s="53">
        <v>69</v>
      </c>
    </row>
    <row r="90" spans="1:41" ht="150" x14ac:dyDescent="0.25">
      <c r="A90" s="37"/>
      <c r="B90" s="37"/>
      <c r="C90" s="37"/>
      <c r="D90" s="37"/>
      <c r="E90" s="37"/>
      <c r="F90" s="37"/>
      <c r="G90" s="37"/>
      <c r="H90" s="37"/>
      <c r="I90" s="37"/>
      <c r="J90" s="37"/>
      <c r="K90" s="37"/>
      <c r="L90" s="37"/>
      <c r="M90" s="37"/>
      <c r="N90" s="37"/>
      <c r="O90" s="37"/>
      <c r="P90" s="37"/>
      <c r="Q90" s="37">
        <v>3</v>
      </c>
      <c r="R90" s="73"/>
      <c r="S90" s="73"/>
      <c r="T90" s="73"/>
      <c r="U90" s="42"/>
      <c r="V90" s="69">
        <v>71</v>
      </c>
      <c r="W90" s="71"/>
      <c r="X90" s="42" t="s">
        <v>1389</v>
      </c>
      <c r="Y90" s="42" t="s">
        <v>1390</v>
      </c>
      <c r="Z90" s="42" t="s">
        <v>1391</v>
      </c>
      <c r="AA90" s="37"/>
      <c r="AB90" s="37"/>
      <c r="AC90" s="37"/>
      <c r="AD90" s="37"/>
      <c r="AE90" s="37"/>
      <c r="AF90" s="37"/>
      <c r="AG90" s="37"/>
      <c r="AH90" s="37"/>
      <c r="AI90" s="37"/>
      <c r="AJ90" s="37"/>
      <c r="AK90" s="37"/>
      <c r="AL90" s="42" t="s">
        <v>300</v>
      </c>
      <c r="AM90" s="53" t="s">
        <v>993</v>
      </c>
      <c r="AN90" s="53">
        <v>2016</v>
      </c>
      <c r="AO90" s="53">
        <v>31</v>
      </c>
    </row>
    <row r="91" spans="1:41" ht="195" x14ac:dyDescent="0.25">
      <c r="A91" s="37"/>
      <c r="B91" s="37"/>
      <c r="C91" s="37"/>
      <c r="D91" s="37"/>
      <c r="E91" s="37"/>
      <c r="F91" s="37"/>
      <c r="G91" s="37"/>
      <c r="H91" s="37"/>
      <c r="I91" s="37"/>
      <c r="J91" s="37"/>
      <c r="K91" s="37"/>
      <c r="L91" s="37"/>
      <c r="M91" s="37"/>
      <c r="N91" s="37"/>
      <c r="O91" s="37"/>
      <c r="P91" s="37"/>
      <c r="Q91" s="37">
        <v>2</v>
      </c>
      <c r="R91" s="73"/>
      <c r="S91" s="73"/>
      <c r="T91" s="73"/>
      <c r="U91" s="42"/>
      <c r="V91" s="69">
        <v>72</v>
      </c>
      <c r="W91" s="71"/>
      <c r="X91" s="42" t="s">
        <v>1392</v>
      </c>
      <c r="Y91" s="42" t="s">
        <v>1393</v>
      </c>
      <c r="Z91" s="42" t="s">
        <v>1394</v>
      </c>
      <c r="AA91" s="37"/>
      <c r="AB91" s="37"/>
      <c r="AC91" s="37"/>
      <c r="AD91" s="37"/>
      <c r="AE91" s="37"/>
      <c r="AF91" s="37"/>
      <c r="AG91" s="37"/>
      <c r="AH91" s="37"/>
      <c r="AI91" s="37"/>
      <c r="AJ91" s="37"/>
      <c r="AK91" s="37"/>
      <c r="AL91" s="42" t="s">
        <v>300</v>
      </c>
      <c r="AM91" s="53" t="s">
        <v>993</v>
      </c>
      <c r="AN91" s="53">
        <v>2013</v>
      </c>
      <c r="AO91" s="53">
        <v>249</v>
      </c>
    </row>
    <row r="92" spans="1:41" ht="180" x14ac:dyDescent="0.25">
      <c r="A92" s="73"/>
      <c r="B92" s="73"/>
      <c r="C92" s="73"/>
      <c r="D92" s="73"/>
      <c r="E92" s="73"/>
      <c r="F92" s="73"/>
      <c r="G92" s="73"/>
      <c r="H92" s="73"/>
      <c r="I92" s="73"/>
      <c r="J92" s="73"/>
      <c r="K92" s="73"/>
      <c r="L92" s="73"/>
      <c r="M92" s="73"/>
      <c r="N92" s="73"/>
      <c r="O92" s="73"/>
      <c r="P92" s="73"/>
      <c r="Q92" s="73">
        <v>3</v>
      </c>
      <c r="R92" s="73"/>
      <c r="S92" s="73"/>
      <c r="T92" s="73"/>
      <c r="U92" s="42"/>
      <c r="V92" s="69">
        <v>73</v>
      </c>
      <c r="W92" s="70"/>
      <c r="X92" s="42" t="s">
        <v>1395</v>
      </c>
      <c r="Y92" s="42" t="s">
        <v>1396</v>
      </c>
      <c r="Z92" s="42" t="s">
        <v>1397</v>
      </c>
      <c r="AA92" s="37"/>
      <c r="AB92" s="37"/>
      <c r="AC92" s="37"/>
      <c r="AD92" s="37"/>
      <c r="AE92" s="37"/>
      <c r="AF92" s="37"/>
      <c r="AG92" s="37"/>
      <c r="AH92" s="37"/>
      <c r="AI92" s="37"/>
      <c r="AJ92" s="37"/>
      <c r="AK92" s="37"/>
      <c r="AL92" s="42" t="s">
        <v>300</v>
      </c>
      <c r="AM92" s="53" t="s">
        <v>993</v>
      </c>
      <c r="AN92" s="53">
        <v>2013</v>
      </c>
      <c r="AO92" s="53">
        <v>47</v>
      </c>
    </row>
    <row r="93" spans="1:41" ht="165" x14ac:dyDescent="0.25">
      <c r="A93" s="37"/>
      <c r="B93" s="37"/>
      <c r="C93" s="37"/>
      <c r="D93" s="37"/>
      <c r="E93" s="37"/>
      <c r="F93" s="37"/>
      <c r="G93" s="37"/>
      <c r="H93" s="37"/>
      <c r="I93" s="37"/>
      <c r="J93" s="37"/>
      <c r="K93" s="37"/>
      <c r="L93" s="37"/>
      <c r="M93" s="37"/>
      <c r="N93" s="37"/>
      <c r="O93" s="37"/>
      <c r="P93" s="37"/>
      <c r="Q93" s="37">
        <v>2</v>
      </c>
      <c r="R93" s="73"/>
      <c r="S93" s="73"/>
      <c r="T93" s="73"/>
      <c r="U93" s="42"/>
      <c r="V93" s="69">
        <v>74</v>
      </c>
      <c r="W93" s="71"/>
      <c r="X93" s="42" t="s">
        <v>1398</v>
      </c>
      <c r="Y93" s="42" t="s">
        <v>1399</v>
      </c>
      <c r="Z93" s="42" t="s">
        <v>1400</v>
      </c>
      <c r="AA93" s="37"/>
      <c r="AB93" s="37"/>
      <c r="AC93" s="37"/>
      <c r="AD93" s="37"/>
      <c r="AE93" s="37"/>
      <c r="AF93" s="37"/>
      <c r="AG93" s="37"/>
      <c r="AH93" s="37"/>
      <c r="AI93" s="37"/>
      <c r="AJ93" s="37"/>
      <c r="AK93" s="37"/>
      <c r="AL93" s="42" t="s">
        <v>326</v>
      </c>
      <c r="AM93" s="53" t="s">
        <v>993</v>
      </c>
      <c r="AN93" s="53">
        <v>2012</v>
      </c>
      <c r="AO93" s="53">
        <v>14</v>
      </c>
    </row>
    <row r="94" spans="1:41" ht="180" x14ac:dyDescent="0.25">
      <c r="A94" s="73"/>
      <c r="B94" s="73"/>
      <c r="C94" s="73"/>
      <c r="D94" s="73"/>
      <c r="E94" s="73"/>
      <c r="F94" s="73"/>
      <c r="G94" s="73"/>
      <c r="H94" s="73"/>
      <c r="I94" s="73"/>
      <c r="J94" s="73"/>
      <c r="K94" s="73"/>
      <c r="L94" s="73"/>
      <c r="M94" s="73"/>
      <c r="N94" s="73"/>
      <c r="O94" s="73"/>
      <c r="P94" s="73"/>
      <c r="Q94" s="73">
        <v>1</v>
      </c>
      <c r="R94" s="73"/>
      <c r="S94" s="73"/>
      <c r="T94" s="73"/>
      <c r="U94" s="42"/>
      <c r="V94" s="69">
        <v>75</v>
      </c>
      <c r="W94" s="70"/>
      <c r="X94" s="42" t="s">
        <v>1401</v>
      </c>
      <c r="Y94" s="42" t="s">
        <v>1402</v>
      </c>
      <c r="Z94" s="42" t="s">
        <v>1403</v>
      </c>
      <c r="AA94" s="37"/>
      <c r="AB94" s="37"/>
      <c r="AC94" s="37"/>
      <c r="AD94" s="37"/>
      <c r="AE94" s="37"/>
      <c r="AF94" s="37"/>
      <c r="AG94" s="37"/>
      <c r="AH94" s="37"/>
      <c r="AI94" s="37"/>
      <c r="AJ94" s="37"/>
      <c r="AK94" s="37"/>
      <c r="AL94" s="42" t="s">
        <v>347</v>
      </c>
      <c r="AM94" s="53" t="s">
        <v>993</v>
      </c>
      <c r="AN94" s="53">
        <v>2004</v>
      </c>
      <c r="AO94" s="61">
        <v>1033</v>
      </c>
    </row>
    <row r="95" spans="1:41" ht="150" x14ac:dyDescent="0.25">
      <c r="A95" s="37"/>
      <c r="B95" s="37"/>
      <c r="C95" s="37"/>
      <c r="D95" s="37"/>
      <c r="E95" s="37"/>
      <c r="F95" s="37"/>
      <c r="G95" s="37"/>
      <c r="H95" s="37"/>
      <c r="I95" s="37"/>
      <c r="J95" s="37"/>
      <c r="K95" s="37"/>
      <c r="L95" s="37"/>
      <c r="M95" s="37"/>
      <c r="N95" s="37"/>
      <c r="O95" s="37"/>
      <c r="P95" s="37"/>
      <c r="Q95" s="37">
        <v>2</v>
      </c>
      <c r="R95" s="73"/>
      <c r="S95" s="73"/>
      <c r="T95" s="73"/>
      <c r="U95" s="42"/>
      <c r="V95" s="69">
        <v>76</v>
      </c>
      <c r="W95" s="71"/>
      <c r="X95" s="42" t="s">
        <v>1404</v>
      </c>
      <c r="Y95" s="42" t="s">
        <v>1405</v>
      </c>
      <c r="Z95" s="42" t="s">
        <v>1406</v>
      </c>
      <c r="AA95" s="37"/>
      <c r="AB95" s="37"/>
      <c r="AC95" s="37"/>
      <c r="AD95" s="37"/>
      <c r="AE95" s="37"/>
      <c r="AF95" s="37"/>
      <c r="AG95" s="37"/>
      <c r="AH95" s="37"/>
      <c r="AI95" s="37"/>
      <c r="AJ95" s="37"/>
      <c r="AK95" s="37"/>
      <c r="AL95" s="42" t="s">
        <v>310</v>
      </c>
      <c r="AM95" s="53" t="s">
        <v>993</v>
      </c>
      <c r="AN95" s="53">
        <v>2017</v>
      </c>
      <c r="AO95" s="61">
        <v>3</v>
      </c>
    </row>
    <row r="96" spans="1:41" ht="135" x14ac:dyDescent="0.25">
      <c r="A96" s="37"/>
      <c r="B96" s="37"/>
      <c r="C96" s="37"/>
      <c r="D96" s="37"/>
      <c r="E96" s="37"/>
      <c r="F96" s="37"/>
      <c r="G96" s="37"/>
      <c r="H96" s="37"/>
      <c r="I96" s="37"/>
      <c r="J96" s="37"/>
      <c r="K96" s="37"/>
      <c r="L96" s="37"/>
      <c r="M96" s="37"/>
      <c r="N96" s="37"/>
      <c r="O96" s="37"/>
      <c r="P96" s="37"/>
      <c r="Q96" s="37">
        <v>2</v>
      </c>
      <c r="R96" s="73"/>
      <c r="S96" s="73"/>
      <c r="T96" s="73"/>
      <c r="U96" s="42"/>
      <c r="V96" s="69">
        <v>77</v>
      </c>
      <c r="W96" s="71"/>
      <c r="X96" s="42" t="s">
        <v>1407</v>
      </c>
      <c r="Y96" s="42" t="s">
        <v>1408</v>
      </c>
      <c r="Z96" s="42" t="s">
        <v>1409</v>
      </c>
      <c r="AA96" s="37"/>
      <c r="AB96" s="37"/>
      <c r="AC96" s="37"/>
      <c r="AD96" s="37"/>
      <c r="AE96" s="37"/>
      <c r="AF96" s="37"/>
      <c r="AG96" s="37"/>
      <c r="AH96" s="37"/>
      <c r="AI96" s="37"/>
      <c r="AJ96" s="37"/>
      <c r="AK96" s="37"/>
      <c r="AL96" s="42" t="s">
        <v>310</v>
      </c>
      <c r="AM96" s="53" t="s">
        <v>993</v>
      </c>
      <c r="AN96" s="53">
        <v>2012</v>
      </c>
      <c r="AO96" s="53">
        <v>19</v>
      </c>
    </row>
    <row r="97" spans="1:41" ht="210" x14ac:dyDescent="0.25">
      <c r="A97" s="37"/>
      <c r="B97" s="37"/>
      <c r="C97" s="37"/>
      <c r="D97" s="37"/>
      <c r="E97" s="37"/>
      <c r="F97" s="37"/>
      <c r="G97" s="37"/>
      <c r="H97" s="37"/>
      <c r="I97" s="37"/>
      <c r="J97" s="37"/>
      <c r="K97" s="37"/>
      <c r="L97" s="37"/>
      <c r="M97" s="37"/>
      <c r="N97" s="37"/>
      <c r="O97" s="37"/>
      <c r="P97" s="37"/>
      <c r="Q97" s="37">
        <v>2</v>
      </c>
      <c r="R97" s="73"/>
      <c r="S97" s="73"/>
      <c r="T97" s="73"/>
      <c r="U97" s="42"/>
      <c r="V97" s="69">
        <v>78</v>
      </c>
      <c r="W97" s="71"/>
      <c r="X97" s="42" t="s">
        <v>1410</v>
      </c>
      <c r="Y97" s="42" t="s">
        <v>1411</v>
      </c>
      <c r="Z97" s="42" t="s">
        <v>1412</v>
      </c>
      <c r="AA97" s="37"/>
      <c r="AB97" s="37"/>
      <c r="AC97" s="37"/>
      <c r="AD97" s="37"/>
      <c r="AE97" s="37"/>
      <c r="AF97" s="37"/>
      <c r="AG97" s="37"/>
      <c r="AH97" s="37"/>
      <c r="AI97" s="37"/>
      <c r="AJ97" s="37"/>
      <c r="AK97" s="37"/>
      <c r="AL97" s="42" t="s">
        <v>310</v>
      </c>
      <c r="AM97" s="53" t="s">
        <v>993</v>
      </c>
      <c r="AN97" s="53">
        <v>2012</v>
      </c>
      <c r="AO97" s="61">
        <v>7</v>
      </c>
    </row>
    <row r="98" spans="1:41" ht="165" x14ac:dyDescent="0.25">
      <c r="A98" s="37"/>
      <c r="B98" s="37"/>
      <c r="C98" s="37"/>
      <c r="D98" s="37"/>
      <c r="E98" s="37"/>
      <c r="F98" s="37"/>
      <c r="G98" s="37"/>
      <c r="H98" s="37"/>
      <c r="I98" s="37"/>
      <c r="J98" s="37"/>
      <c r="K98" s="37"/>
      <c r="L98" s="37"/>
      <c r="M98" s="37"/>
      <c r="N98" s="37"/>
      <c r="O98" s="37"/>
      <c r="P98" s="37"/>
      <c r="Q98" s="37">
        <v>3</v>
      </c>
      <c r="R98" s="73"/>
      <c r="S98" s="73"/>
      <c r="T98" s="73"/>
      <c r="U98" s="42"/>
      <c r="V98" s="69">
        <v>79</v>
      </c>
      <c r="W98" s="71"/>
      <c r="X98" s="42" t="s">
        <v>1413</v>
      </c>
      <c r="Y98" s="42" t="s">
        <v>1414</v>
      </c>
      <c r="Z98" s="42" t="s">
        <v>1415</v>
      </c>
      <c r="AA98" s="37"/>
      <c r="AB98" s="37"/>
      <c r="AC98" s="37"/>
      <c r="AD98" s="37"/>
      <c r="AE98" s="37"/>
      <c r="AF98" s="37"/>
      <c r="AG98" s="37"/>
      <c r="AH98" s="37"/>
      <c r="AI98" s="37"/>
      <c r="AJ98" s="37"/>
      <c r="AK98" s="37"/>
      <c r="AL98" s="42" t="s">
        <v>310</v>
      </c>
      <c r="AM98" s="53" t="s">
        <v>993</v>
      </c>
      <c r="AN98" s="53">
        <v>2016</v>
      </c>
      <c r="AO98" s="61">
        <v>4</v>
      </c>
    </row>
    <row r="99" spans="1:41" ht="150" x14ac:dyDescent="0.25">
      <c r="A99" s="73"/>
      <c r="B99" s="73"/>
      <c r="C99" s="73"/>
      <c r="D99" s="73"/>
      <c r="E99" s="73"/>
      <c r="F99" s="73"/>
      <c r="G99" s="73"/>
      <c r="H99" s="73"/>
      <c r="I99" s="73"/>
      <c r="J99" s="73"/>
      <c r="K99" s="73"/>
      <c r="L99" s="73"/>
      <c r="M99" s="73"/>
      <c r="N99" s="73"/>
      <c r="O99" s="73"/>
      <c r="P99" s="73"/>
      <c r="Q99" s="73">
        <v>1</v>
      </c>
      <c r="R99" s="73"/>
      <c r="S99" s="73"/>
      <c r="T99" s="73"/>
      <c r="U99" s="42"/>
      <c r="V99" s="69">
        <v>80</v>
      </c>
      <c r="W99" s="70"/>
      <c r="X99" s="42" t="s">
        <v>1416</v>
      </c>
      <c r="Y99" s="42" t="s">
        <v>1417</v>
      </c>
      <c r="Z99" s="42" t="s">
        <v>1418</v>
      </c>
      <c r="AA99" s="37"/>
      <c r="AB99" s="37"/>
      <c r="AC99" s="37"/>
      <c r="AD99" s="37"/>
      <c r="AE99" s="37"/>
      <c r="AF99" s="37"/>
      <c r="AG99" s="37"/>
      <c r="AH99" s="37"/>
      <c r="AI99" s="37"/>
      <c r="AJ99" s="37"/>
      <c r="AK99" s="37"/>
      <c r="AL99" s="42" t="s">
        <v>310</v>
      </c>
      <c r="AM99" s="53" t="s">
        <v>993</v>
      </c>
      <c r="AN99" s="53">
        <v>2017</v>
      </c>
      <c r="AO99" s="61">
        <v>1</v>
      </c>
    </row>
    <row r="100" spans="1:41" ht="135" x14ac:dyDescent="0.25">
      <c r="A100" s="37"/>
      <c r="B100" s="37"/>
      <c r="C100" s="37"/>
      <c r="D100" s="37"/>
      <c r="E100" s="37"/>
      <c r="F100" s="37"/>
      <c r="G100" s="37"/>
      <c r="H100" s="37"/>
      <c r="I100" s="37"/>
      <c r="J100" s="37"/>
      <c r="K100" s="37"/>
      <c r="L100" s="37"/>
      <c r="M100" s="37"/>
      <c r="N100" s="37"/>
      <c r="O100" s="37"/>
      <c r="P100" s="37"/>
      <c r="Q100" s="37">
        <v>3</v>
      </c>
      <c r="R100" s="73"/>
      <c r="S100" s="73"/>
      <c r="T100" s="73"/>
      <c r="U100" s="42"/>
      <c r="V100" s="69">
        <v>81</v>
      </c>
      <c r="W100" s="71"/>
      <c r="X100" s="42" t="s">
        <v>1419</v>
      </c>
      <c r="Y100" s="42" t="s">
        <v>1420</v>
      </c>
      <c r="Z100" s="42" t="s">
        <v>1421</v>
      </c>
      <c r="AA100" s="37"/>
      <c r="AB100" s="37"/>
      <c r="AC100" s="37"/>
      <c r="AD100" s="37"/>
      <c r="AE100" s="37"/>
      <c r="AF100" s="37"/>
      <c r="AG100" s="37"/>
      <c r="AH100" s="37"/>
      <c r="AI100" s="37"/>
      <c r="AJ100" s="37"/>
      <c r="AK100" s="37"/>
      <c r="AL100" s="42" t="s">
        <v>310</v>
      </c>
      <c r="AM100" s="53" t="s">
        <v>993</v>
      </c>
      <c r="AN100" s="53">
        <v>2012</v>
      </c>
      <c r="AO100" s="61">
        <v>5</v>
      </c>
    </row>
    <row r="101" spans="1:41" ht="165" x14ac:dyDescent="0.25">
      <c r="A101" s="37"/>
      <c r="B101" s="37"/>
      <c r="C101" s="37"/>
      <c r="D101" s="37"/>
      <c r="E101" s="37"/>
      <c r="F101" s="37"/>
      <c r="G101" s="37"/>
      <c r="H101" s="37"/>
      <c r="I101" s="37"/>
      <c r="J101" s="37"/>
      <c r="K101" s="37"/>
      <c r="L101" s="37"/>
      <c r="M101" s="37"/>
      <c r="N101" s="37"/>
      <c r="O101" s="37"/>
      <c r="P101" s="37"/>
      <c r="Q101" s="37">
        <v>2</v>
      </c>
      <c r="R101" s="73"/>
      <c r="S101" s="73"/>
      <c r="T101" s="73"/>
      <c r="U101" s="42"/>
      <c r="V101" s="69">
        <v>82</v>
      </c>
      <c r="W101" s="71"/>
      <c r="X101" s="42" t="s">
        <v>1422</v>
      </c>
      <c r="Y101" s="42" t="s">
        <v>1423</v>
      </c>
      <c r="Z101" s="42" t="s">
        <v>1424</v>
      </c>
      <c r="AA101" s="37"/>
      <c r="AB101" s="37"/>
      <c r="AC101" s="37"/>
      <c r="AD101" s="37"/>
      <c r="AE101" s="37"/>
      <c r="AF101" s="37"/>
      <c r="AG101" s="37"/>
      <c r="AH101" s="37"/>
      <c r="AI101" s="37"/>
      <c r="AJ101" s="37"/>
      <c r="AK101" s="37"/>
      <c r="AL101" s="42" t="s">
        <v>310</v>
      </c>
      <c r="AM101" s="53" t="s">
        <v>993</v>
      </c>
      <c r="AN101" s="53">
        <v>2008</v>
      </c>
      <c r="AO101" s="53">
        <v>24</v>
      </c>
    </row>
    <row r="102" spans="1:41" ht="90" x14ac:dyDescent="0.25">
      <c r="A102" s="37"/>
      <c r="B102" s="37"/>
      <c r="C102" s="37"/>
      <c r="D102" s="37"/>
      <c r="E102" s="37"/>
      <c r="F102" s="37"/>
      <c r="G102" s="37"/>
      <c r="H102" s="37"/>
      <c r="I102" s="37"/>
      <c r="J102" s="37"/>
      <c r="K102" s="37"/>
      <c r="L102" s="37"/>
      <c r="M102" s="37"/>
      <c r="N102" s="37"/>
      <c r="O102" s="37"/>
      <c r="P102" s="37"/>
      <c r="Q102" s="37">
        <v>3</v>
      </c>
      <c r="R102" s="73"/>
      <c r="S102" s="73"/>
      <c r="T102" s="73"/>
      <c r="U102" s="42"/>
      <c r="V102" s="69">
        <v>84</v>
      </c>
      <c r="W102" s="71"/>
      <c r="X102" s="42" t="s">
        <v>1425</v>
      </c>
      <c r="Y102" s="42"/>
      <c r="Z102" s="42" t="s">
        <v>1426</v>
      </c>
      <c r="AA102" s="37"/>
      <c r="AB102" s="37"/>
      <c r="AC102" s="37"/>
      <c r="AD102" s="37"/>
      <c r="AE102" s="37"/>
      <c r="AF102" s="37"/>
      <c r="AG102" s="37"/>
      <c r="AH102" s="37"/>
      <c r="AI102" s="37"/>
      <c r="AJ102" s="37"/>
      <c r="AK102" s="37"/>
      <c r="AL102" s="42" t="s">
        <v>310</v>
      </c>
      <c r="AM102" s="53" t="s">
        <v>993</v>
      </c>
      <c r="AN102" s="53">
        <v>2015</v>
      </c>
      <c r="AO102" s="61">
        <v>0</v>
      </c>
    </row>
    <row r="103" spans="1:41" ht="165" x14ac:dyDescent="0.25">
      <c r="A103" s="37"/>
      <c r="B103" s="37"/>
      <c r="C103" s="37"/>
      <c r="D103" s="37"/>
      <c r="E103" s="37"/>
      <c r="F103" s="37"/>
      <c r="G103" s="37"/>
      <c r="H103" s="37"/>
      <c r="I103" s="37"/>
      <c r="J103" s="37"/>
      <c r="K103" s="37"/>
      <c r="L103" s="37"/>
      <c r="M103" s="37"/>
      <c r="N103" s="37"/>
      <c r="O103" s="37"/>
      <c r="P103" s="37"/>
      <c r="Q103" s="37">
        <v>2</v>
      </c>
      <c r="R103" s="73"/>
      <c r="S103" s="73"/>
      <c r="T103" s="73"/>
      <c r="U103" s="42"/>
      <c r="V103" s="69">
        <v>85</v>
      </c>
      <c r="W103" s="71"/>
      <c r="X103" s="42" t="s">
        <v>1427</v>
      </c>
      <c r="Y103" s="42" t="s">
        <v>1428</v>
      </c>
      <c r="Z103" s="42" t="s">
        <v>1429</v>
      </c>
      <c r="AA103" s="37"/>
      <c r="AB103" s="37"/>
      <c r="AC103" s="37"/>
      <c r="AD103" s="37"/>
      <c r="AE103" s="37"/>
      <c r="AF103" s="37"/>
      <c r="AG103" s="37"/>
      <c r="AH103" s="37"/>
      <c r="AI103" s="37"/>
      <c r="AJ103" s="37"/>
      <c r="AK103" s="37"/>
      <c r="AL103" s="42" t="s">
        <v>316</v>
      </c>
      <c r="AM103" s="53" t="s">
        <v>993</v>
      </c>
      <c r="AN103" s="53">
        <v>2018</v>
      </c>
      <c r="AO103" s="61">
        <v>0</v>
      </c>
    </row>
    <row r="104" spans="1:41" ht="135" x14ac:dyDescent="0.25">
      <c r="A104" s="37"/>
      <c r="B104" s="37"/>
      <c r="C104" s="37"/>
      <c r="D104" s="37"/>
      <c r="E104" s="37"/>
      <c r="F104" s="37"/>
      <c r="G104" s="37"/>
      <c r="H104" s="37"/>
      <c r="I104" s="37"/>
      <c r="J104" s="37"/>
      <c r="K104" s="37"/>
      <c r="L104" s="37"/>
      <c r="M104" s="37"/>
      <c r="N104" s="37"/>
      <c r="O104" s="37"/>
      <c r="P104" s="37"/>
      <c r="Q104" s="37">
        <v>3</v>
      </c>
      <c r="R104" s="73"/>
      <c r="S104" s="73"/>
      <c r="T104" s="73"/>
      <c r="U104" s="42"/>
      <c r="V104" s="69">
        <v>87</v>
      </c>
      <c r="W104" s="71"/>
      <c r="X104" s="42" t="s">
        <v>1430</v>
      </c>
      <c r="Y104" s="42" t="s">
        <v>1431</v>
      </c>
      <c r="Z104" s="42" t="s">
        <v>1432</v>
      </c>
      <c r="AA104" s="37"/>
      <c r="AB104" s="37"/>
      <c r="AC104" s="37"/>
      <c r="AD104" s="37"/>
      <c r="AE104" s="37"/>
      <c r="AF104" s="37"/>
      <c r="AG104" s="37"/>
      <c r="AH104" s="37"/>
      <c r="AI104" s="37"/>
      <c r="AJ104" s="37"/>
      <c r="AK104" s="37"/>
      <c r="AL104" s="42" t="s">
        <v>316</v>
      </c>
      <c r="AM104" s="53" t="s">
        <v>993</v>
      </c>
      <c r="AN104" s="53">
        <v>2018</v>
      </c>
      <c r="AO104" s="61">
        <v>0</v>
      </c>
    </row>
    <row r="105" spans="1:41" ht="300" x14ac:dyDescent="0.25">
      <c r="A105" s="37"/>
      <c r="B105" s="37"/>
      <c r="C105" s="37"/>
      <c r="D105" s="37"/>
      <c r="E105" s="37"/>
      <c r="F105" s="37"/>
      <c r="G105" s="37"/>
      <c r="H105" s="37"/>
      <c r="I105" s="37"/>
      <c r="J105" s="37"/>
      <c r="K105" s="37"/>
      <c r="L105" s="37"/>
      <c r="M105" s="37"/>
      <c r="N105" s="37"/>
      <c r="O105" s="37"/>
      <c r="P105" s="37"/>
      <c r="Q105" s="37">
        <v>3</v>
      </c>
      <c r="R105" s="73"/>
      <c r="S105" s="73"/>
      <c r="T105" s="73"/>
      <c r="U105" s="42"/>
      <c r="V105" s="69">
        <v>88</v>
      </c>
      <c r="W105" s="71"/>
      <c r="X105" s="42" t="s">
        <v>1433</v>
      </c>
      <c r="Y105" s="42" t="s">
        <v>1434</v>
      </c>
      <c r="Z105" s="42" t="s">
        <v>1435</v>
      </c>
      <c r="AA105" s="37"/>
      <c r="AB105" s="37"/>
      <c r="AC105" s="37"/>
      <c r="AD105" s="37"/>
      <c r="AE105" s="37"/>
      <c r="AF105" s="37"/>
      <c r="AG105" s="37"/>
      <c r="AH105" s="37"/>
      <c r="AI105" s="37"/>
      <c r="AJ105" s="37"/>
      <c r="AK105" s="37"/>
      <c r="AL105" s="42" t="s">
        <v>302</v>
      </c>
      <c r="AM105" s="53" t="s">
        <v>993</v>
      </c>
      <c r="AN105" s="53">
        <v>2006</v>
      </c>
      <c r="AO105" s="61">
        <v>8</v>
      </c>
    </row>
    <row r="106" spans="1:41" ht="165" x14ac:dyDescent="0.25">
      <c r="A106" s="37"/>
      <c r="B106" s="37"/>
      <c r="C106" s="37"/>
      <c r="D106" s="37"/>
      <c r="E106" s="37"/>
      <c r="F106" s="37"/>
      <c r="G106" s="37"/>
      <c r="H106" s="37"/>
      <c r="I106" s="37"/>
      <c r="J106" s="37"/>
      <c r="K106" s="37"/>
      <c r="L106" s="37"/>
      <c r="M106" s="37"/>
      <c r="N106" s="37"/>
      <c r="O106" s="37"/>
      <c r="P106" s="37"/>
      <c r="Q106" s="37">
        <v>2</v>
      </c>
      <c r="R106" s="73"/>
      <c r="S106" s="73"/>
      <c r="T106" s="73"/>
      <c r="U106" s="42"/>
      <c r="V106" s="69">
        <v>89</v>
      </c>
      <c r="W106" s="71"/>
      <c r="X106" s="42" t="s">
        <v>1436</v>
      </c>
      <c r="Y106" s="42" t="s">
        <v>1437</v>
      </c>
      <c r="Z106" s="42" t="s">
        <v>1438</v>
      </c>
      <c r="AA106" s="37"/>
      <c r="AB106" s="37"/>
      <c r="AC106" s="37"/>
      <c r="AD106" s="37"/>
      <c r="AE106" s="37"/>
      <c r="AF106" s="37"/>
      <c r="AG106" s="37"/>
      <c r="AH106" s="37"/>
      <c r="AI106" s="37"/>
      <c r="AJ106" s="37"/>
      <c r="AK106" s="37"/>
      <c r="AL106" s="42" t="s">
        <v>302</v>
      </c>
      <c r="AM106" s="53" t="s">
        <v>993</v>
      </c>
      <c r="AN106" s="53">
        <v>2018</v>
      </c>
      <c r="AO106" s="61">
        <v>1</v>
      </c>
    </row>
    <row r="107" spans="1:41" ht="165" x14ac:dyDescent="0.25">
      <c r="A107" s="37"/>
      <c r="B107" s="37"/>
      <c r="C107" s="37"/>
      <c r="D107" s="37"/>
      <c r="E107" s="37"/>
      <c r="F107" s="37"/>
      <c r="G107" s="37"/>
      <c r="H107" s="37"/>
      <c r="I107" s="37"/>
      <c r="J107" s="37"/>
      <c r="K107" s="37"/>
      <c r="L107" s="37"/>
      <c r="M107" s="37"/>
      <c r="N107" s="37"/>
      <c r="O107" s="37"/>
      <c r="P107" s="37"/>
      <c r="Q107" s="37">
        <v>2</v>
      </c>
      <c r="R107" s="73"/>
      <c r="S107" s="73"/>
      <c r="T107" s="73"/>
      <c r="U107" s="42"/>
      <c r="V107" s="69">
        <v>90</v>
      </c>
      <c r="W107" s="71"/>
      <c r="X107" s="42" t="s">
        <v>1439</v>
      </c>
      <c r="Y107" s="42" t="s">
        <v>1440</v>
      </c>
      <c r="Z107" s="42" t="s">
        <v>1441</v>
      </c>
      <c r="AA107" s="37"/>
      <c r="AB107" s="37"/>
      <c r="AC107" s="37"/>
      <c r="AD107" s="37"/>
      <c r="AE107" s="37"/>
      <c r="AF107" s="37"/>
      <c r="AG107" s="37"/>
      <c r="AH107" s="37"/>
      <c r="AI107" s="37"/>
      <c r="AJ107" s="37"/>
      <c r="AK107" s="37"/>
      <c r="AL107" s="42" t="s">
        <v>302</v>
      </c>
      <c r="AM107" s="53" t="s">
        <v>993</v>
      </c>
      <c r="AN107" s="53">
        <v>2009</v>
      </c>
      <c r="AO107" s="61">
        <v>2</v>
      </c>
    </row>
    <row r="108" spans="1:41" ht="255" x14ac:dyDescent="0.25">
      <c r="A108" s="37"/>
      <c r="B108" s="37"/>
      <c r="C108" s="37"/>
      <c r="D108" s="37"/>
      <c r="E108" s="37"/>
      <c r="F108" s="37"/>
      <c r="G108" s="37"/>
      <c r="H108" s="37"/>
      <c r="I108" s="37"/>
      <c r="J108" s="37"/>
      <c r="K108" s="37"/>
      <c r="L108" s="37"/>
      <c r="M108" s="37"/>
      <c r="N108" s="37"/>
      <c r="O108" s="37"/>
      <c r="P108" s="37"/>
      <c r="Q108" s="37">
        <v>3</v>
      </c>
      <c r="R108" s="73"/>
      <c r="S108" s="73"/>
      <c r="T108" s="73"/>
      <c r="U108" s="42"/>
      <c r="V108" s="69">
        <v>91</v>
      </c>
      <c r="W108" s="71"/>
      <c r="X108" s="42" t="s">
        <v>1442</v>
      </c>
      <c r="Y108" s="42" t="s">
        <v>1443</v>
      </c>
      <c r="Z108" s="42" t="s">
        <v>1444</v>
      </c>
      <c r="AA108" s="37"/>
      <c r="AB108" s="37"/>
      <c r="AC108" s="37"/>
      <c r="AD108" s="37"/>
      <c r="AE108" s="37"/>
      <c r="AF108" s="37"/>
      <c r="AG108" s="37"/>
      <c r="AH108" s="37"/>
      <c r="AI108" s="37"/>
      <c r="AJ108" s="37"/>
      <c r="AK108" s="37"/>
      <c r="AL108" s="42" t="s">
        <v>302</v>
      </c>
      <c r="AM108" s="53" t="s">
        <v>993</v>
      </c>
      <c r="AN108" s="53">
        <v>2017</v>
      </c>
      <c r="AO108" s="61">
        <v>1</v>
      </c>
    </row>
    <row r="109" spans="1:41" ht="150" x14ac:dyDescent="0.25">
      <c r="A109" s="73"/>
      <c r="B109" s="73"/>
      <c r="C109" s="73"/>
      <c r="D109" s="73"/>
      <c r="E109" s="73"/>
      <c r="F109" s="73"/>
      <c r="G109" s="73"/>
      <c r="H109" s="73"/>
      <c r="I109" s="73"/>
      <c r="J109" s="73"/>
      <c r="K109" s="73"/>
      <c r="L109" s="73"/>
      <c r="M109" s="73"/>
      <c r="N109" s="73"/>
      <c r="O109" s="73"/>
      <c r="P109" s="73"/>
      <c r="Q109" s="73">
        <v>1</v>
      </c>
      <c r="R109" s="73"/>
      <c r="S109" s="73"/>
      <c r="T109" s="73"/>
      <c r="U109" s="42"/>
      <c r="V109" s="69">
        <v>92</v>
      </c>
      <c r="W109" s="70"/>
      <c r="X109" s="42" t="s">
        <v>1445</v>
      </c>
      <c r="Y109" s="42" t="s">
        <v>1446</v>
      </c>
      <c r="Z109" s="42" t="s">
        <v>1447</v>
      </c>
      <c r="AA109" s="37"/>
      <c r="AB109" s="37"/>
      <c r="AC109" s="37"/>
      <c r="AD109" s="37"/>
      <c r="AE109" s="37"/>
      <c r="AF109" s="37"/>
      <c r="AG109" s="37"/>
      <c r="AH109" s="37"/>
      <c r="AI109" s="37"/>
      <c r="AJ109" s="37"/>
      <c r="AK109" s="37"/>
      <c r="AL109" s="42" t="s">
        <v>302</v>
      </c>
      <c r="AM109" s="53" t="s">
        <v>993</v>
      </c>
      <c r="AN109" s="53">
        <v>2009</v>
      </c>
      <c r="AO109" s="53">
        <v>15</v>
      </c>
    </row>
    <row r="110" spans="1:41" ht="120" x14ac:dyDescent="0.25">
      <c r="A110" s="37"/>
      <c r="B110" s="37"/>
      <c r="C110" s="37"/>
      <c r="D110" s="37"/>
      <c r="E110" s="37"/>
      <c r="F110" s="37"/>
      <c r="G110" s="37"/>
      <c r="H110" s="37"/>
      <c r="I110" s="37"/>
      <c r="J110" s="37"/>
      <c r="K110" s="37"/>
      <c r="L110" s="37"/>
      <c r="M110" s="37"/>
      <c r="N110" s="37"/>
      <c r="O110" s="37"/>
      <c r="P110" s="37"/>
      <c r="Q110" s="37">
        <v>2</v>
      </c>
      <c r="R110" s="73"/>
      <c r="S110" s="73"/>
      <c r="T110" s="73"/>
      <c r="U110" s="42"/>
      <c r="V110" s="69">
        <v>93</v>
      </c>
      <c r="W110" s="71"/>
      <c r="X110" s="42" t="s">
        <v>1448</v>
      </c>
      <c r="Y110" s="42" t="s">
        <v>1449</v>
      </c>
      <c r="Z110" s="42" t="s">
        <v>1450</v>
      </c>
      <c r="AA110" s="37"/>
      <c r="AB110" s="37"/>
      <c r="AC110" s="37"/>
      <c r="AD110" s="37"/>
      <c r="AE110" s="37"/>
      <c r="AF110" s="37"/>
      <c r="AG110" s="37"/>
      <c r="AH110" s="37"/>
      <c r="AI110" s="37"/>
      <c r="AJ110" s="37"/>
      <c r="AK110" s="37"/>
      <c r="AL110" s="42" t="s">
        <v>302</v>
      </c>
      <c r="AM110" s="53" t="s">
        <v>993</v>
      </c>
      <c r="AN110" s="53">
        <v>2008</v>
      </c>
      <c r="AO110" s="53">
        <v>50</v>
      </c>
    </row>
    <row r="111" spans="1:41" ht="180" x14ac:dyDescent="0.25">
      <c r="A111" s="37"/>
      <c r="B111" s="37"/>
      <c r="C111" s="37"/>
      <c r="D111" s="37"/>
      <c r="E111" s="37"/>
      <c r="F111" s="37"/>
      <c r="G111" s="37"/>
      <c r="H111" s="37"/>
      <c r="I111" s="37"/>
      <c r="J111" s="37"/>
      <c r="K111" s="37"/>
      <c r="L111" s="37"/>
      <c r="M111" s="37"/>
      <c r="N111" s="37"/>
      <c r="O111" s="37"/>
      <c r="P111" s="37"/>
      <c r="Q111" s="37">
        <v>2</v>
      </c>
      <c r="R111" s="73"/>
      <c r="S111" s="73"/>
      <c r="T111" s="73"/>
      <c r="U111" s="42"/>
      <c r="V111" s="69">
        <v>94</v>
      </c>
      <c r="W111" s="71"/>
      <c r="X111" s="42" t="s">
        <v>1451</v>
      </c>
      <c r="Y111" s="42" t="s">
        <v>1452</v>
      </c>
      <c r="Z111" s="42" t="s">
        <v>1453</v>
      </c>
      <c r="AA111" s="37"/>
      <c r="AB111" s="37"/>
      <c r="AC111" s="37"/>
      <c r="AD111" s="37"/>
      <c r="AE111" s="37"/>
      <c r="AF111" s="37"/>
      <c r="AG111" s="37"/>
      <c r="AH111" s="37"/>
      <c r="AI111" s="37"/>
      <c r="AJ111" s="37"/>
      <c r="AK111" s="37"/>
      <c r="AL111" s="42" t="s">
        <v>302</v>
      </c>
      <c r="AM111" s="53" t="s">
        <v>993</v>
      </c>
      <c r="AN111" s="53">
        <v>2018</v>
      </c>
      <c r="AO111" s="61">
        <v>1</v>
      </c>
    </row>
    <row r="112" spans="1:41" ht="180" x14ac:dyDescent="0.25">
      <c r="A112" s="73"/>
      <c r="B112" s="73"/>
      <c r="C112" s="73"/>
      <c r="D112" s="73"/>
      <c r="E112" s="73"/>
      <c r="F112" s="73"/>
      <c r="G112" s="73"/>
      <c r="H112" s="73"/>
      <c r="I112" s="73"/>
      <c r="J112" s="73"/>
      <c r="K112" s="73"/>
      <c r="L112" s="73"/>
      <c r="M112" s="73"/>
      <c r="N112" s="73"/>
      <c r="O112" s="73"/>
      <c r="P112" s="73"/>
      <c r="Q112" s="73">
        <v>1</v>
      </c>
      <c r="R112" s="73"/>
      <c r="S112" s="73"/>
      <c r="T112" s="73"/>
      <c r="U112" s="42"/>
      <c r="V112" s="69">
        <v>95</v>
      </c>
      <c r="W112" s="70"/>
      <c r="X112" s="42" t="s">
        <v>1454</v>
      </c>
      <c r="Y112" s="42" t="s">
        <v>1455</v>
      </c>
      <c r="Z112" s="42" t="s">
        <v>1456</v>
      </c>
      <c r="AA112" s="37"/>
      <c r="AB112" s="37"/>
      <c r="AC112" s="37"/>
      <c r="AD112" s="37"/>
      <c r="AE112" s="37"/>
      <c r="AF112" s="37"/>
      <c r="AG112" s="37"/>
      <c r="AH112" s="37"/>
      <c r="AI112" s="37"/>
      <c r="AJ112" s="37"/>
      <c r="AK112" s="37"/>
      <c r="AL112" s="42" t="s">
        <v>302</v>
      </c>
      <c r="AM112" s="53" t="s">
        <v>993</v>
      </c>
      <c r="AN112" s="53">
        <v>2018</v>
      </c>
      <c r="AO112" s="61">
        <v>0</v>
      </c>
    </row>
    <row r="113" spans="1:41" ht="150" x14ac:dyDescent="0.25">
      <c r="A113" s="37"/>
      <c r="B113" s="37"/>
      <c r="C113" s="37"/>
      <c r="D113" s="37"/>
      <c r="E113" s="37"/>
      <c r="F113" s="37"/>
      <c r="G113" s="37"/>
      <c r="H113" s="37"/>
      <c r="I113" s="37"/>
      <c r="J113" s="37"/>
      <c r="K113" s="37"/>
      <c r="L113" s="37"/>
      <c r="M113" s="37"/>
      <c r="N113" s="37"/>
      <c r="O113" s="37"/>
      <c r="P113" s="37"/>
      <c r="Q113" s="37">
        <v>2</v>
      </c>
      <c r="R113" s="73"/>
      <c r="S113" s="73"/>
      <c r="T113" s="73"/>
      <c r="U113" s="42"/>
      <c r="V113" s="69">
        <v>96</v>
      </c>
      <c r="W113" s="71"/>
      <c r="X113" s="42" t="s">
        <v>1457</v>
      </c>
      <c r="Y113" s="42" t="s">
        <v>1458</v>
      </c>
      <c r="Z113" s="42" t="s">
        <v>1459</v>
      </c>
      <c r="AA113" s="37"/>
      <c r="AB113" s="37"/>
      <c r="AC113" s="37"/>
      <c r="AD113" s="37"/>
      <c r="AE113" s="37"/>
      <c r="AF113" s="37"/>
      <c r="AG113" s="37"/>
      <c r="AH113" s="37"/>
      <c r="AI113" s="37"/>
      <c r="AJ113" s="37"/>
      <c r="AK113" s="37"/>
      <c r="AL113" s="42" t="s">
        <v>302</v>
      </c>
      <c r="AM113" s="53" t="s">
        <v>993</v>
      </c>
      <c r="AN113" s="53">
        <v>2007</v>
      </c>
      <c r="AO113" s="53">
        <v>321</v>
      </c>
    </row>
    <row r="114" spans="1:41" ht="210" x14ac:dyDescent="0.25">
      <c r="A114" s="37"/>
      <c r="B114" s="37"/>
      <c r="C114" s="37"/>
      <c r="D114" s="37"/>
      <c r="E114" s="37"/>
      <c r="F114" s="37"/>
      <c r="G114" s="37"/>
      <c r="H114" s="37"/>
      <c r="I114" s="37"/>
      <c r="J114" s="37"/>
      <c r="K114" s="37"/>
      <c r="L114" s="37"/>
      <c r="M114" s="37"/>
      <c r="N114" s="37"/>
      <c r="O114" s="37"/>
      <c r="P114" s="37"/>
      <c r="Q114" s="37">
        <v>3</v>
      </c>
      <c r="R114" s="73"/>
      <c r="S114" s="73"/>
      <c r="T114" s="73"/>
      <c r="U114" s="42"/>
      <c r="V114" s="69">
        <v>97</v>
      </c>
      <c r="W114" s="71"/>
      <c r="X114" s="42" t="s">
        <v>1460</v>
      </c>
      <c r="Y114" s="42" t="s">
        <v>1461</v>
      </c>
      <c r="Z114" s="42" t="s">
        <v>1462</v>
      </c>
      <c r="AA114" s="37"/>
      <c r="AB114" s="37"/>
      <c r="AC114" s="37"/>
      <c r="AD114" s="37"/>
      <c r="AE114" s="37"/>
      <c r="AF114" s="37"/>
      <c r="AG114" s="37"/>
      <c r="AH114" s="37"/>
      <c r="AI114" s="37"/>
      <c r="AJ114" s="37"/>
      <c r="AK114" s="37"/>
      <c r="AL114" s="42" t="s">
        <v>302</v>
      </c>
      <c r="AM114" s="53" t="s">
        <v>993</v>
      </c>
      <c r="AN114" s="53">
        <v>2017</v>
      </c>
      <c r="AO114" s="61">
        <v>4</v>
      </c>
    </row>
    <row r="115" spans="1:41" ht="240" x14ac:dyDescent="0.25">
      <c r="A115" s="37"/>
      <c r="B115" s="37"/>
      <c r="C115" s="37"/>
      <c r="D115" s="37"/>
      <c r="E115" s="37"/>
      <c r="F115" s="37"/>
      <c r="G115" s="37"/>
      <c r="H115" s="37"/>
      <c r="I115" s="37"/>
      <c r="J115" s="37"/>
      <c r="K115" s="37"/>
      <c r="L115" s="37"/>
      <c r="M115" s="37"/>
      <c r="N115" s="37"/>
      <c r="O115" s="37"/>
      <c r="P115" s="37"/>
      <c r="Q115" s="37">
        <v>2</v>
      </c>
      <c r="R115" s="73"/>
      <c r="S115" s="73"/>
      <c r="T115" s="73"/>
      <c r="U115" s="42"/>
      <c r="V115" s="69">
        <v>99</v>
      </c>
      <c r="W115" s="71"/>
      <c r="X115" s="42" t="s">
        <v>1463</v>
      </c>
      <c r="Y115" s="42" t="s">
        <v>1464</v>
      </c>
      <c r="Z115" s="42" t="s">
        <v>1465</v>
      </c>
      <c r="AA115" s="37"/>
      <c r="AB115" s="37"/>
      <c r="AC115" s="37"/>
      <c r="AD115" s="37"/>
      <c r="AE115" s="37"/>
      <c r="AF115" s="37"/>
      <c r="AG115" s="37"/>
      <c r="AH115" s="37"/>
      <c r="AI115" s="37"/>
      <c r="AJ115" s="37"/>
      <c r="AK115" s="37"/>
      <c r="AL115" s="42" t="s">
        <v>302</v>
      </c>
      <c r="AM115" s="53" t="s">
        <v>993</v>
      </c>
      <c r="AN115" s="53">
        <v>2017</v>
      </c>
      <c r="AO115" s="61">
        <v>7</v>
      </c>
    </row>
    <row r="116" spans="1:41" ht="225" x14ac:dyDescent="0.25">
      <c r="A116" s="37"/>
      <c r="B116" s="37"/>
      <c r="C116" s="37"/>
      <c r="D116" s="37"/>
      <c r="E116" s="37"/>
      <c r="F116" s="37"/>
      <c r="G116" s="37"/>
      <c r="H116" s="37"/>
      <c r="I116" s="37"/>
      <c r="J116" s="37"/>
      <c r="K116" s="37"/>
      <c r="L116" s="37"/>
      <c r="M116" s="37"/>
      <c r="N116" s="37"/>
      <c r="O116" s="37"/>
      <c r="P116" s="37"/>
      <c r="Q116" s="37">
        <v>2</v>
      </c>
      <c r="R116" s="73"/>
      <c r="S116" s="73"/>
      <c r="T116" s="73"/>
      <c r="U116" s="42"/>
      <c r="V116" s="69">
        <v>100</v>
      </c>
      <c r="W116" s="71"/>
      <c r="X116" s="42" t="s">
        <v>1466</v>
      </c>
      <c r="Y116" s="42" t="s">
        <v>1467</v>
      </c>
      <c r="Z116" s="42" t="s">
        <v>1468</v>
      </c>
      <c r="AA116" s="37"/>
      <c r="AB116" s="37"/>
      <c r="AC116" s="37"/>
      <c r="AD116" s="37"/>
      <c r="AE116" s="37"/>
      <c r="AF116" s="37"/>
      <c r="AG116" s="37"/>
      <c r="AH116" s="37"/>
      <c r="AI116" s="37"/>
      <c r="AJ116" s="37"/>
      <c r="AK116" s="37"/>
      <c r="AL116" s="42" t="s">
        <v>302</v>
      </c>
      <c r="AM116" s="53" t="s">
        <v>993</v>
      </c>
      <c r="AN116" s="53">
        <v>2007</v>
      </c>
      <c r="AO116" s="53">
        <v>20</v>
      </c>
    </row>
    <row r="117" spans="1:41" ht="180" x14ac:dyDescent="0.25">
      <c r="A117" s="37"/>
      <c r="B117" s="37"/>
      <c r="C117" s="37"/>
      <c r="D117" s="37"/>
      <c r="E117" s="37"/>
      <c r="F117" s="37"/>
      <c r="G117" s="37"/>
      <c r="H117" s="37"/>
      <c r="I117" s="37"/>
      <c r="J117" s="37"/>
      <c r="K117" s="37"/>
      <c r="L117" s="37"/>
      <c r="M117" s="37"/>
      <c r="N117" s="37"/>
      <c r="O117" s="37"/>
      <c r="P117" s="37"/>
      <c r="Q117" s="37">
        <v>3</v>
      </c>
      <c r="R117" s="73"/>
      <c r="S117" s="73"/>
      <c r="T117" s="73"/>
      <c r="U117" s="42"/>
      <c r="V117" s="69">
        <v>101</v>
      </c>
      <c r="W117" s="71"/>
      <c r="X117" s="42" t="s">
        <v>1469</v>
      </c>
      <c r="Y117" s="42" t="s">
        <v>1470</v>
      </c>
      <c r="Z117" s="42" t="s">
        <v>1471</v>
      </c>
      <c r="AA117" s="37"/>
      <c r="AB117" s="37"/>
      <c r="AC117" s="37"/>
      <c r="AD117" s="37"/>
      <c r="AE117" s="37"/>
      <c r="AF117" s="37"/>
      <c r="AG117" s="37"/>
      <c r="AH117" s="37"/>
      <c r="AI117" s="37"/>
      <c r="AJ117" s="37"/>
      <c r="AK117" s="37"/>
      <c r="AL117" s="42" t="s">
        <v>302</v>
      </c>
      <c r="AM117" s="53" t="s">
        <v>993</v>
      </c>
      <c r="AN117" s="53">
        <v>2001</v>
      </c>
      <c r="AO117" s="53">
        <v>26</v>
      </c>
    </row>
    <row r="118" spans="1:41" ht="210" x14ac:dyDescent="0.25">
      <c r="A118" s="37"/>
      <c r="B118" s="37"/>
      <c r="C118" s="37"/>
      <c r="D118" s="37"/>
      <c r="E118" s="37"/>
      <c r="F118" s="37"/>
      <c r="G118" s="37"/>
      <c r="H118" s="37"/>
      <c r="I118" s="37"/>
      <c r="J118" s="37"/>
      <c r="K118" s="37"/>
      <c r="L118" s="37"/>
      <c r="M118" s="37"/>
      <c r="N118" s="37"/>
      <c r="O118" s="37"/>
      <c r="P118" s="37"/>
      <c r="Q118" s="37">
        <v>2</v>
      </c>
      <c r="R118" s="73"/>
      <c r="S118" s="73"/>
      <c r="T118" s="73"/>
      <c r="U118" s="42"/>
      <c r="V118" s="69">
        <v>102</v>
      </c>
      <c r="W118" s="71"/>
      <c r="X118" s="42" t="s">
        <v>1472</v>
      </c>
      <c r="Y118" s="42" t="s">
        <v>1473</v>
      </c>
      <c r="Z118" s="42" t="s">
        <v>1474</v>
      </c>
      <c r="AA118" s="37"/>
      <c r="AB118" s="37"/>
      <c r="AC118" s="37"/>
      <c r="AD118" s="37"/>
      <c r="AE118" s="37"/>
      <c r="AF118" s="37"/>
      <c r="AG118" s="37"/>
      <c r="AH118" s="37"/>
      <c r="AI118" s="37"/>
      <c r="AJ118" s="37"/>
      <c r="AK118" s="37"/>
      <c r="AL118" s="42" t="s">
        <v>302</v>
      </c>
      <c r="AM118" s="53" t="s">
        <v>993</v>
      </c>
      <c r="AN118" s="53">
        <v>2016</v>
      </c>
      <c r="AO118" s="61">
        <v>3</v>
      </c>
    </row>
    <row r="119" spans="1:41" ht="255" x14ac:dyDescent="0.25">
      <c r="A119" s="73"/>
      <c r="B119" s="73"/>
      <c r="C119" s="73"/>
      <c r="D119" s="73"/>
      <c r="E119" s="73"/>
      <c r="F119" s="73"/>
      <c r="G119" s="73"/>
      <c r="H119" s="73"/>
      <c r="I119" s="73"/>
      <c r="J119" s="73"/>
      <c r="K119" s="73"/>
      <c r="L119" s="73"/>
      <c r="M119" s="73"/>
      <c r="N119" s="73"/>
      <c r="O119" s="73"/>
      <c r="P119" s="73"/>
      <c r="Q119" s="73">
        <v>1</v>
      </c>
      <c r="R119" s="73"/>
      <c r="S119" s="73"/>
      <c r="T119" s="73"/>
      <c r="U119" s="42"/>
      <c r="V119" s="69">
        <v>103</v>
      </c>
      <c r="W119" s="70"/>
      <c r="X119" s="42" t="s">
        <v>1475</v>
      </c>
      <c r="Y119" s="42" t="s">
        <v>1476</v>
      </c>
      <c r="Z119" s="42" t="s">
        <v>1477</v>
      </c>
      <c r="AA119" s="37"/>
      <c r="AB119" s="37"/>
      <c r="AC119" s="37"/>
      <c r="AD119" s="37"/>
      <c r="AE119" s="37"/>
      <c r="AF119" s="37"/>
      <c r="AG119" s="37"/>
      <c r="AH119" s="37"/>
      <c r="AI119" s="37"/>
      <c r="AJ119" s="37"/>
      <c r="AK119" s="37"/>
      <c r="AL119" s="42" t="s">
        <v>302</v>
      </c>
      <c r="AM119" s="53" t="s">
        <v>993</v>
      </c>
      <c r="AN119" s="53">
        <v>2016</v>
      </c>
      <c r="AO119" s="53">
        <v>20</v>
      </c>
    </row>
    <row r="120" spans="1:41" ht="150" x14ac:dyDescent="0.25">
      <c r="A120" s="73"/>
      <c r="B120" s="73"/>
      <c r="C120" s="73"/>
      <c r="D120" s="73"/>
      <c r="E120" s="73"/>
      <c r="F120" s="73"/>
      <c r="G120" s="73"/>
      <c r="H120" s="73"/>
      <c r="I120" s="73"/>
      <c r="J120" s="73"/>
      <c r="K120" s="73"/>
      <c r="L120" s="73"/>
      <c r="M120" s="73"/>
      <c r="N120" s="73"/>
      <c r="O120" s="73"/>
      <c r="P120" s="73"/>
      <c r="Q120" s="73">
        <v>2</v>
      </c>
      <c r="R120" s="73"/>
      <c r="S120" s="73"/>
      <c r="T120" s="73"/>
      <c r="U120" s="42"/>
      <c r="V120" s="69">
        <v>104</v>
      </c>
      <c r="W120" s="70"/>
      <c r="X120" s="42" t="s">
        <v>1478</v>
      </c>
      <c r="Y120" s="42" t="s">
        <v>1479</v>
      </c>
      <c r="Z120" s="42" t="s">
        <v>1480</v>
      </c>
      <c r="AA120" s="37"/>
      <c r="AB120" s="37"/>
      <c r="AC120" s="37"/>
      <c r="AD120" s="37"/>
      <c r="AE120" s="37"/>
      <c r="AF120" s="37"/>
      <c r="AG120" s="37"/>
      <c r="AH120" s="37"/>
      <c r="AI120" s="37"/>
      <c r="AJ120" s="37"/>
      <c r="AK120" s="37"/>
      <c r="AL120" s="42" t="s">
        <v>302</v>
      </c>
      <c r="AM120" s="53" t="s">
        <v>993</v>
      </c>
      <c r="AN120" s="53">
        <v>2003</v>
      </c>
      <c r="AO120" s="61">
        <v>86</v>
      </c>
    </row>
    <row r="121" spans="1:41" ht="195" x14ac:dyDescent="0.25">
      <c r="A121" s="42" t="s">
        <v>1481</v>
      </c>
      <c r="B121" s="42" t="s">
        <v>1482</v>
      </c>
      <c r="C121" s="42" t="s">
        <v>1483</v>
      </c>
      <c r="D121" s="42"/>
      <c r="E121" s="42"/>
      <c r="F121" s="42"/>
      <c r="G121" s="42" t="s">
        <v>1484</v>
      </c>
      <c r="H121" s="42"/>
      <c r="I121" s="42"/>
      <c r="J121" s="42" t="s">
        <v>1485</v>
      </c>
      <c r="K121" s="42"/>
      <c r="L121" s="42"/>
      <c r="M121" s="42"/>
      <c r="N121" s="42"/>
      <c r="O121" s="42"/>
      <c r="P121" s="42"/>
      <c r="Q121" s="42">
        <v>2</v>
      </c>
      <c r="R121" s="73" t="s">
        <v>1486</v>
      </c>
      <c r="S121" s="73" t="s">
        <v>1113</v>
      </c>
      <c r="T121" s="73" t="s">
        <v>1487</v>
      </c>
      <c r="U121" s="42"/>
      <c r="V121" s="69">
        <v>105</v>
      </c>
      <c r="W121" s="71"/>
      <c r="X121" s="42" t="s">
        <v>1488</v>
      </c>
      <c r="Y121" s="42" t="s">
        <v>1489</v>
      </c>
      <c r="Z121" s="42" t="s">
        <v>1490</v>
      </c>
      <c r="AA121" s="37"/>
      <c r="AB121" s="37"/>
      <c r="AC121" s="37"/>
      <c r="AD121" s="37"/>
      <c r="AE121" s="37"/>
      <c r="AF121" s="37"/>
      <c r="AG121" s="37"/>
      <c r="AH121" s="37"/>
      <c r="AI121" s="37"/>
      <c r="AJ121" s="37"/>
      <c r="AK121" s="37"/>
      <c r="AL121" s="42" t="s">
        <v>327</v>
      </c>
      <c r="AM121" s="53" t="s">
        <v>993</v>
      </c>
      <c r="AN121" s="53">
        <v>2019</v>
      </c>
      <c r="AO121" s="61">
        <v>0</v>
      </c>
    </row>
    <row r="122" spans="1:41" ht="135" x14ac:dyDescent="0.25">
      <c r="A122" s="37"/>
      <c r="B122" s="37"/>
      <c r="C122" s="37"/>
      <c r="D122" s="37"/>
      <c r="E122" s="37"/>
      <c r="F122" s="37"/>
      <c r="G122" s="37"/>
      <c r="H122" s="37"/>
      <c r="I122" s="37"/>
      <c r="J122" s="37"/>
      <c r="K122" s="37"/>
      <c r="L122" s="37"/>
      <c r="M122" s="37"/>
      <c r="N122" s="37"/>
      <c r="O122" s="37"/>
      <c r="P122" s="37"/>
      <c r="Q122" s="37">
        <v>3</v>
      </c>
      <c r="R122" s="73"/>
      <c r="S122" s="73"/>
      <c r="T122" s="73"/>
      <c r="U122" s="42"/>
      <c r="V122" s="76">
        <v>106</v>
      </c>
      <c r="W122" s="71"/>
      <c r="X122" s="42" t="s">
        <v>1491</v>
      </c>
      <c r="Y122" s="42" t="s">
        <v>1492</v>
      </c>
      <c r="Z122" s="42" t="s">
        <v>1493</v>
      </c>
      <c r="AA122" s="37"/>
      <c r="AB122" s="37"/>
      <c r="AC122" s="37"/>
      <c r="AD122" s="37"/>
      <c r="AE122" s="37"/>
      <c r="AF122" s="37"/>
      <c r="AG122" s="37"/>
      <c r="AH122" s="37"/>
      <c r="AI122" s="37"/>
      <c r="AJ122" s="37"/>
      <c r="AK122" s="37"/>
      <c r="AL122" s="42" t="s">
        <v>329</v>
      </c>
      <c r="AM122" s="53" t="s">
        <v>993</v>
      </c>
      <c r="AN122" s="53">
        <v>2014</v>
      </c>
      <c r="AO122" s="61">
        <v>1</v>
      </c>
    </row>
    <row r="123" spans="1:41" ht="270" x14ac:dyDescent="0.25">
      <c r="A123" s="37"/>
      <c r="B123" s="37"/>
      <c r="C123" s="37"/>
      <c r="D123" s="37"/>
      <c r="E123" s="37"/>
      <c r="F123" s="37"/>
      <c r="G123" s="37"/>
      <c r="H123" s="37"/>
      <c r="I123" s="37"/>
      <c r="J123" s="37"/>
      <c r="K123" s="37"/>
      <c r="L123" s="37"/>
      <c r="M123" s="37"/>
      <c r="N123" s="37"/>
      <c r="O123" s="37"/>
      <c r="P123" s="37"/>
      <c r="Q123" s="37">
        <v>2</v>
      </c>
      <c r="R123" s="73"/>
      <c r="S123" s="73"/>
      <c r="T123" s="73"/>
      <c r="U123" s="42"/>
      <c r="V123" s="69">
        <v>107</v>
      </c>
      <c r="W123" s="71"/>
      <c r="X123" s="42" t="s">
        <v>1494</v>
      </c>
      <c r="Y123" s="42" t="s">
        <v>1495</v>
      </c>
      <c r="Z123" s="42" t="s">
        <v>1496</v>
      </c>
      <c r="AA123" s="37"/>
      <c r="AB123" s="37"/>
      <c r="AC123" s="37"/>
      <c r="AD123" s="37"/>
      <c r="AE123" s="37"/>
      <c r="AF123" s="37"/>
      <c r="AG123" s="37"/>
      <c r="AH123" s="37"/>
      <c r="AI123" s="37"/>
      <c r="AJ123" s="37"/>
      <c r="AK123" s="37"/>
      <c r="AL123" s="42" t="s">
        <v>303</v>
      </c>
      <c r="AM123" s="53" t="s">
        <v>993</v>
      </c>
      <c r="AN123" s="53">
        <v>2010</v>
      </c>
      <c r="AO123" s="61">
        <v>6</v>
      </c>
    </row>
    <row r="124" spans="1:41" ht="195" x14ac:dyDescent="0.25">
      <c r="A124" s="37"/>
      <c r="B124" s="37"/>
      <c r="C124" s="37"/>
      <c r="D124" s="37"/>
      <c r="E124" s="37"/>
      <c r="F124" s="37"/>
      <c r="G124" s="37"/>
      <c r="H124" s="37"/>
      <c r="I124" s="37"/>
      <c r="J124" s="37"/>
      <c r="K124" s="37"/>
      <c r="L124" s="37"/>
      <c r="M124" s="37"/>
      <c r="N124" s="37"/>
      <c r="O124" s="37"/>
      <c r="P124" s="37"/>
      <c r="Q124" s="37">
        <v>2</v>
      </c>
      <c r="R124" s="73"/>
      <c r="S124" s="73"/>
      <c r="T124" s="73"/>
      <c r="U124" s="42"/>
      <c r="V124" s="69">
        <v>108</v>
      </c>
      <c r="W124" s="71"/>
      <c r="X124" s="42" t="s">
        <v>1497</v>
      </c>
      <c r="Y124" s="42" t="s">
        <v>1498</v>
      </c>
      <c r="Z124" s="42" t="s">
        <v>1499</v>
      </c>
      <c r="AA124" s="37"/>
      <c r="AB124" s="37"/>
      <c r="AC124" s="37"/>
      <c r="AD124" s="37"/>
      <c r="AE124" s="37"/>
      <c r="AF124" s="37"/>
      <c r="AG124" s="37"/>
      <c r="AH124" s="37"/>
      <c r="AI124" s="37"/>
      <c r="AJ124" s="37"/>
      <c r="AK124" s="37"/>
      <c r="AL124" s="42" t="s">
        <v>303</v>
      </c>
      <c r="AM124" s="53" t="s">
        <v>993</v>
      </c>
      <c r="AN124" s="53">
        <v>2010</v>
      </c>
      <c r="AO124" s="53">
        <v>65</v>
      </c>
    </row>
    <row r="125" spans="1:41" ht="60" x14ac:dyDescent="0.25">
      <c r="A125" s="37"/>
      <c r="B125" s="37"/>
      <c r="C125" s="37"/>
      <c r="D125" s="37"/>
      <c r="E125" s="37"/>
      <c r="F125" s="37"/>
      <c r="G125" s="37"/>
      <c r="H125" s="37"/>
      <c r="I125" s="37"/>
      <c r="J125" s="37"/>
      <c r="K125" s="37"/>
      <c r="L125" s="37"/>
      <c r="M125" s="37"/>
      <c r="N125" s="37"/>
      <c r="O125" s="37"/>
      <c r="P125" s="37"/>
      <c r="Q125" s="37">
        <v>2</v>
      </c>
      <c r="R125" s="73"/>
      <c r="S125" s="73"/>
      <c r="T125" s="73"/>
      <c r="U125" s="42"/>
      <c r="V125" s="69">
        <v>109</v>
      </c>
      <c r="W125" s="71"/>
      <c r="X125" s="42" t="s">
        <v>1500</v>
      </c>
      <c r="Y125" s="42" t="s">
        <v>1501</v>
      </c>
      <c r="Z125" s="42" t="s">
        <v>1502</v>
      </c>
      <c r="AA125" s="37"/>
      <c r="AB125" s="37"/>
      <c r="AC125" s="37"/>
      <c r="AD125" s="37"/>
      <c r="AE125" s="37"/>
      <c r="AF125" s="37"/>
      <c r="AG125" s="37"/>
      <c r="AH125" s="37"/>
      <c r="AI125" s="37"/>
      <c r="AJ125" s="37"/>
      <c r="AK125" s="37"/>
      <c r="AL125" s="42" t="s">
        <v>303</v>
      </c>
      <c r="AM125" s="53" t="s">
        <v>993</v>
      </c>
      <c r="AN125" s="53">
        <v>2001</v>
      </c>
      <c r="AO125" s="53">
        <v>17</v>
      </c>
    </row>
    <row r="126" spans="1:41" ht="225" x14ac:dyDescent="0.25">
      <c r="A126" s="37"/>
      <c r="B126" s="37"/>
      <c r="C126" s="37"/>
      <c r="D126" s="37"/>
      <c r="E126" s="37"/>
      <c r="F126" s="37"/>
      <c r="G126" s="37"/>
      <c r="H126" s="37"/>
      <c r="I126" s="37"/>
      <c r="J126" s="37"/>
      <c r="K126" s="37"/>
      <c r="L126" s="37"/>
      <c r="M126" s="37"/>
      <c r="N126" s="37"/>
      <c r="O126" s="37"/>
      <c r="P126" s="37"/>
      <c r="Q126" s="37">
        <v>2</v>
      </c>
      <c r="R126" s="73"/>
      <c r="S126" s="73"/>
      <c r="T126" s="73"/>
      <c r="U126" s="42"/>
      <c r="V126" s="69">
        <v>110</v>
      </c>
      <c r="W126" s="71"/>
      <c r="X126" s="42" t="s">
        <v>1503</v>
      </c>
      <c r="Y126" s="42" t="s">
        <v>1504</v>
      </c>
      <c r="Z126" s="42" t="s">
        <v>1505</v>
      </c>
      <c r="AA126" s="37"/>
      <c r="AB126" s="37"/>
      <c r="AC126" s="37"/>
      <c r="AD126" s="37"/>
      <c r="AE126" s="37"/>
      <c r="AF126" s="37"/>
      <c r="AG126" s="37"/>
      <c r="AH126" s="37"/>
      <c r="AI126" s="37"/>
      <c r="AJ126" s="37"/>
      <c r="AK126" s="37"/>
      <c r="AL126" s="42" t="s">
        <v>303</v>
      </c>
      <c r="AM126" s="53" t="s">
        <v>993</v>
      </c>
      <c r="AN126" s="53">
        <v>2004</v>
      </c>
      <c r="AO126" s="53">
        <v>96</v>
      </c>
    </row>
    <row r="127" spans="1:41" ht="135" x14ac:dyDescent="0.25">
      <c r="A127" s="37"/>
      <c r="B127" s="37"/>
      <c r="C127" s="37"/>
      <c r="D127" s="37"/>
      <c r="E127" s="37"/>
      <c r="F127" s="37"/>
      <c r="G127" s="37"/>
      <c r="H127" s="37"/>
      <c r="I127" s="37"/>
      <c r="J127" s="37"/>
      <c r="K127" s="37"/>
      <c r="L127" s="37"/>
      <c r="M127" s="37"/>
      <c r="N127" s="37"/>
      <c r="O127" s="37"/>
      <c r="P127" s="37"/>
      <c r="Q127" s="37">
        <v>2</v>
      </c>
      <c r="R127" s="73"/>
      <c r="S127" s="73"/>
      <c r="T127" s="73"/>
      <c r="U127" s="42"/>
      <c r="V127" s="69">
        <v>111</v>
      </c>
      <c r="W127" s="71"/>
      <c r="X127" s="42" t="s">
        <v>1506</v>
      </c>
      <c r="Y127" s="42" t="s">
        <v>1507</v>
      </c>
      <c r="Z127" s="42" t="s">
        <v>1508</v>
      </c>
      <c r="AA127" s="37"/>
      <c r="AB127" s="37"/>
      <c r="AC127" s="37"/>
      <c r="AD127" s="37"/>
      <c r="AE127" s="37"/>
      <c r="AF127" s="37"/>
      <c r="AG127" s="37"/>
      <c r="AH127" s="37"/>
      <c r="AI127" s="37"/>
      <c r="AJ127" s="37"/>
      <c r="AK127" s="37"/>
      <c r="AL127" s="42" t="s">
        <v>303</v>
      </c>
      <c r="AM127" s="53" t="s">
        <v>993</v>
      </c>
      <c r="AN127" s="53">
        <v>2009</v>
      </c>
      <c r="AO127" s="61">
        <v>11</v>
      </c>
    </row>
    <row r="128" spans="1:41" ht="135" x14ac:dyDescent="0.25">
      <c r="A128" s="37"/>
      <c r="B128" s="37"/>
      <c r="C128" s="37"/>
      <c r="D128" s="37"/>
      <c r="E128" s="37"/>
      <c r="F128" s="37"/>
      <c r="G128" s="37"/>
      <c r="H128" s="37"/>
      <c r="I128" s="37"/>
      <c r="J128" s="37"/>
      <c r="K128" s="37"/>
      <c r="L128" s="37"/>
      <c r="M128" s="37"/>
      <c r="N128" s="37"/>
      <c r="O128" s="37"/>
      <c r="P128" s="37"/>
      <c r="Q128" s="37">
        <v>2</v>
      </c>
      <c r="R128" s="73"/>
      <c r="S128" s="73"/>
      <c r="T128" s="73"/>
      <c r="U128" s="42"/>
      <c r="V128" s="69">
        <v>112</v>
      </c>
      <c r="W128" s="71"/>
      <c r="X128" s="42" t="s">
        <v>1509</v>
      </c>
      <c r="Y128" s="42" t="s">
        <v>1510</v>
      </c>
      <c r="Z128" s="42" t="s">
        <v>1511</v>
      </c>
      <c r="AA128" s="37"/>
      <c r="AB128" s="37"/>
      <c r="AC128" s="37"/>
      <c r="AD128" s="37"/>
      <c r="AE128" s="37"/>
      <c r="AF128" s="37"/>
      <c r="AG128" s="37"/>
      <c r="AH128" s="37"/>
      <c r="AI128" s="37"/>
      <c r="AJ128" s="37"/>
      <c r="AK128" s="37"/>
      <c r="AL128" s="42" t="s">
        <v>303</v>
      </c>
      <c r="AM128" s="53" t="s">
        <v>993</v>
      </c>
      <c r="AN128" s="53">
        <v>2009</v>
      </c>
      <c r="AO128" s="53">
        <v>15</v>
      </c>
    </row>
    <row r="129" spans="1:41" ht="210" x14ac:dyDescent="0.25">
      <c r="A129" s="37"/>
      <c r="B129" s="37"/>
      <c r="C129" s="37"/>
      <c r="D129" s="37"/>
      <c r="E129" s="37"/>
      <c r="F129" s="37"/>
      <c r="G129" s="37"/>
      <c r="H129" s="37"/>
      <c r="I129" s="37"/>
      <c r="J129" s="37"/>
      <c r="K129" s="37"/>
      <c r="L129" s="37"/>
      <c r="M129" s="37"/>
      <c r="N129" s="37"/>
      <c r="O129" s="37"/>
      <c r="P129" s="37"/>
      <c r="Q129" s="37">
        <v>2</v>
      </c>
      <c r="R129" s="73"/>
      <c r="S129" s="73"/>
      <c r="T129" s="73"/>
      <c r="U129" s="42"/>
      <c r="V129" s="69">
        <v>113</v>
      </c>
      <c r="W129" s="71"/>
      <c r="X129" s="42" t="s">
        <v>1512</v>
      </c>
      <c r="Y129" s="42" t="s">
        <v>1513</v>
      </c>
      <c r="Z129" s="42" t="s">
        <v>1514</v>
      </c>
      <c r="AA129" s="37"/>
      <c r="AB129" s="37"/>
      <c r="AC129" s="37"/>
      <c r="AD129" s="37"/>
      <c r="AE129" s="37"/>
      <c r="AF129" s="37"/>
      <c r="AG129" s="37"/>
      <c r="AH129" s="37"/>
      <c r="AI129" s="37"/>
      <c r="AJ129" s="37"/>
      <c r="AK129" s="37"/>
      <c r="AL129" s="42" t="s">
        <v>303</v>
      </c>
      <c r="AM129" s="53" t="s">
        <v>993</v>
      </c>
      <c r="AN129" s="53">
        <v>2008</v>
      </c>
      <c r="AO129" s="53">
        <v>84</v>
      </c>
    </row>
    <row r="130" spans="1:41" ht="180" x14ac:dyDescent="0.25">
      <c r="A130" s="37"/>
      <c r="B130" s="37"/>
      <c r="C130" s="37"/>
      <c r="D130" s="37"/>
      <c r="E130" s="37"/>
      <c r="F130" s="37"/>
      <c r="G130" s="37"/>
      <c r="H130" s="37"/>
      <c r="I130" s="37"/>
      <c r="J130" s="37"/>
      <c r="K130" s="37"/>
      <c r="L130" s="37"/>
      <c r="M130" s="37"/>
      <c r="N130" s="37"/>
      <c r="O130" s="37"/>
      <c r="P130" s="37"/>
      <c r="Q130" s="37">
        <v>3</v>
      </c>
      <c r="R130" s="73"/>
      <c r="S130" s="73"/>
      <c r="T130" s="73"/>
      <c r="U130" s="42"/>
      <c r="V130" s="69">
        <v>114</v>
      </c>
      <c r="W130" s="71"/>
      <c r="X130" s="42" t="s">
        <v>1515</v>
      </c>
      <c r="Y130" s="42" t="s">
        <v>1516</v>
      </c>
      <c r="Z130" s="42" t="s">
        <v>1517</v>
      </c>
      <c r="AA130" s="37"/>
      <c r="AB130" s="37"/>
      <c r="AC130" s="37"/>
      <c r="AD130" s="37"/>
      <c r="AE130" s="37"/>
      <c r="AF130" s="37"/>
      <c r="AG130" s="37"/>
      <c r="AH130" s="37"/>
      <c r="AI130" s="37"/>
      <c r="AJ130" s="37"/>
      <c r="AK130" s="37"/>
      <c r="AL130" s="42" t="s">
        <v>303</v>
      </c>
      <c r="AM130" s="53" t="s">
        <v>993</v>
      </c>
      <c r="AN130" s="53">
        <v>2006</v>
      </c>
      <c r="AO130" s="53">
        <v>34</v>
      </c>
    </row>
    <row r="131" spans="1:41" ht="165" x14ac:dyDescent="0.25">
      <c r="A131" s="37"/>
      <c r="B131" s="37"/>
      <c r="C131" s="37"/>
      <c r="D131" s="37"/>
      <c r="E131" s="37"/>
      <c r="F131" s="37"/>
      <c r="G131" s="37"/>
      <c r="H131" s="37"/>
      <c r="I131" s="37"/>
      <c r="J131" s="37"/>
      <c r="K131" s="37"/>
      <c r="L131" s="37"/>
      <c r="M131" s="37"/>
      <c r="N131" s="37"/>
      <c r="O131" s="37"/>
      <c r="P131" s="37"/>
      <c r="Q131" s="37">
        <v>3</v>
      </c>
      <c r="R131" s="73"/>
      <c r="S131" s="73"/>
      <c r="T131" s="73"/>
      <c r="U131" s="42"/>
      <c r="V131" s="69">
        <v>115</v>
      </c>
      <c r="W131" s="71"/>
      <c r="X131" s="42" t="s">
        <v>1518</v>
      </c>
      <c r="Y131" s="42" t="s">
        <v>1519</v>
      </c>
      <c r="Z131" s="42" t="s">
        <v>1520</v>
      </c>
      <c r="AA131" s="37"/>
      <c r="AB131" s="37"/>
      <c r="AC131" s="37"/>
      <c r="AD131" s="37"/>
      <c r="AE131" s="37"/>
      <c r="AF131" s="37"/>
      <c r="AG131" s="37"/>
      <c r="AH131" s="37"/>
      <c r="AI131" s="37"/>
      <c r="AJ131" s="37"/>
      <c r="AK131" s="37"/>
      <c r="AL131" s="42" t="s">
        <v>303</v>
      </c>
      <c r="AM131" s="53" t="s">
        <v>993</v>
      </c>
      <c r="AN131" s="53">
        <v>2016</v>
      </c>
      <c r="AO131" s="53">
        <v>14</v>
      </c>
    </row>
    <row r="132" spans="1:41" ht="270" x14ac:dyDescent="0.25">
      <c r="A132" s="37"/>
      <c r="B132" s="37"/>
      <c r="C132" s="37"/>
      <c r="D132" s="37"/>
      <c r="E132" s="37"/>
      <c r="F132" s="37"/>
      <c r="G132" s="37"/>
      <c r="H132" s="37"/>
      <c r="I132" s="37"/>
      <c r="J132" s="37"/>
      <c r="K132" s="37"/>
      <c r="L132" s="37"/>
      <c r="M132" s="37"/>
      <c r="N132" s="37"/>
      <c r="O132" s="37"/>
      <c r="P132" s="37"/>
      <c r="Q132" s="37">
        <v>3</v>
      </c>
      <c r="R132" s="73"/>
      <c r="S132" s="73"/>
      <c r="T132" s="73"/>
      <c r="U132" s="42"/>
      <c r="V132" s="69">
        <v>116</v>
      </c>
      <c r="W132" s="71"/>
      <c r="X132" s="42" t="s">
        <v>1521</v>
      </c>
      <c r="Y132" s="42" t="s">
        <v>1522</v>
      </c>
      <c r="Z132" s="42" t="s">
        <v>1523</v>
      </c>
      <c r="AA132" s="37"/>
      <c r="AB132" s="37"/>
      <c r="AC132" s="37"/>
      <c r="AD132" s="37"/>
      <c r="AE132" s="37"/>
      <c r="AF132" s="37"/>
      <c r="AG132" s="37"/>
      <c r="AH132" s="37"/>
      <c r="AI132" s="37"/>
      <c r="AJ132" s="37"/>
      <c r="AK132" s="37"/>
      <c r="AL132" s="42" t="s">
        <v>303</v>
      </c>
      <c r="AM132" s="53" t="s">
        <v>993</v>
      </c>
      <c r="AN132" s="53">
        <v>2013</v>
      </c>
      <c r="AO132" s="53">
        <v>36</v>
      </c>
    </row>
    <row r="133" spans="1:41" ht="135" x14ac:dyDescent="0.25">
      <c r="A133" s="37"/>
      <c r="B133" s="37"/>
      <c r="C133" s="37"/>
      <c r="D133" s="37"/>
      <c r="E133" s="37"/>
      <c r="F133" s="37"/>
      <c r="G133" s="37"/>
      <c r="H133" s="37"/>
      <c r="I133" s="37"/>
      <c r="J133" s="37"/>
      <c r="K133" s="37"/>
      <c r="L133" s="37"/>
      <c r="M133" s="37"/>
      <c r="N133" s="37"/>
      <c r="O133" s="37"/>
      <c r="P133" s="37"/>
      <c r="Q133" s="37">
        <v>2</v>
      </c>
      <c r="R133" s="73"/>
      <c r="S133" s="73"/>
      <c r="T133" s="73"/>
      <c r="U133" s="42"/>
      <c r="V133" s="69">
        <v>117</v>
      </c>
      <c r="W133" s="71"/>
      <c r="X133" s="42" t="s">
        <v>1524</v>
      </c>
      <c r="Y133" s="42" t="s">
        <v>1525</v>
      </c>
      <c r="Z133" s="42" t="s">
        <v>1526</v>
      </c>
      <c r="AA133" s="37"/>
      <c r="AB133" s="37"/>
      <c r="AC133" s="37"/>
      <c r="AD133" s="37"/>
      <c r="AE133" s="37"/>
      <c r="AF133" s="37"/>
      <c r="AG133" s="37"/>
      <c r="AH133" s="37"/>
      <c r="AI133" s="37"/>
      <c r="AJ133" s="37"/>
      <c r="AK133" s="37"/>
      <c r="AL133" s="42" t="s">
        <v>303</v>
      </c>
      <c r="AM133" s="53" t="s">
        <v>993</v>
      </c>
      <c r="AN133" s="53">
        <v>2015</v>
      </c>
      <c r="AO133" s="53">
        <v>2374</v>
      </c>
    </row>
    <row r="134" spans="1:41" ht="240" x14ac:dyDescent="0.25">
      <c r="A134" s="37"/>
      <c r="B134" s="37"/>
      <c r="C134" s="37"/>
      <c r="D134" s="37"/>
      <c r="E134" s="37"/>
      <c r="F134" s="37"/>
      <c r="G134" s="37"/>
      <c r="H134" s="37"/>
      <c r="I134" s="37"/>
      <c r="J134" s="37"/>
      <c r="K134" s="37"/>
      <c r="L134" s="37"/>
      <c r="M134" s="37"/>
      <c r="N134" s="37"/>
      <c r="O134" s="37"/>
      <c r="P134" s="37"/>
      <c r="Q134" s="37">
        <v>2</v>
      </c>
      <c r="R134" s="73"/>
      <c r="S134" s="73"/>
      <c r="T134" s="73"/>
      <c r="U134" s="42"/>
      <c r="V134" s="69">
        <v>118</v>
      </c>
      <c r="W134" s="71"/>
      <c r="X134" s="42" t="s">
        <v>1527</v>
      </c>
      <c r="Y134" s="42" t="s">
        <v>1528</v>
      </c>
      <c r="Z134" s="42" t="s">
        <v>1529</v>
      </c>
      <c r="AA134" s="37"/>
      <c r="AB134" s="37"/>
      <c r="AC134" s="37"/>
      <c r="AD134" s="37"/>
      <c r="AE134" s="37"/>
      <c r="AF134" s="37"/>
      <c r="AG134" s="37"/>
      <c r="AH134" s="37"/>
      <c r="AI134" s="37"/>
      <c r="AJ134" s="37"/>
      <c r="AK134" s="37"/>
      <c r="AL134" s="42" t="s">
        <v>303</v>
      </c>
      <c r="AM134" s="53" t="s">
        <v>993</v>
      </c>
      <c r="AN134" s="53">
        <v>2009</v>
      </c>
      <c r="AO134" s="53">
        <v>71</v>
      </c>
    </row>
    <row r="135" spans="1:41" ht="255" x14ac:dyDescent="0.25">
      <c r="A135" s="37"/>
      <c r="B135" s="37"/>
      <c r="C135" s="37"/>
      <c r="D135" s="37"/>
      <c r="E135" s="37"/>
      <c r="F135" s="37"/>
      <c r="G135" s="37"/>
      <c r="H135" s="37"/>
      <c r="I135" s="37"/>
      <c r="J135" s="37"/>
      <c r="K135" s="37"/>
      <c r="L135" s="37"/>
      <c r="M135" s="37"/>
      <c r="N135" s="37"/>
      <c r="O135" s="37"/>
      <c r="P135" s="37"/>
      <c r="Q135" s="37">
        <v>2</v>
      </c>
      <c r="R135" s="73"/>
      <c r="S135" s="73"/>
      <c r="T135" s="73"/>
      <c r="U135" s="42"/>
      <c r="V135" s="69">
        <v>119</v>
      </c>
      <c r="W135" s="71"/>
      <c r="X135" s="42" t="s">
        <v>1530</v>
      </c>
      <c r="Y135" s="42" t="s">
        <v>1531</v>
      </c>
      <c r="Z135" s="42" t="s">
        <v>1532</v>
      </c>
      <c r="AA135" s="37"/>
      <c r="AB135" s="37"/>
      <c r="AC135" s="37"/>
      <c r="AD135" s="37"/>
      <c r="AE135" s="37"/>
      <c r="AF135" s="37"/>
      <c r="AG135" s="37"/>
      <c r="AH135" s="37"/>
      <c r="AI135" s="37"/>
      <c r="AJ135" s="37"/>
      <c r="AK135" s="37"/>
      <c r="AL135" s="42" t="s">
        <v>303</v>
      </c>
      <c r="AM135" s="53" t="s">
        <v>993</v>
      </c>
      <c r="AN135" s="53">
        <v>2004</v>
      </c>
      <c r="AO135" s="53">
        <v>149</v>
      </c>
    </row>
    <row r="136" spans="1:41" ht="240" x14ac:dyDescent="0.25">
      <c r="A136" s="37"/>
      <c r="B136" s="37"/>
      <c r="C136" s="37"/>
      <c r="D136" s="37"/>
      <c r="E136" s="37"/>
      <c r="F136" s="37"/>
      <c r="G136" s="37"/>
      <c r="H136" s="37"/>
      <c r="I136" s="37"/>
      <c r="J136" s="37"/>
      <c r="K136" s="37"/>
      <c r="L136" s="37"/>
      <c r="M136" s="37"/>
      <c r="N136" s="37"/>
      <c r="O136" s="37"/>
      <c r="P136" s="37"/>
      <c r="Q136" s="37">
        <v>3</v>
      </c>
      <c r="R136" s="73"/>
      <c r="S136" s="73"/>
      <c r="T136" s="73"/>
      <c r="U136" s="42"/>
      <c r="V136" s="69">
        <v>120</v>
      </c>
      <c r="W136" s="71"/>
      <c r="X136" s="42" t="s">
        <v>1533</v>
      </c>
      <c r="Y136" s="42" t="s">
        <v>1534</v>
      </c>
      <c r="Z136" s="42" t="s">
        <v>1535</v>
      </c>
      <c r="AA136" s="37"/>
      <c r="AB136" s="37"/>
      <c r="AC136" s="37"/>
      <c r="AD136" s="37"/>
      <c r="AE136" s="37"/>
      <c r="AF136" s="37"/>
      <c r="AG136" s="37"/>
      <c r="AH136" s="37"/>
      <c r="AI136" s="37"/>
      <c r="AJ136" s="37"/>
      <c r="AK136" s="37"/>
      <c r="AL136" s="42" t="s">
        <v>303</v>
      </c>
      <c r="AM136" s="53" t="s">
        <v>993</v>
      </c>
      <c r="AN136" s="53">
        <v>2009</v>
      </c>
      <c r="AO136" s="53">
        <v>410</v>
      </c>
    </row>
    <row r="137" spans="1:41" ht="315" x14ac:dyDescent="0.25">
      <c r="A137" s="37"/>
      <c r="B137" s="37"/>
      <c r="C137" s="37"/>
      <c r="D137" s="37"/>
      <c r="E137" s="37"/>
      <c r="F137" s="37"/>
      <c r="G137" s="37"/>
      <c r="H137" s="37"/>
      <c r="I137" s="37"/>
      <c r="J137" s="37"/>
      <c r="K137" s="37"/>
      <c r="L137" s="37"/>
      <c r="M137" s="37"/>
      <c r="N137" s="37"/>
      <c r="O137" s="37"/>
      <c r="P137" s="37"/>
      <c r="Q137" s="37">
        <v>3</v>
      </c>
      <c r="R137" s="73"/>
      <c r="S137" s="73"/>
      <c r="T137" s="73"/>
      <c r="U137" s="42"/>
      <c r="V137" s="69">
        <v>121</v>
      </c>
      <c r="W137" s="71"/>
      <c r="X137" s="42" t="s">
        <v>1536</v>
      </c>
      <c r="Y137" s="42" t="s">
        <v>1537</v>
      </c>
      <c r="Z137" s="42" t="s">
        <v>1538</v>
      </c>
      <c r="AA137" s="37"/>
      <c r="AB137" s="37"/>
      <c r="AC137" s="37"/>
      <c r="AD137" s="37"/>
      <c r="AE137" s="37"/>
      <c r="AF137" s="37"/>
      <c r="AG137" s="37"/>
      <c r="AH137" s="37"/>
      <c r="AI137" s="37"/>
      <c r="AJ137" s="37"/>
      <c r="AK137" s="37"/>
      <c r="AL137" s="42" t="s">
        <v>303</v>
      </c>
      <c r="AM137" s="53" t="s">
        <v>993</v>
      </c>
      <c r="AN137" s="53">
        <v>2008</v>
      </c>
      <c r="AO137" s="53">
        <v>39</v>
      </c>
    </row>
    <row r="138" spans="1:41" ht="135" x14ac:dyDescent="0.25">
      <c r="A138" s="37"/>
      <c r="B138" s="37"/>
      <c r="C138" s="37"/>
      <c r="D138" s="37"/>
      <c r="E138" s="37"/>
      <c r="F138" s="37"/>
      <c r="G138" s="37"/>
      <c r="H138" s="37"/>
      <c r="I138" s="37"/>
      <c r="J138" s="37"/>
      <c r="K138" s="37"/>
      <c r="L138" s="37"/>
      <c r="M138" s="37"/>
      <c r="N138" s="37"/>
      <c r="O138" s="37"/>
      <c r="P138" s="37"/>
      <c r="Q138" s="37">
        <v>3</v>
      </c>
      <c r="R138" s="73"/>
      <c r="S138" s="73"/>
      <c r="T138" s="73"/>
      <c r="U138" s="42"/>
      <c r="V138" s="76">
        <v>122</v>
      </c>
      <c r="W138" s="71"/>
      <c r="X138" s="42" t="s">
        <v>1539</v>
      </c>
      <c r="Y138" s="42" t="s">
        <v>1540</v>
      </c>
      <c r="Z138" s="42" t="s">
        <v>1541</v>
      </c>
      <c r="AA138" s="37"/>
      <c r="AB138" s="37"/>
      <c r="AC138" s="37"/>
      <c r="AD138" s="37"/>
      <c r="AE138" s="37"/>
      <c r="AF138" s="37"/>
      <c r="AG138" s="37"/>
      <c r="AH138" s="37"/>
      <c r="AI138" s="37"/>
      <c r="AJ138" s="37"/>
      <c r="AK138" s="37"/>
      <c r="AL138" s="42" t="s">
        <v>330</v>
      </c>
      <c r="AM138" s="53" t="s">
        <v>993</v>
      </c>
      <c r="AN138" s="53">
        <v>2009</v>
      </c>
      <c r="AO138" s="61">
        <v>5</v>
      </c>
    </row>
    <row r="139" spans="1:41" ht="150" x14ac:dyDescent="0.25">
      <c r="A139" s="37"/>
      <c r="B139" s="37"/>
      <c r="C139" s="37"/>
      <c r="D139" s="37"/>
      <c r="E139" s="37"/>
      <c r="F139" s="37"/>
      <c r="G139" s="37"/>
      <c r="H139" s="37"/>
      <c r="I139" s="37"/>
      <c r="J139" s="37"/>
      <c r="K139" s="37"/>
      <c r="L139" s="37"/>
      <c r="M139" s="37"/>
      <c r="N139" s="37"/>
      <c r="O139" s="37"/>
      <c r="P139" s="37"/>
      <c r="Q139" s="37">
        <v>2</v>
      </c>
      <c r="R139" s="73"/>
      <c r="S139" s="73"/>
      <c r="T139" s="73"/>
      <c r="U139" s="42"/>
      <c r="V139" s="69">
        <v>123</v>
      </c>
      <c r="W139" s="71"/>
      <c r="X139" s="42" t="s">
        <v>1542</v>
      </c>
      <c r="Y139" s="42" t="s">
        <v>1543</v>
      </c>
      <c r="Z139" s="42" t="s">
        <v>1544</v>
      </c>
      <c r="AA139" s="37"/>
      <c r="AB139" s="37"/>
      <c r="AC139" s="37"/>
      <c r="AD139" s="37"/>
      <c r="AE139" s="37"/>
      <c r="AF139" s="37"/>
      <c r="AG139" s="37"/>
      <c r="AH139" s="37"/>
      <c r="AI139" s="37"/>
      <c r="AJ139" s="37"/>
      <c r="AK139" s="37"/>
      <c r="AL139" s="42" t="s">
        <v>331</v>
      </c>
      <c r="AM139" s="53" t="s">
        <v>993</v>
      </c>
      <c r="AN139" s="53">
        <v>2011</v>
      </c>
      <c r="AO139" s="53">
        <v>24</v>
      </c>
    </row>
    <row r="140" spans="1:41" ht="150" x14ac:dyDescent="0.25">
      <c r="A140" s="73"/>
      <c r="B140" s="73"/>
      <c r="C140" s="73"/>
      <c r="D140" s="73"/>
      <c r="E140" s="73"/>
      <c r="F140" s="73"/>
      <c r="G140" s="73"/>
      <c r="H140" s="73"/>
      <c r="I140" s="73"/>
      <c r="J140" s="73"/>
      <c r="K140" s="73"/>
      <c r="L140" s="73"/>
      <c r="M140" s="73"/>
      <c r="N140" s="73"/>
      <c r="O140" s="73"/>
      <c r="P140" s="73"/>
      <c r="Q140" s="73">
        <v>2</v>
      </c>
      <c r="R140" s="73"/>
      <c r="S140" s="73"/>
      <c r="T140" s="73"/>
      <c r="U140" s="42"/>
      <c r="V140" s="69">
        <v>124</v>
      </c>
      <c r="W140" s="70"/>
      <c r="X140" s="42" t="s">
        <v>1545</v>
      </c>
      <c r="Y140" s="42" t="s">
        <v>1546</v>
      </c>
      <c r="Z140" s="42" t="s">
        <v>1547</v>
      </c>
      <c r="AA140" s="37"/>
      <c r="AB140" s="37"/>
      <c r="AC140" s="37"/>
      <c r="AD140" s="37"/>
      <c r="AE140" s="37"/>
      <c r="AF140" s="37"/>
      <c r="AG140" s="37"/>
      <c r="AH140" s="37"/>
      <c r="AI140" s="37"/>
      <c r="AJ140" s="37"/>
      <c r="AK140" s="37"/>
      <c r="AL140" s="42" t="s">
        <v>332</v>
      </c>
      <c r="AM140" s="53" t="s">
        <v>993</v>
      </c>
      <c r="AN140" s="53">
        <v>2011</v>
      </c>
      <c r="AO140" s="53">
        <v>45</v>
      </c>
    </row>
    <row r="141" spans="1:41" ht="105" x14ac:dyDescent="0.25">
      <c r="A141" s="37"/>
      <c r="B141" s="37"/>
      <c r="C141" s="37"/>
      <c r="D141" s="37"/>
      <c r="E141" s="37"/>
      <c r="F141" s="37"/>
      <c r="G141" s="37"/>
      <c r="H141" s="37"/>
      <c r="I141" s="37"/>
      <c r="J141" s="37"/>
      <c r="K141" s="37"/>
      <c r="L141" s="37"/>
      <c r="M141" s="37"/>
      <c r="N141" s="37"/>
      <c r="O141" s="37"/>
      <c r="P141" s="37"/>
      <c r="Q141" s="37">
        <v>3</v>
      </c>
      <c r="R141" s="73"/>
      <c r="S141" s="73"/>
      <c r="T141" s="73"/>
      <c r="U141" s="42"/>
      <c r="V141" s="69">
        <v>125</v>
      </c>
      <c r="W141" s="71"/>
      <c r="X141" s="42" t="s">
        <v>1548</v>
      </c>
      <c r="Y141" s="42" t="s">
        <v>1549</v>
      </c>
      <c r="Z141" s="42" t="s">
        <v>1550</v>
      </c>
      <c r="AA141" s="37"/>
      <c r="AB141" s="37"/>
      <c r="AC141" s="37"/>
      <c r="AD141" s="37"/>
      <c r="AE141" s="37"/>
      <c r="AF141" s="37"/>
      <c r="AG141" s="37"/>
      <c r="AH141" s="37"/>
      <c r="AI141" s="37"/>
      <c r="AJ141" s="37"/>
      <c r="AK141" s="37"/>
      <c r="AL141" s="42" t="s">
        <v>333</v>
      </c>
      <c r="AM141" s="53" t="s">
        <v>993</v>
      </c>
      <c r="AN141" s="53">
        <v>2014</v>
      </c>
      <c r="AO141" s="53">
        <v>98</v>
      </c>
    </row>
    <row r="142" spans="1:41" ht="180" x14ac:dyDescent="0.25">
      <c r="A142" s="37"/>
      <c r="B142" s="37"/>
      <c r="C142" s="37"/>
      <c r="D142" s="37"/>
      <c r="E142" s="37"/>
      <c r="F142" s="37"/>
      <c r="G142" s="37"/>
      <c r="H142" s="37"/>
      <c r="I142" s="37"/>
      <c r="J142" s="37"/>
      <c r="K142" s="37"/>
      <c r="L142" s="37"/>
      <c r="M142" s="37"/>
      <c r="N142" s="37"/>
      <c r="O142" s="37"/>
      <c r="P142" s="37"/>
      <c r="Q142" s="37">
        <v>3</v>
      </c>
      <c r="R142" s="73"/>
      <c r="S142" s="73"/>
      <c r="T142" s="73"/>
      <c r="U142" s="42"/>
      <c r="V142" s="76">
        <v>126</v>
      </c>
      <c r="W142" s="71"/>
      <c r="X142" s="42" t="s">
        <v>1551</v>
      </c>
      <c r="Y142" s="42" t="s">
        <v>1552</v>
      </c>
      <c r="Z142" s="42" t="s">
        <v>1553</v>
      </c>
      <c r="AA142" s="37"/>
      <c r="AB142" s="37"/>
      <c r="AC142" s="37"/>
      <c r="AD142" s="37"/>
      <c r="AE142" s="37"/>
      <c r="AF142" s="37"/>
      <c r="AG142" s="37"/>
      <c r="AH142" s="37"/>
      <c r="AI142" s="37"/>
      <c r="AJ142" s="37"/>
      <c r="AK142" s="37"/>
      <c r="AL142" s="42" t="s">
        <v>334</v>
      </c>
      <c r="AM142" s="53" t="s">
        <v>993</v>
      </c>
      <c r="AN142" s="53">
        <v>2016</v>
      </c>
      <c r="AO142" s="61">
        <v>2</v>
      </c>
    </row>
    <row r="143" spans="1:41" ht="240" x14ac:dyDescent="0.25">
      <c r="A143" s="37"/>
      <c r="B143" s="37"/>
      <c r="C143" s="37"/>
      <c r="D143" s="37"/>
      <c r="E143" s="37"/>
      <c r="F143" s="37"/>
      <c r="G143" s="37"/>
      <c r="H143" s="37"/>
      <c r="I143" s="37"/>
      <c r="J143" s="37"/>
      <c r="K143" s="37"/>
      <c r="L143" s="37"/>
      <c r="M143" s="37"/>
      <c r="N143" s="37"/>
      <c r="O143" s="37"/>
      <c r="P143" s="37"/>
      <c r="Q143" s="37">
        <v>3</v>
      </c>
      <c r="R143" s="73"/>
      <c r="S143" s="73"/>
      <c r="T143" s="73"/>
      <c r="U143" s="42"/>
      <c r="V143" s="76">
        <v>128</v>
      </c>
      <c r="W143" s="71"/>
      <c r="X143" s="42" t="s">
        <v>1554</v>
      </c>
      <c r="Y143" s="42" t="s">
        <v>1555</v>
      </c>
      <c r="Z143" s="42" t="s">
        <v>1556</v>
      </c>
      <c r="AA143" s="37"/>
      <c r="AB143" s="37"/>
      <c r="AC143" s="37"/>
      <c r="AD143" s="37"/>
      <c r="AE143" s="37"/>
      <c r="AF143" s="37"/>
      <c r="AG143" s="37"/>
      <c r="AH143" s="37"/>
      <c r="AI143" s="37"/>
      <c r="AJ143" s="37"/>
      <c r="AK143" s="37"/>
      <c r="AL143" s="42" t="s">
        <v>318</v>
      </c>
      <c r="AM143" s="53" t="s">
        <v>993</v>
      </c>
      <c r="AN143" s="53">
        <v>2013</v>
      </c>
      <c r="AO143" s="61">
        <v>2</v>
      </c>
    </row>
    <row r="144" spans="1:41" ht="210" x14ac:dyDescent="0.25">
      <c r="A144" s="37"/>
      <c r="B144" s="37"/>
      <c r="C144" s="37"/>
      <c r="D144" s="37"/>
      <c r="E144" s="37"/>
      <c r="F144" s="37"/>
      <c r="G144" s="37"/>
      <c r="H144" s="37"/>
      <c r="I144" s="37"/>
      <c r="J144" s="37"/>
      <c r="K144" s="37"/>
      <c r="L144" s="37"/>
      <c r="M144" s="37"/>
      <c r="N144" s="37"/>
      <c r="O144" s="37"/>
      <c r="P144" s="37"/>
      <c r="Q144" s="37">
        <v>3</v>
      </c>
      <c r="R144" s="73"/>
      <c r="S144" s="73"/>
      <c r="T144" s="73"/>
      <c r="U144" s="42"/>
      <c r="V144" s="76">
        <v>129</v>
      </c>
      <c r="W144" s="71"/>
      <c r="X144" s="42" t="s">
        <v>1557</v>
      </c>
      <c r="Y144" s="42" t="s">
        <v>1558</v>
      </c>
      <c r="Z144" s="42" t="s">
        <v>1559</v>
      </c>
      <c r="AA144" s="37"/>
      <c r="AB144" s="37"/>
      <c r="AC144" s="37"/>
      <c r="AD144" s="37"/>
      <c r="AE144" s="37"/>
      <c r="AF144" s="37"/>
      <c r="AG144" s="37"/>
      <c r="AH144" s="37"/>
      <c r="AI144" s="37"/>
      <c r="AJ144" s="37"/>
      <c r="AK144" s="37"/>
      <c r="AL144" s="42" t="s">
        <v>318</v>
      </c>
      <c r="AM144" s="53" t="s">
        <v>993</v>
      </c>
      <c r="AN144" s="53">
        <v>2018</v>
      </c>
      <c r="AO144" s="61">
        <v>0</v>
      </c>
    </row>
    <row r="145" spans="1:41" ht="210" x14ac:dyDescent="0.25">
      <c r="A145" s="73"/>
      <c r="B145" s="73"/>
      <c r="C145" s="73"/>
      <c r="D145" s="73"/>
      <c r="E145" s="73"/>
      <c r="F145" s="73"/>
      <c r="G145" s="73"/>
      <c r="H145" s="73"/>
      <c r="I145" s="73"/>
      <c r="J145" s="73"/>
      <c r="K145" s="73"/>
      <c r="L145" s="73"/>
      <c r="M145" s="73"/>
      <c r="N145" s="73"/>
      <c r="O145" s="73"/>
      <c r="P145" s="73"/>
      <c r="Q145" s="73">
        <v>2</v>
      </c>
      <c r="R145" s="73"/>
      <c r="S145" s="73"/>
      <c r="T145" s="73"/>
      <c r="U145" s="42"/>
      <c r="V145" s="69">
        <v>130</v>
      </c>
      <c r="W145" s="70"/>
      <c r="X145" s="42" t="s">
        <v>1560</v>
      </c>
      <c r="Y145" s="42" t="s">
        <v>1561</v>
      </c>
      <c r="Z145" s="42" t="s">
        <v>1562</v>
      </c>
      <c r="AA145" s="37"/>
      <c r="AB145" s="37"/>
      <c r="AC145" s="37"/>
      <c r="AD145" s="37"/>
      <c r="AE145" s="37"/>
      <c r="AF145" s="37"/>
      <c r="AG145" s="37"/>
      <c r="AH145" s="37"/>
      <c r="AI145" s="37"/>
      <c r="AJ145" s="37"/>
      <c r="AK145" s="37"/>
      <c r="AL145" s="42" t="s">
        <v>335</v>
      </c>
      <c r="AM145" s="53" t="s">
        <v>993</v>
      </c>
      <c r="AN145" s="53">
        <v>2006</v>
      </c>
      <c r="AO145" s="53">
        <v>146</v>
      </c>
    </row>
    <row r="146" spans="1:41" ht="105" x14ac:dyDescent="0.25">
      <c r="A146" s="73"/>
      <c r="B146" s="73"/>
      <c r="C146" s="73"/>
      <c r="D146" s="73"/>
      <c r="E146" s="73"/>
      <c r="F146" s="73"/>
      <c r="G146" s="73"/>
      <c r="H146" s="73"/>
      <c r="I146" s="73"/>
      <c r="J146" s="73"/>
      <c r="K146" s="73"/>
      <c r="L146" s="73"/>
      <c r="M146" s="73"/>
      <c r="N146" s="73"/>
      <c r="O146" s="73"/>
      <c r="P146" s="73"/>
      <c r="Q146" s="73">
        <v>1</v>
      </c>
      <c r="R146" s="73"/>
      <c r="S146" s="73"/>
      <c r="T146" s="73"/>
      <c r="U146" s="42"/>
      <c r="V146" s="69">
        <v>131</v>
      </c>
      <c r="W146" s="70"/>
      <c r="X146" s="42" t="s">
        <v>1563</v>
      </c>
      <c r="Y146" s="42" t="s">
        <v>1564</v>
      </c>
      <c r="Z146" s="42" t="s">
        <v>1565</v>
      </c>
      <c r="AA146" s="37"/>
      <c r="AB146" s="37"/>
      <c r="AC146" s="37"/>
      <c r="AD146" s="37"/>
      <c r="AE146" s="37"/>
      <c r="AF146" s="37"/>
      <c r="AG146" s="37"/>
      <c r="AH146" s="37"/>
      <c r="AI146" s="37"/>
      <c r="AJ146" s="37"/>
      <c r="AK146" s="37"/>
      <c r="AL146" s="42" t="s">
        <v>336</v>
      </c>
      <c r="AM146" s="53" t="s">
        <v>993</v>
      </c>
      <c r="AN146" s="53">
        <v>2017</v>
      </c>
      <c r="AO146" s="61">
        <v>3</v>
      </c>
    </row>
    <row r="147" spans="1:41" ht="120" x14ac:dyDescent="0.25">
      <c r="A147" s="73"/>
      <c r="B147" s="73"/>
      <c r="C147" s="73"/>
      <c r="D147" s="73"/>
      <c r="E147" s="73"/>
      <c r="F147" s="73"/>
      <c r="G147" s="73"/>
      <c r="H147" s="73"/>
      <c r="I147" s="73"/>
      <c r="J147" s="73"/>
      <c r="K147" s="73"/>
      <c r="L147" s="73"/>
      <c r="M147" s="73"/>
      <c r="N147" s="73"/>
      <c r="O147" s="73"/>
      <c r="P147" s="73"/>
      <c r="Q147" s="73">
        <v>1</v>
      </c>
      <c r="R147" s="73"/>
      <c r="S147" s="73"/>
      <c r="T147" s="73"/>
      <c r="U147" s="42"/>
      <c r="V147" s="69">
        <v>132</v>
      </c>
      <c r="W147" s="70"/>
      <c r="X147" s="42" t="s">
        <v>1566</v>
      </c>
      <c r="Y147" s="42" t="s">
        <v>1567</v>
      </c>
      <c r="Z147" s="42" t="s">
        <v>1568</v>
      </c>
      <c r="AA147" s="37"/>
      <c r="AB147" s="37"/>
      <c r="AC147" s="37"/>
      <c r="AD147" s="37"/>
      <c r="AE147" s="37"/>
      <c r="AF147" s="37"/>
      <c r="AG147" s="37"/>
      <c r="AH147" s="37"/>
      <c r="AI147" s="37"/>
      <c r="AJ147" s="37"/>
      <c r="AK147" s="37"/>
      <c r="AL147" s="42" t="s">
        <v>337</v>
      </c>
      <c r="AM147" s="53" t="s">
        <v>993</v>
      </c>
      <c r="AN147" s="53">
        <v>2017</v>
      </c>
      <c r="AO147" s="61">
        <v>1</v>
      </c>
    </row>
    <row r="148" spans="1:41" ht="75" x14ac:dyDescent="0.25">
      <c r="A148" s="73"/>
      <c r="B148" s="73"/>
      <c r="C148" s="73"/>
      <c r="D148" s="73"/>
      <c r="E148" s="73"/>
      <c r="F148" s="73"/>
      <c r="G148" s="73"/>
      <c r="H148" s="73"/>
      <c r="I148" s="73"/>
      <c r="J148" s="73"/>
      <c r="K148" s="73"/>
      <c r="L148" s="73"/>
      <c r="M148" s="73"/>
      <c r="N148" s="73"/>
      <c r="O148" s="73"/>
      <c r="P148" s="73"/>
      <c r="Q148" s="73">
        <v>1</v>
      </c>
      <c r="R148" s="73"/>
      <c r="S148" s="73"/>
      <c r="T148" s="73"/>
      <c r="U148" s="42"/>
      <c r="V148" s="69">
        <v>133</v>
      </c>
      <c r="W148" s="70"/>
      <c r="X148" s="42" t="s">
        <v>1569</v>
      </c>
      <c r="Y148" s="42" t="s">
        <v>1570</v>
      </c>
      <c r="Z148" s="42" t="s">
        <v>1571</v>
      </c>
      <c r="AA148" s="37"/>
      <c r="AB148" s="37"/>
      <c r="AC148" s="37"/>
      <c r="AD148" s="37"/>
      <c r="AE148" s="37"/>
      <c r="AF148" s="37"/>
      <c r="AG148" s="37"/>
      <c r="AH148" s="37"/>
      <c r="AI148" s="37"/>
      <c r="AJ148" s="37"/>
      <c r="AK148" s="37"/>
      <c r="AL148" s="42" t="s">
        <v>338</v>
      </c>
      <c r="AM148" s="53" t="s">
        <v>993</v>
      </c>
      <c r="AN148" s="53">
        <v>2011</v>
      </c>
      <c r="AO148" s="61">
        <v>4</v>
      </c>
    </row>
    <row r="149" spans="1:41" ht="210" x14ac:dyDescent="0.25">
      <c r="A149" s="37"/>
      <c r="B149" s="37"/>
      <c r="C149" s="37"/>
      <c r="D149" s="37"/>
      <c r="E149" s="37"/>
      <c r="F149" s="37"/>
      <c r="G149" s="37"/>
      <c r="H149" s="37"/>
      <c r="I149" s="37"/>
      <c r="J149" s="37"/>
      <c r="K149" s="37"/>
      <c r="L149" s="37"/>
      <c r="M149" s="37"/>
      <c r="N149" s="37"/>
      <c r="O149" s="37"/>
      <c r="P149" s="37"/>
      <c r="Q149" s="37">
        <v>3</v>
      </c>
      <c r="R149" s="73"/>
      <c r="S149" s="73"/>
      <c r="T149" s="73"/>
      <c r="U149" s="42"/>
      <c r="V149" s="69">
        <v>134</v>
      </c>
      <c r="W149" s="71"/>
      <c r="X149" s="42" t="s">
        <v>1572</v>
      </c>
      <c r="Y149" s="42" t="s">
        <v>1573</v>
      </c>
      <c r="Z149" s="42" t="s">
        <v>1574</v>
      </c>
      <c r="AA149" s="37"/>
      <c r="AB149" s="37"/>
      <c r="AC149" s="37"/>
      <c r="AD149" s="37"/>
      <c r="AE149" s="37"/>
      <c r="AF149" s="37"/>
      <c r="AG149" s="37"/>
      <c r="AH149" s="37"/>
      <c r="AI149" s="37"/>
      <c r="AJ149" s="37"/>
      <c r="AK149" s="37"/>
      <c r="AL149" s="42" t="s">
        <v>319</v>
      </c>
      <c r="AM149" s="53" t="s">
        <v>993</v>
      </c>
      <c r="AN149" s="53">
        <v>2005</v>
      </c>
      <c r="AO149" s="61">
        <v>0</v>
      </c>
    </row>
    <row r="150" spans="1:41" ht="120" x14ac:dyDescent="0.25">
      <c r="A150" s="37"/>
      <c r="B150" s="37"/>
      <c r="C150" s="37"/>
      <c r="D150" s="37"/>
      <c r="E150" s="37"/>
      <c r="F150" s="37"/>
      <c r="G150" s="37"/>
      <c r="H150" s="37"/>
      <c r="I150" s="37"/>
      <c r="J150" s="37"/>
      <c r="K150" s="37"/>
      <c r="L150" s="37"/>
      <c r="M150" s="37"/>
      <c r="N150" s="37"/>
      <c r="O150" s="37"/>
      <c r="P150" s="37"/>
      <c r="Q150" s="37">
        <v>3</v>
      </c>
      <c r="R150" s="73"/>
      <c r="S150" s="73"/>
      <c r="T150" s="73"/>
      <c r="U150" s="42"/>
      <c r="V150" s="69">
        <v>135</v>
      </c>
      <c r="W150" s="71"/>
      <c r="X150" s="42" t="s">
        <v>1575</v>
      </c>
      <c r="Y150" s="42" t="s">
        <v>1576</v>
      </c>
      <c r="Z150" s="42" t="s">
        <v>1577</v>
      </c>
      <c r="AA150" s="37"/>
      <c r="AB150" s="37"/>
      <c r="AC150" s="37"/>
      <c r="AD150" s="37"/>
      <c r="AE150" s="37"/>
      <c r="AF150" s="37"/>
      <c r="AG150" s="37"/>
      <c r="AH150" s="37"/>
      <c r="AI150" s="37"/>
      <c r="AJ150" s="37"/>
      <c r="AK150" s="37"/>
      <c r="AL150" s="42" t="s">
        <v>319</v>
      </c>
      <c r="AM150" s="53" t="s">
        <v>993</v>
      </c>
      <c r="AN150" s="53">
        <v>2010</v>
      </c>
      <c r="AO150" s="53">
        <v>18</v>
      </c>
    </row>
    <row r="151" spans="1:41" ht="180" x14ac:dyDescent="0.25">
      <c r="A151" s="37"/>
      <c r="B151" s="37"/>
      <c r="C151" s="37"/>
      <c r="D151" s="37"/>
      <c r="E151" s="37"/>
      <c r="F151" s="37"/>
      <c r="G151" s="37"/>
      <c r="H151" s="37"/>
      <c r="I151" s="37"/>
      <c r="J151" s="37"/>
      <c r="K151" s="37"/>
      <c r="L151" s="37"/>
      <c r="M151" s="37"/>
      <c r="N151" s="37"/>
      <c r="O151" s="37"/>
      <c r="P151" s="37"/>
      <c r="Q151" s="37">
        <v>3</v>
      </c>
      <c r="R151" s="73"/>
      <c r="S151" s="73"/>
      <c r="T151" s="73"/>
      <c r="U151" s="42"/>
      <c r="V151" s="69">
        <v>136</v>
      </c>
      <c r="W151" s="71"/>
      <c r="X151" s="42" t="s">
        <v>1578</v>
      </c>
      <c r="Y151" s="42" t="s">
        <v>1579</v>
      </c>
      <c r="Z151" s="42" t="s">
        <v>1580</v>
      </c>
      <c r="AA151" s="37"/>
      <c r="AB151" s="37"/>
      <c r="AC151" s="37"/>
      <c r="AD151" s="37"/>
      <c r="AE151" s="37"/>
      <c r="AF151" s="37"/>
      <c r="AG151" s="37"/>
      <c r="AH151" s="37"/>
      <c r="AI151" s="37"/>
      <c r="AJ151" s="37"/>
      <c r="AK151" s="37"/>
      <c r="AL151" s="42" t="s">
        <v>339</v>
      </c>
      <c r="AM151" s="53" t="s">
        <v>993</v>
      </c>
      <c r="AN151" s="53">
        <v>2012</v>
      </c>
      <c r="AO151" s="53">
        <v>13</v>
      </c>
    </row>
    <row r="152" spans="1:41" ht="150" x14ac:dyDescent="0.25">
      <c r="A152" s="37"/>
      <c r="B152" s="37"/>
      <c r="C152" s="37"/>
      <c r="D152" s="37"/>
      <c r="E152" s="37"/>
      <c r="F152" s="37"/>
      <c r="G152" s="37"/>
      <c r="H152" s="37"/>
      <c r="I152" s="37"/>
      <c r="J152" s="37"/>
      <c r="K152" s="37"/>
      <c r="L152" s="37"/>
      <c r="M152" s="37"/>
      <c r="N152" s="37"/>
      <c r="O152" s="37"/>
      <c r="P152" s="37"/>
      <c r="Q152" s="37">
        <v>3</v>
      </c>
      <c r="R152" s="73"/>
      <c r="S152" s="73"/>
      <c r="T152" s="73"/>
      <c r="U152" s="42"/>
      <c r="V152" s="69">
        <v>137</v>
      </c>
      <c r="W152" s="71"/>
      <c r="X152" s="42" t="s">
        <v>1581</v>
      </c>
      <c r="Y152" s="42" t="s">
        <v>1582</v>
      </c>
      <c r="Z152" s="42" t="s">
        <v>1583</v>
      </c>
      <c r="AA152" s="37"/>
      <c r="AB152" s="37"/>
      <c r="AC152" s="37"/>
      <c r="AD152" s="37"/>
      <c r="AE152" s="37"/>
      <c r="AF152" s="37"/>
      <c r="AG152" s="37"/>
      <c r="AH152" s="37"/>
      <c r="AI152" s="37"/>
      <c r="AJ152" s="37"/>
      <c r="AK152" s="37"/>
      <c r="AL152" s="42" t="s">
        <v>312</v>
      </c>
      <c r="AM152" s="53" t="s">
        <v>993</v>
      </c>
      <c r="AN152" s="53">
        <v>2012</v>
      </c>
      <c r="AO152" s="61">
        <v>1</v>
      </c>
    </row>
    <row r="153" spans="1:41" ht="195" x14ac:dyDescent="0.25">
      <c r="A153" s="37"/>
      <c r="B153" s="37"/>
      <c r="C153" s="37"/>
      <c r="D153" s="37"/>
      <c r="E153" s="37"/>
      <c r="F153" s="37"/>
      <c r="G153" s="37"/>
      <c r="H153" s="37"/>
      <c r="I153" s="37"/>
      <c r="J153" s="37"/>
      <c r="K153" s="37"/>
      <c r="L153" s="37"/>
      <c r="M153" s="37"/>
      <c r="N153" s="37"/>
      <c r="O153" s="37"/>
      <c r="P153" s="37"/>
      <c r="Q153" s="37">
        <v>3</v>
      </c>
      <c r="R153" s="73"/>
      <c r="S153" s="73"/>
      <c r="T153" s="73"/>
      <c r="U153" s="42"/>
      <c r="V153" s="69">
        <v>138</v>
      </c>
      <c r="W153" s="71"/>
      <c r="X153" s="42" t="s">
        <v>1584</v>
      </c>
      <c r="Y153" s="42" t="s">
        <v>1585</v>
      </c>
      <c r="Z153" s="42" t="s">
        <v>1586</v>
      </c>
      <c r="AA153" s="37"/>
      <c r="AB153" s="37"/>
      <c r="AC153" s="37"/>
      <c r="AD153" s="37"/>
      <c r="AE153" s="37"/>
      <c r="AF153" s="37"/>
      <c r="AG153" s="37"/>
      <c r="AH153" s="37"/>
      <c r="AI153" s="37"/>
      <c r="AJ153" s="37"/>
      <c r="AK153" s="37"/>
      <c r="AL153" s="42" t="s">
        <v>312</v>
      </c>
      <c r="AM153" s="53" t="s">
        <v>993</v>
      </c>
      <c r="AN153" s="53">
        <v>2017</v>
      </c>
      <c r="AO153" s="61">
        <v>2</v>
      </c>
    </row>
    <row r="154" spans="1:41" ht="210" x14ac:dyDescent="0.25">
      <c r="A154" s="73"/>
      <c r="B154" s="73"/>
      <c r="C154" s="73"/>
      <c r="D154" s="73"/>
      <c r="E154" s="73"/>
      <c r="F154" s="73"/>
      <c r="G154" s="73"/>
      <c r="H154" s="73"/>
      <c r="I154" s="73"/>
      <c r="J154" s="73"/>
      <c r="K154" s="73"/>
      <c r="L154" s="73"/>
      <c r="M154" s="73"/>
      <c r="N154" s="73"/>
      <c r="O154" s="73"/>
      <c r="P154" s="73"/>
      <c r="Q154" s="73">
        <v>1</v>
      </c>
      <c r="R154" s="73"/>
      <c r="S154" s="73"/>
      <c r="T154" s="73"/>
      <c r="U154" s="42"/>
      <c r="V154" s="69">
        <v>139</v>
      </c>
      <c r="W154" s="70"/>
      <c r="X154" s="42" t="s">
        <v>1587</v>
      </c>
      <c r="Y154" s="42" t="s">
        <v>1588</v>
      </c>
      <c r="Z154" s="42" t="s">
        <v>1589</v>
      </c>
      <c r="AA154" s="37"/>
      <c r="AB154" s="37"/>
      <c r="AC154" s="37"/>
      <c r="AD154" s="37"/>
      <c r="AE154" s="37"/>
      <c r="AF154" s="37"/>
      <c r="AG154" s="37"/>
      <c r="AH154" s="37"/>
      <c r="AI154" s="37"/>
      <c r="AJ154" s="37"/>
      <c r="AK154" s="37"/>
      <c r="AL154" s="42" t="s">
        <v>312</v>
      </c>
      <c r="AM154" s="53" t="s">
        <v>993</v>
      </c>
      <c r="AN154" s="53">
        <v>2008</v>
      </c>
      <c r="AO154" s="53">
        <v>19</v>
      </c>
    </row>
    <row r="155" spans="1:41" ht="195" x14ac:dyDescent="0.25">
      <c r="A155" s="73"/>
      <c r="B155" s="73"/>
      <c r="C155" s="73"/>
      <c r="D155" s="73"/>
      <c r="E155" s="73"/>
      <c r="F155" s="73"/>
      <c r="G155" s="73"/>
      <c r="H155" s="73"/>
      <c r="I155" s="73"/>
      <c r="J155" s="73"/>
      <c r="K155" s="73"/>
      <c r="L155" s="73"/>
      <c r="M155" s="73"/>
      <c r="N155" s="73"/>
      <c r="O155" s="73"/>
      <c r="P155" s="73"/>
      <c r="Q155" s="73">
        <v>1</v>
      </c>
      <c r="R155" s="73"/>
      <c r="S155" s="73"/>
      <c r="T155" s="73"/>
      <c r="U155" s="42"/>
      <c r="V155" s="69">
        <v>140</v>
      </c>
      <c r="W155" s="70"/>
      <c r="X155" s="42" t="s">
        <v>1590</v>
      </c>
      <c r="Y155" s="42" t="s">
        <v>1591</v>
      </c>
      <c r="Z155" s="42" t="s">
        <v>1592</v>
      </c>
      <c r="AA155" s="37"/>
      <c r="AB155" s="37"/>
      <c r="AC155" s="37"/>
      <c r="AD155" s="37"/>
      <c r="AE155" s="37"/>
      <c r="AF155" s="37"/>
      <c r="AG155" s="37"/>
      <c r="AH155" s="37"/>
      <c r="AI155" s="37"/>
      <c r="AJ155" s="37"/>
      <c r="AK155" s="37"/>
      <c r="AL155" s="42" t="s">
        <v>312</v>
      </c>
      <c r="AM155" s="53" t="s">
        <v>993</v>
      </c>
      <c r="AN155" s="53">
        <v>2015</v>
      </c>
      <c r="AO155" s="61">
        <v>3</v>
      </c>
    </row>
    <row r="156" spans="1:41" ht="180" x14ac:dyDescent="0.25">
      <c r="A156" s="73"/>
      <c r="B156" s="73"/>
      <c r="C156" s="73"/>
      <c r="D156" s="73"/>
      <c r="E156" s="73"/>
      <c r="F156" s="73"/>
      <c r="G156" s="73"/>
      <c r="H156" s="73"/>
      <c r="I156" s="73"/>
      <c r="J156" s="73"/>
      <c r="K156" s="73"/>
      <c r="L156" s="73"/>
      <c r="M156" s="73"/>
      <c r="N156" s="73"/>
      <c r="O156" s="73"/>
      <c r="P156" s="73"/>
      <c r="Q156" s="73">
        <v>1</v>
      </c>
      <c r="R156" s="73"/>
      <c r="S156" s="73"/>
      <c r="T156" s="73"/>
      <c r="U156" s="42"/>
      <c r="V156" s="69">
        <v>142</v>
      </c>
      <c r="W156" s="70"/>
      <c r="X156" s="42" t="s">
        <v>1593</v>
      </c>
      <c r="Y156" s="42" t="s">
        <v>1594</v>
      </c>
      <c r="Z156" s="42" t="s">
        <v>1595</v>
      </c>
      <c r="AA156" s="37"/>
      <c r="AB156" s="37"/>
      <c r="AC156" s="37"/>
      <c r="AD156" s="37"/>
      <c r="AE156" s="37"/>
      <c r="AF156" s="37"/>
      <c r="AG156" s="37"/>
      <c r="AH156" s="37"/>
      <c r="AI156" s="37"/>
      <c r="AJ156" s="37"/>
      <c r="AK156" s="37"/>
      <c r="AL156" s="42" t="s">
        <v>312</v>
      </c>
      <c r="AM156" s="53" t="s">
        <v>993</v>
      </c>
      <c r="AN156" s="53">
        <v>2016</v>
      </c>
      <c r="AO156" s="61">
        <v>8</v>
      </c>
    </row>
    <row r="157" spans="1:41" ht="195" x14ac:dyDescent="0.25">
      <c r="A157" s="37"/>
      <c r="B157" s="37"/>
      <c r="C157" s="37"/>
      <c r="D157" s="37"/>
      <c r="E157" s="37"/>
      <c r="F157" s="37"/>
      <c r="G157" s="37"/>
      <c r="H157" s="37"/>
      <c r="I157" s="42"/>
      <c r="J157" s="37"/>
      <c r="K157" s="37"/>
      <c r="L157" s="37"/>
      <c r="M157" s="37"/>
      <c r="N157" s="37"/>
      <c r="O157" s="37"/>
      <c r="P157" s="37"/>
      <c r="Q157" s="37">
        <v>3</v>
      </c>
      <c r="R157" s="73"/>
      <c r="S157" s="73"/>
      <c r="T157" s="73"/>
      <c r="U157" s="42"/>
      <c r="V157" s="69">
        <v>145</v>
      </c>
      <c r="W157" s="71"/>
      <c r="X157" s="42" t="s">
        <v>1596</v>
      </c>
      <c r="Y157" s="42" t="s">
        <v>1597</v>
      </c>
      <c r="Z157" s="42" t="s">
        <v>1598</v>
      </c>
      <c r="AA157" s="37"/>
      <c r="AB157" s="37"/>
      <c r="AC157" s="37"/>
      <c r="AD157" s="37"/>
      <c r="AE157" s="37"/>
      <c r="AF157" s="37"/>
      <c r="AG157" s="37"/>
      <c r="AH157" s="37"/>
      <c r="AI157" s="37"/>
      <c r="AJ157" s="37"/>
      <c r="AK157" s="37"/>
      <c r="AL157" s="42" t="s">
        <v>315</v>
      </c>
      <c r="AM157" s="53" t="s">
        <v>993</v>
      </c>
      <c r="AN157" s="53">
        <v>2017</v>
      </c>
      <c r="AO157" s="61">
        <v>6</v>
      </c>
    </row>
    <row r="158" spans="1:41" ht="150" x14ac:dyDescent="0.25">
      <c r="A158" s="37"/>
      <c r="B158" s="37"/>
      <c r="C158" s="37"/>
      <c r="D158" s="37"/>
      <c r="E158" s="37"/>
      <c r="F158" s="37"/>
      <c r="G158" s="37"/>
      <c r="H158" s="37"/>
      <c r="I158" s="42"/>
      <c r="J158" s="37"/>
      <c r="K158" s="37"/>
      <c r="L158" s="37"/>
      <c r="M158" s="37"/>
      <c r="N158" s="37"/>
      <c r="O158" s="37"/>
      <c r="P158" s="37"/>
      <c r="Q158" s="37">
        <v>2</v>
      </c>
      <c r="R158" s="73"/>
      <c r="S158" s="73"/>
      <c r="T158" s="73"/>
      <c r="U158" s="42"/>
      <c r="V158" s="69">
        <v>146</v>
      </c>
      <c r="W158" s="71"/>
      <c r="X158" s="42" t="s">
        <v>1599</v>
      </c>
      <c r="Y158" s="42" t="s">
        <v>1600</v>
      </c>
      <c r="Z158" s="42" t="s">
        <v>1601</v>
      </c>
      <c r="AA158" s="37"/>
      <c r="AB158" s="37"/>
      <c r="AC158" s="37"/>
      <c r="AD158" s="37"/>
      <c r="AE158" s="37"/>
      <c r="AF158" s="37"/>
      <c r="AG158" s="37"/>
      <c r="AH158" s="37"/>
      <c r="AI158" s="37"/>
      <c r="AJ158" s="37"/>
      <c r="AK158" s="37"/>
      <c r="AL158" s="42" t="s">
        <v>315</v>
      </c>
      <c r="AM158" s="53" t="s">
        <v>993</v>
      </c>
      <c r="AN158" s="53">
        <v>2013</v>
      </c>
      <c r="AO158" s="61">
        <v>2</v>
      </c>
    </row>
    <row r="159" spans="1:41" ht="135" x14ac:dyDescent="0.25">
      <c r="A159" s="37"/>
      <c r="B159" s="37"/>
      <c r="C159" s="37"/>
      <c r="D159" s="37"/>
      <c r="E159" s="37"/>
      <c r="F159" s="37"/>
      <c r="G159" s="37"/>
      <c r="H159" s="37"/>
      <c r="I159" s="42"/>
      <c r="J159" s="37"/>
      <c r="K159" s="37"/>
      <c r="L159" s="37"/>
      <c r="M159" s="37"/>
      <c r="N159" s="37"/>
      <c r="O159" s="37"/>
      <c r="P159" s="37"/>
      <c r="Q159" s="37">
        <v>3</v>
      </c>
      <c r="R159" s="73"/>
      <c r="S159" s="73"/>
      <c r="T159" s="73"/>
      <c r="U159" s="42"/>
      <c r="V159" s="69">
        <v>147</v>
      </c>
      <c r="W159" s="71"/>
      <c r="X159" s="42" t="s">
        <v>1602</v>
      </c>
      <c r="Y159" s="42" t="s">
        <v>1603</v>
      </c>
      <c r="Z159" s="42" t="s">
        <v>1604</v>
      </c>
      <c r="AA159" s="37"/>
      <c r="AB159" s="37"/>
      <c r="AC159" s="37"/>
      <c r="AD159" s="37"/>
      <c r="AE159" s="37"/>
      <c r="AF159" s="37"/>
      <c r="AG159" s="37"/>
      <c r="AH159" s="37"/>
      <c r="AI159" s="37"/>
      <c r="AJ159" s="37"/>
      <c r="AK159" s="37"/>
      <c r="AL159" s="42" t="s">
        <v>315</v>
      </c>
      <c r="AM159" s="53" t="s">
        <v>993</v>
      </c>
      <c r="AN159" s="53">
        <v>2004</v>
      </c>
      <c r="AO159" s="61">
        <v>7</v>
      </c>
    </row>
    <row r="160" spans="1:41" ht="195" x14ac:dyDescent="0.25">
      <c r="A160" s="37"/>
      <c r="B160" s="37"/>
      <c r="C160" s="37"/>
      <c r="D160" s="37"/>
      <c r="E160" s="37"/>
      <c r="F160" s="37"/>
      <c r="G160" s="37"/>
      <c r="H160" s="37"/>
      <c r="I160" s="42"/>
      <c r="J160" s="37"/>
      <c r="K160" s="37"/>
      <c r="L160" s="37"/>
      <c r="M160" s="37"/>
      <c r="N160" s="37"/>
      <c r="O160" s="37"/>
      <c r="P160" s="37"/>
      <c r="Q160" s="37">
        <v>2</v>
      </c>
      <c r="R160" s="73"/>
      <c r="S160" s="73"/>
      <c r="T160" s="73"/>
      <c r="U160" s="42"/>
      <c r="V160" s="69">
        <v>148</v>
      </c>
      <c r="W160" s="71"/>
      <c r="X160" s="42" t="s">
        <v>1605</v>
      </c>
      <c r="Y160" s="42" t="s">
        <v>1606</v>
      </c>
      <c r="Z160" s="42" t="s">
        <v>1607</v>
      </c>
      <c r="AA160" s="37"/>
      <c r="AB160" s="37"/>
      <c r="AC160" s="37"/>
      <c r="AD160" s="37"/>
      <c r="AE160" s="37"/>
      <c r="AF160" s="37"/>
      <c r="AG160" s="37"/>
      <c r="AH160" s="37"/>
      <c r="AI160" s="37"/>
      <c r="AJ160" s="37"/>
      <c r="AK160" s="37"/>
      <c r="AL160" s="42" t="s">
        <v>315</v>
      </c>
      <c r="AM160" s="53" t="s">
        <v>993</v>
      </c>
      <c r="AN160" s="53">
        <v>2003</v>
      </c>
      <c r="AO160" s="53">
        <v>14</v>
      </c>
    </row>
    <row r="161" spans="1:41" ht="195" x14ac:dyDescent="0.25">
      <c r="A161" s="37"/>
      <c r="B161" s="37"/>
      <c r="C161" s="37"/>
      <c r="D161" s="37"/>
      <c r="E161" s="37"/>
      <c r="F161" s="37"/>
      <c r="G161" s="37"/>
      <c r="H161" s="37"/>
      <c r="I161" s="42"/>
      <c r="J161" s="37"/>
      <c r="K161" s="37"/>
      <c r="L161" s="37"/>
      <c r="M161" s="37"/>
      <c r="N161" s="37"/>
      <c r="O161" s="37"/>
      <c r="P161" s="37"/>
      <c r="Q161" s="37">
        <v>3</v>
      </c>
      <c r="R161" s="73"/>
      <c r="S161" s="73"/>
      <c r="T161" s="73"/>
      <c r="U161" s="42"/>
      <c r="V161" s="76">
        <v>149</v>
      </c>
      <c r="W161" s="71"/>
      <c r="X161" s="42" t="s">
        <v>1608</v>
      </c>
      <c r="Y161" s="42" t="s">
        <v>1609</v>
      </c>
      <c r="Z161" s="42" t="s">
        <v>1610</v>
      </c>
      <c r="AA161" s="37"/>
      <c r="AB161" s="37"/>
      <c r="AC161" s="37"/>
      <c r="AD161" s="37"/>
      <c r="AE161" s="37"/>
      <c r="AF161" s="37"/>
      <c r="AG161" s="37"/>
      <c r="AH161" s="37"/>
      <c r="AI161" s="37"/>
      <c r="AJ161" s="37"/>
      <c r="AK161" s="37"/>
      <c r="AL161" s="42" t="s">
        <v>315</v>
      </c>
      <c r="AM161" s="53" t="s">
        <v>993</v>
      </c>
      <c r="AN161" s="53">
        <v>2008</v>
      </c>
      <c r="AO161" s="61">
        <v>68</v>
      </c>
    </row>
    <row r="162" spans="1:41" ht="135" x14ac:dyDescent="0.25">
      <c r="A162" s="37"/>
      <c r="B162" s="37"/>
      <c r="C162" s="37"/>
      <c r="D162" s="37"/>
      <c r="E162" s="37"/>
      <c r="F162" s="37"/>
      <c r="G162" s="37"/>
      <c r="H162" s="37"/>
      <c r="I162" s="42"/>
      <c r="J162" s="37"/>
      <c r="K162" s="37"/>
      <c r="L162" s="37"/>
      <c r="M162" s="37"/>
      <c r="N162" s="37"/>
      <c r="O162" s="37"/>
      <c r="P162" s="37"/>
      <c r="Q162" s="37">
        <v>2</v>
      </c>
      <c r="R162" s="73"/>
      <c r="S162" s="73"/>
      <c r="T162" s="73"/>
      <c r="U162" s="42"/>
      <c r="V162" s="69">
        <v>150</v>
      </c>
      <c r="W162" s="71"/>
      <c r="X162" s="42" t="s">
        <v>1611</v>
      </c>
      <c r="Y162" s="42" t="s">
        <v>1612</v>
      </c>
      <c r="Z162" s="42" t="s">
        <v>1613</v>
      </c>
      <c r="AA162" s="37"/>
      <c r="AB162" s="37"/>
      <c r="AC162" s="37"/>
      <c r="AD162" s="37"/>
      <c r="AE162" s="37"/>
      <c r="AF162" s="37"/>
      <c r="AG162" s="37"/>
      <c r="AH162" s="37"/>
      <c r="AI162" s="37"/>
      <c r="AJ162" s="37"/>
      <c r="AK162" s="37"/>
      <c r="AL162" s="42" t="s">
        <v>340</v>
      </c>
      <c r="AM162" s="53" t="s">
        <v>1172</v>
      </c>
      <c r="AN162" s="53">
        <v>2005</v>
      </c>
      <c r="AO162" s="61">
        <v>1</v>
      </c>
    </row>
    <row r="163" spans="1:41" ht="135" x14ac:dyDescent="0.25">
      <c r="A163" s="37"/>
      <c r="B163" s="37"/>
      <c r="C163" s="37"/>
      <c r="D163" s="37"/>
      <c r="E163" s="37"/>
      <c r="F163" s="37"/>
      <c r="G163" s="37"/>
      <c r="H163" s="37"/>
      <c r="I163" s="42"/>
      <c r="J163" s="37"/>
      <c r="K163" s="37"/>
      <c r="L163" s="37"/>
      <c r="M163" s="37"/>
      <c r="N163" s="37"/>
      <c r="O163" s="37"/>
      <c r="P163" s="37"/>
      <c r="Q163" s="37">
        <v>3</v>
      </c>
      <c r="R163" s="73"/>
      <c r="S163" s="73"/>
      <c r="T163" s="73"/>
      <c r="U163" s="42"/>
      <c r="V163" s="76">
        <v>151</v>
      </c>
      <c r="W163" s="71"/>
      <c r="X163" s="42" t="s">
        <v>1614</v>
      </c>
      <c r="Y163" s="42" t="s">
        <v>1615</v>
      </c>
      <c r="Z163" s="42" t="s">
        <v>1616</v>
      </c>
      <c r="AA163" s="37"/>
      <c r="AB163" s="37"/>
      <c r="AC163" s="37"/>
      <c r="AD163" s="37"/>
      <c r="AE163" s="37"/>
      <c r="AF163" s="37"/>
      <c r="AG163" s="37"/>
      <c r="AH163" s="37"/>
      <c r="AI163" s="37"/>
      <c r="AJ163" s="37"/>
      <c r="AK163" s="37"/>
      <c r="AL163" s="42" t="s">
        <v>320</v>
      </c>
      <c r="AM163" s="53" t="s">
        <v>993</v>
      </c>
      <c r="AN163" s="53">
        <v>2011</v>
      </c>
      <c r="AO163" s="53">
        <v>32</v>
      </c>
    </row>
    <row r="164" spans="1:41" ht="135" x14ac:dyDescent="0.25">
      <c r="A164" s="37"/>
      <c r="B164" s="37"/>
      <c r="C164" s="37"/>
      <c r="D164" s="37"/>
      <c r="E164" s="37"/>
      <c r="F164" s="37"/>
      <c r="G164" s="37"/>
      <c r="H164" s="37"/>
      <c r="I164" s="42"/>
      <c r="J164" s="37"/>
      <c r="K164" s="37"/>
      <c r="L164" s="37"/>
      <c r="M164" s="37"/>
      <c r="N164" s="37"/>
      <c r="O164" s="37"/>
      <c r="P164" s="37"/>
      <c r="Q164" s="37">
        <v>3</v>
      </c>
      <c r="R164" s="73"/>
      <c r="S164" s="73"/>
      <c r="T164" s="73"/>
      <c r="U164" s="42"/>
      <c r="V164" s="76">
        <v>152</v>
      </c>
      <c r="W164" s="71"/>
      <c r="X164" s="42" t="s">
        <v>1617</v>
      </c>
      <c r="Y164" s="42" t="s">
        <v>1618</v>
      </c>
      <c r="Z164" s="42" t="s">
        <v>1619</v>
      </c>
      <c r="AA164" s="37"/>
      <c r="AB164" s="37"/>
      <c r="AC164" s="37"/>
      <c r="AD164" s="37"/>
      <c r="AE164" s="37"/>
      <c r="AF164" s="37"/>
      <c r="AG164" s="37"/>
      <c r="AH164" s="37"/>
      <c r="AI164" s="37"/>
      <c r="AJ164" s="37"/>
      <c r="AK164" s="37"/>
      <c r="AL164" s="42" t="s">
        <v>320</v>
      </c>
      <c r="AM164" s="53" t="s">
        <v>993</v>
      </c>
      <c r="AN164" s="53">
        <v>2011</v>
      </c>
      <c r="AO164" s="53">
        <v>64</v>
      </c>
    </row>
    <row r="165" spans="1:41" ht="270" x14ac:dyDescent="0.25">
      <c r="A165" s="37"/>
      <c r="B165" s="37"/>
      <c r="C165" s="37"/>
      <c r="D165" s="37"/>
      <c r="E165" s="37"/>
      <c r="F165" s="37"/>
      <c r="G165" s="37"/>
      <c r="H165" s="37"/>
      <c r="I165" s="42"/>
      <c r="J165" s="37"/>
      <c r="K165" s="37"/>
      <c r="L165" s="37"/>
      <c r="M165" s="37"/>
      <c r="N165" s="37"/>
      <c r="O165" s="37"/>
      <c r="P165" s="37"/>
      <c r="Q165" s="37">
        <v>2</v>
      </c>
      <c r="R165" s="73"/>
      <c r="S165" s="73"/>
      <c r="T165" s="73"/>
      <c r="U165" s="42"/>
      <c r="V165" s="69">
        <v>153</v>
      </c>
      <c r="W165" s="71"/>
      <c r="X165" s="42" t="s">
        <v>1620</v>
      </c>
      <c r="Y165" s="42" t="s">
        <v>1621</v>
      </c>
      <c r="Z165" s="42" t="s">
        <v>1622</v>
      </c>
      <c r="AA165" s="37"/>
      <c r="AB165" s="37"/>
      <c r="AC165" s="37"/>
      <c r="AD165" s="37"/>
      <c r="AE165" s="37"/>
      <c r="AF165" s="37"/>
      <c r="AG165" s="37"/>
      <c r="AH165" s="37"/>
      <c r="AI165" s="37"/>
      <c r="AJ165" s="37"/>
      <c r="AK165" s="37"/>
      <c r="AL165" s="42" t="s">
        <v>317</v>
      </c>
      <c r="AM165" s="53" t="s">
        <v>993</v>
      </c>
      <c r="AN165" s="53">
        <v>2017</v>
      </c>
      <c r="AO165" s="61">
        <v>3</v>
      </c>
    </row>
    <row r="166" spans="1:41" ht="165" x14ac:dyDescent="0.25">
      <c r="A166" s="37"/>
      <c r="B166" s="37"/>
      <c r="C166" s="37"/>
      <c r="D166" s="37"/>
      <c r="E166" s="37"/>
      <c r="F166" s="37"/>
      <c r="G166" s="37"/>
      <c r="H166" s="37"/>
      <c r="I166" s="42"/>
      <c r="J166" s="37"/>
      <c r="K166" s="37"/>
      <c r="L166" s="37"/>
      <c r="M166" s="37"/>
      <c r="N166" s="37"/>
      <c r="O166" s="37"/>
      <c r="P166" s="37"/>
      <c r="Q166" s="37">
        <v>2</v>
      </c>
      <c r="R166" s="73"/>
      <c r="S166" s="73"/>
      <c r="T166" s="73"/>
      <c r="U166" s="42"/>
      <c r="V166" s="69">
        <v>154</v>
      </c>
      <c r="W166" s="71"/>
      <c r="X166" s="42" t="s">
        <v>1623</v>
      </c>
      <c r="Y166" s="42" t="s">
        <v>1624</v>
      </c>
      <c r="Z166" s="42" t="s">
        <v>1625</v>
      </c>
      <c r="AA166" s="37"/>
      <c r="AB166" s="37"/>
      <c r="AC166" s="37"/>
      <c r="AD166" s="37"/>
      <c r="AE166" s="37"/>
      <c r="AF166" s="37"/>
      <c r="AG166" s="37"/>
      <c r="AH166" s="37"/>
      <c r="AI166" s="37"/>
      <c r="AJ166" s="37"/>
      <c r="AK166" s="37"/>
      <c r="AL166" s="42" t="s">
        <v>317</v>
      </c>
      <c r="AM166" s="53" t="s">
        <v>993</v>
      </c>
      <c r="AN166" s="53">
        <v>2017</v>
      </c>
      <c r="AO166" s="61">
        <v>3</v>
      </c>
    </row>
    <row r="167" spans="1:41" ht="135" x14ac:dyDescent="0.25">
      <c r="A167" s="37"/>
      <c r="B167" s="37"/>
      <c r="C167" s="37"/>
      <c r="D167" s="37"/>
      <c r="E167" s="37"/>
      <c r="F167" s="37"/>
      <c r="G167" s="37"/>
      <c r="H167" s="37"/>
      <c r="I167" s="42"/>
      <c r="J167" s="37"/>
      <c r="K167" s="37"/>
      <c r="L167" s="37"/>
      <c r="M167" s="37"/>
      <c r="N167" s="37"/>
      <c r="O167" s="37"/>
      <c r="P167" s="37"/>
      <c r="Q167" s="37">
        <v>3</v>
      </c>
      <c r="R167" s="73"/>
      <c r="S167" s="73"/>
      <c r="T167" s="73"/>
      <c r="U167" s="42"/>
      <c r="V167" s="69">
        <v>155</v>
      </c>
      <c r="W167" s="71"/>
      <c r="X167" s="42" t="s">
        <v>1626</v>
      </c>
      <c r="Y167" s="42" t="s">
        <v>1627</v>
      </c>
      <c r="Z167" s="42" t="s">
        <v>1628</v>
      </c>
      <c r="AA167" s="37"/>
      <c r="AB167" s="37"/>
      <c r="AC167" s="37"/>
      <c r="AD167" s="37"/>
      <c r="AE167" s="37"/>
      <c r="AF167" s="37"/>
      <c r="AG167" s="37"/>
      <c r="AH167" s="37"/>
      <c r="AI167" s="37"/>
      <c r="AJ167" s="37"/>
      <c r="AK167" s="37"/>
      <c r="AL167" s="42" t="s">
        <v>317</v>
      </c>
      <c r="AM167" s="53" t="s">
        <v>993</v>
      </c>
      <c r="AN167" s="53">
        <v>2018</v>
      </c>
      <c r="AO167" s="61">
        <v>0</v>
      </c>
    </row>
    <row r="168" spans="1:41" ht="150" x14ac:dyDescent="0.25">
      <c r="A168" s="73"/>
      <c r="B168" s="73"/>
      <c r="C168" s="73"/>
      <c r="D168" s="73"/>
      <c r="E168" s="73"/>
      <c r="F168" s="73"/>
      <c r="G168" s="73"/>
      <c r="H168" s="73"/>
      <c r="I168" s="42"/>
      <c r="J168" s="73"/>
      <c r="K168" s="73"/>
      <c r="L168" s="73"/>
      <c r="M168" s="73"/>
      <c r="N168" s="73"/>
      <c r="O168" s="73"/>
      <c r="P168" s="73"/>
      <c r="Q168" s="73">
        <v>1</v>
      </c>
      <c r="R168" s="73"/>
      <c r="S168" s="73"/>
      <c r="T168" s="73"/>
      <c r="U168" s="42"/>
      <c r="V168" s="69">
        <v>156</v>
      </c>
      <c r="W168" s="70"/>
      <c r="X168" s="42" t="s">
        <v>1629</v>
      </c>
      <c r="Y168" s="42" t="s">
        <v>1630</v>
      </c>
      <c r="Z168" s="42" t="s">
        <v>1631</v>
      </c>
      <c r="AA168" s="37"/>
      <c r="AB168" s="37"/>
      <c r="AC168" s="37"/>
      <c r="AD168" s="37"/>
      <c r="AE168" s="37"/>
      <c r="AF168" s="37"/>
      <c r="AG168" s="37"/>
      <c r="AH168" s="37"/>
      <c r="AI168" s="37"/>
      <c r="AJ168" s="37"/>
      <c r="AK168" s="37"/>
      <c r="AL168" s="42" t="s">
        <v>341</v>
      </c>
      <c r="AM168" s="53" t="s">
        <v>993</v>
      </c>
      <c r="AN168" s="53">
        <v>2005</v>
      </c>
      <c r="AO168" s="61">
        <v>8</v>
      </c>
    </row>
    <row r="169" spans="1:41" ht="120" x14ac:dyDescent="0.25">
      <c r="A169" s="37"/>
      <c r="B169" s="37"/>
      <c r="C169" s="37"/>
      <c r="D169" s="37"/>
      <c r="E169" s="37"/>
      <c r="F169" s="37"/>
      <c r="G169" s="37"/>
      <c r="H169" s="37"/>
      <c r="I169" s="42"/>
      <c r="J169" s="37"/>
      <c r="K169" s="37"/>
      <c r="L169" s="37"/>
      <c r="M169" s="37"/>
      <c r="N169" s="37"/>
      <c r="O169" s="37"/>
      <c r="P169" s="37"/>
      <c r="Q169" s="37">
        <v>2</v>
      </c>
      <c r="R169" s="73"/>
      <c r="S169" s="73"/>
      <c r="T169" s="73"/>
      <c r="U169" s="42"/>
      <c r="V169" s="69">
        <v>157</v>
      </c>
      <c r="W169" s="71"/>
      <c r="X169" s="42" t="s">
        <v>1632</v>
      </c>
      <c r="Y169" s="42" t="s">
        <v>1633</v>
      </c>
      <c r="Z169" s="42" t="s">
        <v>1634</v>
      </c>
      <c r="AA169" s="37"/>
      <c r="AB169" s="37"/>
      <c r="AC169" s="37"/>
      <c r="AD169" s="37"/>
      <c r="AE169" s="37"/>
      <c r="AF169" s="37"/>
      <c r="AG169" s="37"/>
      <c r="AH169" s="37"/>
      <c r="AI169" s="37"/>
      <c r="AJ169" s="37"/>
      <c r="AK169" s="37"/>
      <c r="AL169" s="42" t="s">
        <v>342</v>
      </c>
      <c r="AM169" s="53" t="s">
        <v>993</v>
      </c>
      <c r="AN169" s="53">
        <v>2008</v>
      </c>
      <c r="AO169" s="53">
        <v>37</v>
      </c>
    </row>
    <row r="170" spans="1:41" ht="225" x14ac:dyDescent="0.25">
      <c r="A170" s="73"/>
      <c r="B170" s="73"/>
      <c r="C170" s="73"/>
      <c r="D170" s="73"/>
      <c r="E170" s="73"/>
      <c r="F170" s="73"/>
      <c r="G170" s="73"/>
      <c r="H170" s="73"/>
      <c r="I170" s="42"/>
      <c r="J170" s="73"/>
      <c r="K170" s="73"/>
      <c r="L170" s="73"/>
      <c r="M170" s="73"/>
      <c r="N170" s="73"/>
      <c r="O170" s="73"/>
      <c r="P170" s="73"/>
      <c r="Q170" s="73">
        <v>1</v>
      </c>
      <c r="R170" s="73"/>
      <c r="S170" s="73"/>
      <c r="T170" s="73"/>
      <c r="U170" s="42"/>
      <c r="V170" s="69">
        <v>158</v>
      </c>
      <c r="W170" s="70"/>
      <c r="X170" s="42" t="s">
        <v>1635</v>
      </c>
      <c r="Y170" s="42" t="s">
        <v>1636</v>
      </c>
      <c r="Z170" s="42" t="s">
        <v>1637</v>
      </c>
      <c r="AA170" s="37"/>
      <c r="AB170" s="37"/>
      <c r="AC170" s="37"/>
      <c r="AD170" s="37"/>
      <c r="AE170" s="37"/>
      <c r="AF170" s="37"/>
      <c r="AG170" s="37"/>
      <c r="AH170" s="37"/>
      <c r="AI170" s="37"/>
      <c r="AJ170" s="37"/>
      <c r="AK170" s="37"/>
      <c r="AL170" s="42" t="s">
        <v>306</v>
      </c>
      <c r="AM170" s="53" t="s">
        <v>993</v>
      </c>
      <c r="AN170" s="53">
        <v>2018</v>
      </c>
      <c r="AO170" s="61">
        <v>3</v>
      </c>
    </row>
    <row r="171" spans="1:41" ht="135" x14ac:dyDescent="0.25">
      <c r="A171" s="73"/>
      <c r="B171" s="73"/>
      <c r="C171" s="73"/>
      <c r="D171" s="73"/>
      <c r="E171" s="73"/>
      <c r="F171" s="73"/>
      <c r="G171" s="73"/>
      <c r="H171" s="73"/>
      <c r="I171" s="42"/>
      <c r="J171" s="73"/>
      <c r="K171" s="73"/>
      <c r="L171" s="73"/>
      <c r="M171" s="73"/>
      <c r="N171" s="73"/>
      <c r="O171" s="73"/>
      <c r="P171" s="73"/>
      <c r="Q171" s="73">
        <v>1</v>
      </c>
      <c r="R171" s="73"/>
      <c r="S171" s="73"/>
      <c r="T171" s="73"/>
      <c r="U171" s="42"/>
      <c r="V171" s="69">
        <v>159</v>
      </c>
      <c r="W171" s="70"/>
      <c r="X171" s="42" t="s">
        <v>1638</v>
      </c>
      <c r="Y171" s="42" t="s">
        <v>1639</v>
      </c>
      <c r="Z171" s="42" t="s">
        <v>1640</v>
      </c>
      <c r="AA171" s="37"/>
      <c r="AB171" s="37"/>
      <c r="AC171" s="37"/>
      <c r="AD171" s="37"/>
      <c r="AE171" s="37"/>
      <c r="AF171" s="37"/>
      <c r="AG171" s="37"/>
      <c r="AH171" s="37"/>
      <c r="AI171" s="37"/>
      <c r="AJ171" s="37"/>
      <c r="AK171" s="37"/>
      <c r="AL171" s="42" t="s">
        <v>306</v>
      </c>
      <c r="AM171" s="53" t="s">
        <v>993</v>
      </c>
      <c r="AN171" s="53">
        <v>2016</v>
      </c>
      <c r="AO171" s="53">
        <v>183</v>
      </c>
    </row>
    <row r="172" spans="1:41" ht="210" x14ac:dyDescent="0.25">
      <c r="A172" s="73"/>
      <c r="B172" s="73"/>
      <c r="C172" s="73"/>
      <c r="D172" s="73"/>
      <c r="E172" s="73"/>
      <c r="F172" s="73"/>
      <c r="G172" s="73"/>
      <c r="H172" s="73"/>
      <c r="I172" s="42"/>
      <c r="J172" s="73"/>
      <c r="K172" s="73"/>
      <c r="L172" s="73"/>
      <c r="M172" s="73"/>
      <c r="N172" s="73"/>
      <c r="O172" s="73"/>
      <c r="P172" s="73"/>
      <c r="Q172" s="73">
        <v>1</v>
      </c>
      <c r="R172" s="73"/>
      <c r="S172" s="73"/>
      <c r="T172" s="73"/>
      <c r="U172" s="42"/>
      <c r="V172" s="69">
        <v>160</v>
      </c>
      <c r="W172" s="70"/>
      <c r="X172" s="42" t="s">
        <v>1641</v>
      </c>
      <c r="Y172" s="42" t="s">
        <v>1642</v>
      </c>
      <c r="Z172" s="42" t="s">
        <v>1643</v>
      </c>
      <c r="AA172" s="37"/>
      <c r="AB172" s="37"/>
      <c r="AC172" s="37"/>
      <c r="AD172" s="37"/>
      <c r="AE172" s="37"/>
      <c r="AF172" s="37"/>
      <c r="AG172" s="37"/>
      <c r="AH172" s="37"/>
      <c r="AI172" s="37"/>
      <c r="AJ172" s="37"/>
      <c r="AK172" s="37"/>
      <c r="AL172" s="42" t="s">
        <v>306</v>
      </c>
      <c r="AM172" s="53" t="s">
        <v>993</v>
      </c>
      <c r="AN172" s="53">
        <v>2008</v>
      </c>
      <c r="AO172" s="61">
        <v>8</v>
      </c>
    </row>
    <row r="173" spans="1:41" ht="165" x14ac:dyDescent="0.25">
      <c r="A173" s="37"/>
      <c r="B173" s="37"/>
      <c r="C173" s="37"/>
      <c r="D173" s="37"/>
      <c r="E173" s="37"/>
      <c r="F173" s="37"/>
      <c r="G173" s="37"/>
      <c r="H173" s="37"/>
      <c r="I173" s="42"/>
      <c r="J173" s="37"/>
      <c r="K173" s="37"/>
      <c r="L173" s="37"/>
      <c r="M173" s="37"/>
      <c r="N173" s="37"/>
      <c r="O173" s="37"/>
      <c r="P173" s="37"/>
      <c r="Q173" s="37">
        <v>3</v>
      </c>
      <c r="R173" s="73"/>
      <c r="S173" s="73"/>
      <c r="T173" s="73"/>
      <c r="U173" s="42"/>
      <c r="V173" s="69">
        <v>161</v>
      </c>
      <c r="W173" s="71"/>
      <c r="X173" s="42" t="s">
        <v>1644</v>
      </c>
      <c r="Y173" s="42" t="s">
        <v>1645</v>
      </c>
      <c r="Z173" s="42" t="s">
        <v>1646</v>
      </c>
      <c r="AA173" s="37"/>
      <c r="AB173" s="37"/>
      <c r="AC173" s="37"/>
      <c r="AD173" s="37"/>
      <c r="AE173" s="37"/>
      <c r="AF173" s="37"/>
      <c r="AG173" s="37"/>
      <c r="AH173" s="37"/>
      <c r="AI173" s="37"/>
      <c r="AJ173" s="37"/>
      <c r="AK173" s="37"/>
      <c r="AL173" s="42" t="s">
        <v>306</v>
      </c>
      <c r="AM173" s="53" t="s">
        <v>993</v>
      </c>
      <c r="AN173" s="53">
        <v>2016</v>
      </c>
      <c r="AO173" s="53">
        <v>26</v>
      </c>
    </row>
    <row r="174" spans="1:41" ht="270" x14ac:dyDescent="0.25">
      <c r="A174" s="37"/>
      <c r="B174" s="37"/>
      <c r="C174" s="37"/>
      <c r="D174" s="37"/>
      <c r="E174" s="37"/>
      <c r="F174" s="37"/>
      <c r="G174" s="37"/>
      <c r="H174" s="37"/>
      <c r="I174" s="42"/>
      <c r="J174" s="37"/>
      <c r="K174" s="37"/>
      <c r="L174" s="37"/>
      <c r="M174" s="37"/>
      <c r="N174" s="37"/>
      <c r="O174" s="37"/>
      <c r="P174" s="37"/>
      <c r="Q174" s="37">
        <v>2</v>
      </c>
      <c r="R174" s="73"/>
      <c r="S174" s="73"/>
      <c r="T174" s="73"/>
      <c r="U174" s="42"/>
      <c r="V174" s="69">
        <v>162</v>
      </c>
      <c r="W174" s="71"/>
      <c r="X174" s="42" t="s">
        <v>1647</v>
      </c>
      <c r="Y174" s="42" t="s">
        <v>1648</v>
      </c>
      <c r="Z174" s="42" t="s">
        <v>1649</v>
      </c>
      <c r="AA174" s="37"/>
      <c r="AB174" s="37"/>
      <c r="AC174" s="37"/>
      <c r="AD174" s="37"/>
      <c r="AE174" s="37"/>
      <c r="AF174" s="37"/>
      <c r="AG174" s="37"/>
      <c r="AH174" s="37"/>
      <c r="AI174" s="37"/>
      <c r="AJ174" s="37"/>
      <c r="AK174" s="37"/>
      <c r="AL174" s="42" t="s">
        <v>306</v>
      </c>
      <c r="AM174" s="53" t="s">
        <v>993</v>
      </c>
      <c r="AN174" s="53">
        <v>2019</v>
      </c>
      <c r="AO174" s="61">
        <v>0</v>
      </c>
    </row>
    <row r="175" spans="1:41" ht="150" x14ac:dyDescent="0.25">
      <c r="A175" s="73"/>
      <c r="B175" s="73"/>
      <c r="C175" s="73"/>
      <c r="D175" s="73"/>
      <c r="E175" s="73"/>
      <c r="F175" s="73"/>
      <c r="G175" s="73"/>
      <c r="H175" s="73"/>
      <c r="I175" s="42"/>
      <c r="J175" s="73"/>
      <c r="K175" s="73"/>
      <c r="L175" s="73"/>
      <c r="M175" s="73"/>
      <c r="N175" s="73"/>
      <c r="O175" s="73"/>
      <c r="P175" s="73"/>
      <c r="Q175" s="73">
        <v>1</v>
      </c>
      <c r="R175" s="73"/>
      <c r="S175" s="73"/>
      <c r="T175" s="73"/>
      <c r="U175" s="42"/>
      <c r="V175" s="69">
        <v>163</v>
      </c>
      <c r="W175" s="70"/>
      <c r="X175" s="42" t="s">
        <v>1650</v>
      </c>
      <c r="Y175" s="42" t="s">
        <v>1651</v>
      </c>
      <c r="Z175" s="42" t="s">
        <v>1652</v>
      </c>
      <c r="AA175" s="37"/>
      <c r="AB175" s="37"/>
      <c r="AC175" s="37"/>
      <c r="AD175" s="37"/>
      <c r="AE175" s="37"/>
      <c r="AF175" s="37"/>
      <c r="AG175" s="37"/>
      <c r="AH175" s="37"/>
      <c r="AI175" s="37"/>
      <c r="AJ175" s="37"/>
      <c r="AK175" s="37"/>
      <c r="AL175" s="42" t="s">
        <v>306</v>
      </c>
      <c r="AM175" s="53" t="s">
        <v>993</v>
      </c>
      <c r="AN175" s="53">
        <v>2008</v>
      </c>
      <c r="AO175" s="53">
        <v>150</v>
      </c>
    </row>
    <row r="176" spans="1:41" ht="120" x14ac:dyDescent="0.25">
      <c r="A176" s="37"/>
      <c r="B176" s="37"/>
      <c r="C176" s="37"/>
      <c r="D176" s="37"/>
      <c r="E176" s="37"/>
      <c r="F176" s="37"/>
      <c r="G176" s="37"/>
      <c r="H176" s="37"/>
      <c r="I176" s="42"/>
      <c r="J176" s="37"/>
      <c r="K176" s="37"/>
      <c r="L176" s="37"/>
      <c r="M176" s="37"/>
      <c r="N176" s="37"/>
      <c r="O176" s="37"/>
      <c r="P176" s="37"/>
      <c r="Q176" s="37">
        <v>2</v>
      </c>
      <c r="R176" s="73"/>
      <c r="S176" s="73"/>
      <c r="T176" s="73"/>
      <c r="U176" s="42"/>
      <c r="V176" s="69">
        <v>164</v>
      </c>
      <c r="W176" s="71"/>
      <c r="X176" s="42" t="s">
        <v>1653</v>
      </c>
      <c r="Y176" s="42" t="s">
        <v>1654</v>
      </c>
      <c r="Z176" s="42" t="s">
        <v>1655</v>
      </c>
      <c r="AA176" s="37"/>
      <c r="AB176" s="37"/>
      <c r="AC176" s="37"/>
      <c r="AD176" s="37"/>
      <c r="AE176" s="37"/>
      <c r="AF176" s="37"/>
      <c r="AG176" s="37"/>
      <c r="AH176" s="37"/>
      <c r="AI176" s="37"/>
      <c r="AJ176" s="37"/>
      <c r="AK176" s="37"/>
      <c r="AL176" s="42" t="s">
        <v>306</v>
      </c>
      <c r="AM176" s="53" t="s">
        <v>993</v>
      </c>
      <c r="AN176" s="53">
        <v>2011</v>
      </c>
      <c r="AO176" s="53">
        <v>26</v>
      </c>
    </row>
    <row r="177" spans="1:41" ht="210" x14ac:dyDescent="0.25">
      <c r="A177" s="73"/>
      <c r="B177" s="73"/>
      <c r="C177" s="73"/>
      <c r="D177" s="73"/>
      <c r="E177" s="73"/>
      <c r="F177" s="73"/>
      <c r="G177" s="73"/>
      <c r="H177" s="73"/>
      <c r="I177" s="42"/>
      <c r="J177" s="73"/>
      <c r="K177" s="73"/>
      <c r="L177" s="73"/>
      <c r="M177" s="73"/>
      <c r="N177" s="73"/>
      <c r="O177" s="73"/>
      <c r="P177" s="73"/>
      <c r="Q177" s="73">
        <v>1</v>
      </c>
      <c r="R177" s="73"/>
      <c r="S177" s="73"/>
      <c r="T177" s="73"/>
      <c r="U177" s="42"/>
      <c r="V177" s="69">
        <v>165</v>
      </c>
      <c r="W177" s="70"/>
      <c r="X177" s="42" t="s">
        <v>1656</v>
      </c>
      <c r="Y177" s="42" t="s">
        <v>1657</v>
      </c>
      <c r="Z177" s="42" t="s">
        <v>1658</v>
      </c>
      <c r="AA177" s="37"/>
      <c r="AB177" s="37"/>
      <c r="AC177" s="37"/>
      <c r="AD177" s="37"/>
      <c r="AE177" s="37"/>
      <c r="AF177" s="37"/>
      <c r="AG177" s="37"/>
      <c r="AH177" s="37"/>
      <c r="AI177" s="37"/>
      <c r="AJ177" s="37"/>
      <c r="AK177" s="37"/>
      <c r="AL177" s="42" t="s">
        <v>306</v>
      </c>
      <c r="AM177" s="53" t="s">
        <v>993</v>
      </c>
      <c r="AN177" s="53">
        <v>2018</v>
      </c>
      <c r="AO177" s="61">
        <v>0</v>
      </c>
    </row>
    <row r="178" spans="1:41" ht="195" x14ac:dyDescent="0.25">
      <c r="A178" s="73"/>
      <c r="B178" s="73"/>
      <c r="C178" s="73"/>
      <c r="D178" s="73"/>
      <c r="E178" s="73"/>
      <c r="F178" s="73"/>
      <c r="G178" s="73"/>
      <c r="H178" s="73"/>
      <c r="I178" s="42"/>
      <c r="J178" s="73"/>
      <c r="K178" s="73"/>
      <c r="L178" s="73"/>
      <c r="M178" s="73"/>
      <c r="N178" s="73"/>
      <c r="O178" s="73"/>
      <c r="P178" s="73"/>
      <c r="Q178" s="73">
        <v>1</v>
      </c>
      <c r="R178" s="73"/>
      <c r="S178" s="73"/>
      <c r="T178" s="73"/>
      <c r="U178" s="42"/>
      <c r="V178" s="69">
        <v>166</v>
      </c>
      <c r="W178" s="70"/>
      <c r="X178" s="42" t="s">
        <v>1659</v>
      </c>
      <c r="Y178" s="42" t="s">
        <v>1660</v>
      </c>
      <c r="Z178" s="42" t="s">
        <v>1661</v>
      </c>
      <c r="AA178" s="37"/>
      <c r="AB178" s="37"/>
      <c r="AC178" s="37"/>
      <c r="AD178" s="37"/>
      <c r="AE178" s="37"/>
      <c r="AF178" s="37"/>
      <c r="AG178" s="37"/>
      <c r="AH178" s="37"/>
      <c r="AI178" s="37"/>
      <c r="AJ178" s="37"/>
      <c r="AK178" s="37"/>
      <c r="AL178" s="42" t="s">
        <v>306</v>
      </c>
      <c r="AM178" s="53" t="s">
        <v>993</v>
      </c>
      <c r="AN178" s="53">
        <v>2015</v>
      </c>
      <c r="AO178" s="53">
        <v>24</v>
      </c>
    </row>
    <row r="179" spans="1:41" ht="210" x14ac:dyDescent="0.25">
      <c r="A179" s="37"/>
      <c r="B179" s="37"/>
      <c r="C179" s="37"/>
      <c r="D179" s="37"/>
      <c r="E179" s="37"/>
      <c r="F179" s="37"/>
      <c r="G179" s="37"/>
      <c r="H179" s="37"/>
      <c r="I179" s="42"/>
      <c r="J179" s="37"/>
      <c r="K179" s="37"/>
      <c r="L179" s="37"/>
      <c r="M179" s="37"/>
      <c r="N179" s="37"/>
      <c r="O179" s="37"/>
      <c r="P179" s="37"/>
      <c r="Q179" s="37">
        <v>2</v>
      </c>
      <c r="R179" s="73"/>
      <c r="S179" s="73"/>
      <c r="T179" s="73"/>
      <c r="U179" s="42"/>
      <c r="V179" s="69">
        <v>167</v>
      </c>
      <c r="W179" s="71"/>
      <c r="X179" s="42" t="s">
        <v>1662</v>
      </c>
      <c r="Y179" s="42" t="s">
        <v>1663</v>
      </c>
      <c r="Z179" s="42" t="s">
        <v>1664</v>
      </c>
      <c r="AA179" s="37"/>
      <c r="AB179" s="37"/>
      <c r="AC179" s="37"/>
      <c r="AD179" s="37"/>
      <c r="AE179" s="37"/>
      <c r="AF179" s="37"/>
      <c r="AG179" s="37"/>
      <c r="AH179" s="37"/>
      <c r="AI179" s="37"/>
      <c r="AJ179" s="37"/>
      <c r="AK179" s="37"/>
      <c r="AL179" s="42" t="s">
        <v>306</v>
      </c>
      <c r="AM179" s="53" t="s">
        <v>993</v>
      </c>
      <c r="AN179" s="53">
        <v>2015</v>
      </c>
      <c r="AO179" s="53">
        <v>16</v>
      </c>
    </row>
    <row r="180" spans="1:41" ht="225" x14ac:dyDescent="0.25">
      <c r="A180" s="73"/>
      <c r="B180" s="73"/>
      <c r="C180" s="73"/>
      <c r="D180" s="73"/>
      <c r="E180" s="73"/>
      <c r="F180" s="73"/>
      <c r="G180" s="73"/>
      <c r="H180" s="73"/>
      <c r="I180" s="42"/>
      <c r="J180" s="73"/>
      <c r="K180" s="73"/>
      <c r="L180" s="73"/>
      <c r="M180" s="73"/>
      <c r="N180" s="73"/>
      <c r="O180" s="73"/>
      <c r="P180" s="73"/>
      <c r="Q180" s="73">
        <v>1</v>
      </c>
      <c r="R180" s="73"/>
      <c r="S180" s="73"/>
      <c r="T180" s="73"/>
      <c r="U180" s="42"/>
      <c r="V180" s="69">
        <v>168</v>
      </c>
      <c r="W180" s="70"/>
      <c r="X180" s="42" t="s">
        <v>1635</v>
      </c>
      <c r="Y180" s="42" t="s">
        <v>1636</v>
      </c>
      <c r="Z180" s="42" t="s">
        <v>1637</v>
      </c>
      <c r="AA180" s="37"/>
      <c r="AB180" s="37"/>
      <c r="AC180" s="37"/>
      <c r="AD180" s="37"/>
      <c r="AE180" s="37"/>
      <c r="AF180" s="37"/>
      <c r="AG180" s="37"/>
      <c r="AH180" s="37"/>
      <c r="AI180" s="37"/>
      <c r="AJ180" s="37"/>
      <c r="AK180" s="37"/>
      <c r="AL180" s="42" t="s">
        <v>306</v>
      </c>
      <c r="AM180" s="53" t="s">
        <v>993</v>
      </c>
      <c r="AN180" s="53">
        <v>2018</v>
      </c>
      <c r="AO180" s="61">
        <v>3</v>
      </c>
    </row>
    <row r="181" spans="1:41" ht="225" x14ac:dyDescent="0.25">
      <c r="A181" s="73"/>
      <c r="B181" s="73"/>
      <c r="C181" s="73"/>
      <c r="D181" s="73"/>
      <c r="E181" s="73"/>
      <c r="F181" s="73"/>
      <c r="G181" s="73"/>
      <c r="H181" s="73"/>
      <c r="I181" s="42"/>
      <c r="J181" s="73"/>
      <c r="K181" s="73"/>
      <c r="L181" s="73"/>
      <c r="M181" s="73"/>
      <c r="N181" s="73"/>
      <c r="O181" s="73"/>
      <c r="P181" s="73"/>
      <c r="Q181" s="73">
        <v>1</v>
      </c>
      <c r="R181" s="73"/>
      <c r="S181" s="73"/>
      <c r="T181" s="73"/>
      <c r="U181" s="42"/>
      <c r="V181" s="69">
        <v>169</v>
      </c>
      <c r="W181" s="70"/>
      <c r="X181" s="42" t="s">
        <v>1665</v>
      </c>
      <c r="Y181" s="42" t="s">
        <v>1666</v>
      </c>
      <c r="Z181" s="42" t="s">
        <v>1667</v>
      </c>
      <c r="AA181" s="37"/>
      <c r="AB181" s="37"/>
      <c r="AC181" s="37"/>
      <c r="AD181" s="37"/>
      <c r="AE181" s="37"/>
      <c r="AF181" s="37"/>
      <c r="AG181" s="37"/>
      <c r="AH181" s="37"/>
      <c r="AI181" s="37"/>
      <c r="AJ181" s="37"/>
      <c r="AK181" s="37"/>
      <c r="AL181" s="42" t="s">
        <v>306</v>
      </c>
      <c r="AM181" s="53" t="s">
        <v>993</v>
      </c>
      <c r="AN181" s="53">
        <v>2013</v>
      </c>
      <c r="AO181" s="61">
        <v>65</v>
      </c>
    </row>
    <row r="182" spans="1:41" ht="150" x14ac:dyDescent="0.25">
      <c r="A182" s="73"/>
      <c r="B182" s="73"/>
      <c r="C182" s="73"/>
      <c r="D182" s="73"/>
      <c r="E182" s="73"/>
      <c r="F182" s="73"/>
      <c r="G182" s="73"/>
      <c r="H182" s="73"/>
      <c r="I182" s="42"/>
      <c r="J182" s="73"/>
      <c r="K182" s="73"/>
      <c r="L182" s="73"/>
      <c r="M182" s="73"/>
      <c r="N182" s="73"/>
      <c r="O182" s="73"/>
      <c r="P182" s="73"/>
      <c r="Q182" s="73">
        <v>1</v>
      </c>
      <c r="R182" s="73"/>
      <c r="S182" s="73"/>
      <c r="T182" s="73"/>
      <c r="U182" s="42"/>
      <c r="V182" s="69">
        <v>170</v>
      </c>
      <c r="W182" s="70"/>
      <c r="X182" s="42" t="s">
        <v>1668</v>
      </c>
      <c r="Y182" s="42" t="s">
        <v>1669</v>
      </c>
      <c r="Z182" s="42" t="s">
        <v>1670</v>
      </c>
      <c r="AA182" s="37"/>
      <c r="AB182" s="37"/>
      <c r="AC182" s="37"/>
      <c r="AD182" s="37"/>
      <c r="AE182" s="37"/>
      <c r="AF182" s="37"/>
      <c r="AG182" s="37"/>
      <c r="AH182" s="37"/>
      <c r="AI182" s="37"/>
      <c r="AJ182" s="37"/>
      <c r="AK182" s="37"/>
      <c r="AL182" s="42" t="s">
        <v>343</v>
      </c>
      <c r="AM182" s="53" t="s">
        <v>993</v>
      </c>
      <c r="AN182" s="53">
        <v>2016</v>
      </c>
      <c r="AO182" s="61">
        <v>2</v>
      </c>
    </row>
    <row r="183" spans="1:41" ht="195" x14ac:dyDescent="0.25">
      <c r="A183" s="37"/>
      <c r="B183" s="37"/>
      <c r="C183" s="37"/>
      <c r="D183" s="37"/>
      <c r="E183" s="37"/>
      <c r="F183" s="37"/>
      <c r="G183" s="37"/>
      <c r="H183" s="37"/>
      <c r="I183" s="42"/>
      <c r="J183" s="37"/>
      <c r="K183" s="37"/>
      <c r="L183" s="37"/>
      <c r="M183" s="37"/>
      <c r="N183" s="37"/>
      <c r="O183" s="37"/>
      <c r="P183" s="37"/>
      <c r="Q183" s="37">
        <v>3</v>
      </c>
      <c r="R183" s="73"/>
      <c r="S183" s="73"/>
      <c r="T183" s="73"/>
      <c r="U183" s="42"/>
      <c r="V183" s="69">
        <v>172</v>
      </c>
      <c r="W183" s="71"/>
      <c r="X183" s="42" t="s">
        <v>1671</v>
      </c>
      <c r="Y183" s="42" t="s">
        <v>1672</v>
      </c>
      <c r="Z183" s="42" t="s">
        <v>1673</v>
      </c>
      <c r="AA183" s="37"/>
      <c r="AB183" s="37"/>
      <c r="AC183" s="37"/>
      <c r="AD183" s="37"/>
      <c r="AE183" s="37"/>
      <c r="AF183" s="37"/>
      <c r="AG183" s="37"/>
      <c r="AH183" s="37"/>
      <c r="AI183" s="37"/>
      <c r="AJ183" s="37"/>
      <c r="AK183" s="37"/>
      <c r="AL183" s="42" t="s">
        <v>308</v>
      </c>
      <c r="AM183" s="53" t="s">
        <v>993</v>
      </c>
      <c r="AN183" s="53">
        <v>2015</v>
      </c>
      <c r="AO183" s="53">
        <v>15</v>
      </c>
    </row>
    <row r="184" spans="1:41" ht="195" x14ac:dyDescent="0.25">
      <c r="A184" s="37"/>
      <c r="B184" s="37"/>
      <c r="C184" s="37"/>
      <c r="D184" s="37"/>
      <c r="E184" s="37"/>
      <c r="F184" s="37"/>
      <c r="G184" s="37"/>
      <c r="H184" s="37"/>
      <c r="I184" s="42"/>
      <c r="J184" s="37"/>
      <c r="K184" s="37"/>
      <c r="L184" s="37"/>
      <c r="M184" s="37"/>
      <c r="N184" s="37"/>
      <c r="O184" s="37"/>
      <c r="P184" s="37"/>
      <c r="Q184" s="37">
        <v>3</v>
      </c>
      <c r="R184" s="73"/>
      <c r="S184" s="73"/>
      <c r="T184" s="73"/>
      <c r="U184" s="42"/>
      <c r="V184" s="76">
        <v>173</v>
      </c>
      <c r="W184" s="71"/>
      <c r="X184" s="42" t="s">
        <v>1674</v>
      </c>
      <c r="Y184" s="42" t="s">
        <v>1675</v>
      </c>
      <c r="Z184" s="42" t="s">
        <v>1676</v>
      </c>
      <c r="AA184" s="37"/>
      <c r="AB184" s="37"/>
      <c r="AC184" s="37"/>
      <c r="AD184" s="37"/>
      <c r="AE184" s="37"/>
      <c r="AF184" s="37"/>
      <c r="AG184" s="37"/>
      <c r="AH184" s="37"/>
      <c r="AI184" s="37"/>
      <c r="AJ184" s="37"/>
      <c r="AK184" s="37"/>
      <c r="AL184" s="42" t="s">
        <v>308</v>
      </c>
      <c r="AM184" s="53" t="s">
        <v>993</v>
      </c>
      <c r="AN184" s="53">
        <v>2002</v>
      </c>
      <c r="AO184" s="53">
        <v>396</v>
      </c>
    </row>
    <row r="185" spans="1:41" ht="225" x14ac:dyDescent="0.25">
      <c r="A185" s="37"/>
      <c r="B185" s="37"/>
      <c r="C185" s="37"/>
      <c r="D185" s="37"/>
      <c r="E185" s="37"/>
      <c r="F185" s="37"/>
      <c r="G185" s="37"/>
      <c r="H185" s="37"/>
      <c r="I185" s="42"/>
      <c r="J185" s="37"/>
      <c r="K185" s="37"/>
      <c r="L185" s="37"/>
      <c r="M185" s="37"/>
      <c r="N185" s="37"/>
      <c r="O185" s="37"/>
      <c r="P185" s="37"/>
      <c r="Q185" s="37">
        <v>2</v>
      </c>
      <c r="R185" s="73"/>
      <c r="S185" s="73"/>
      <c r="T185" s="73"/>
      <c r="U185" s="42"/>
      <c r="V185" s="69">
        <v>174</v>
      </c>
      <c r="W185" s="71"/>
      <c r="X185" s="42" t="s">
        <v>1677</v>
      </c>
      <c r="Y185" s="42" t="s">
        <v>1678</v>
      </c>
      <c r="Z185" s="42" t="s">
        <v>1679</v>
      </c>
      <c r="AA185" s="37"/>
      <c r="AB185" s="37"/>
      <c r="AC185" s="37"/>
      <c r="AD185" s="37"/>
      <c r="AE185" s="37"/>
      <c r="AF185" s="37"/>
      <c r="AG185" s="37"/>
      <c r="AH185" s="37"/>
      <c r="AI185" s="37"/>
      <c r="AJ185" s="37"/>
      <c r="AK185" s="37"/>
      <c r="AL185" s="42" t="s">
        <v>308</v>
      </c>
      <c r="AM185" s="53" t="s">
        <v>993</v>
      </c>
      <c r="AN185" s="53">
        <v>2014</v>
      </c>
      <c r="AO185" s="53">
        <v>59</v>
      </c>
    </row>
    <row r="186" spans="1:41" ht="195" x14ac:dyDescent="0.25">
      <c r="A186" s="37"/>
      <c r="B186" s="37"/>
      <c r="C186" s="37"/>
      <c r="D186" s="37"/>
      <c r="E186" s="37"/>
      <c r="F186" s="37"/>
      <c r="G186" s="37"/>
      <c r="H186" s="37"/>
      <c r="I186" s="42"/>
      <c r="J186" s="37"/>
      <c r="K186" s="37"/>
      <c r="L186" s="37"/>
      <c r="M186" s="37"/>
      <c r="N186" s="37"/>
      <c r="O186" s="37"/>
      <c r="P186" s="37"/>
      <c r="Q186" s="37">
        <v>2</v>
      </c>
      <c r="R186" s="73"/>
      <c r="S186" s="73"/>
      <c r="T186" s="73"/>
      <c r="U186" s="42"/>
      <c r="V186" s="69">
        <v>175</v>
      </c>
      <c r="W186" s="71"/>
      <c r="X186" s="42" t="s">
        <v>1680</v>
      </c>
      <c r="Y186" s="42" t="s">
        <v>1681</v>
      </c>
      <c r="Z186" s="42" t="s">
        <v>1682</v>
      </c>
      <c r="AA186" s="37"/>
      <c r="AB186" s="37"/>
      <c r="AC186" s="37"/>
      <c r="AD186" s="37"/>
      <c r="AE186" s="37"/>
      <c r="AF186" s="37"/>
      <c r="AG186" s="37"/>
      <c r="AH186" s="37"/>
      <c r="AI186" s="37"/>
      <c r="AJ186" s="37"/>
      <c r="AK186" s="37"/>
      <c r="AL186" s="42" t="s">
        <v>308</v>
      </c>
      <c r="AM186" s="53" t="s">
        <v>993</v>
      </c>
      <c r="AN186" s="53">
        <v>2015</v>
      </c>
      <c r="AO186" s="53">
        <v>31</v>
      </c>
    </row>
    <row r="187" spans="1:41" ht="165" x14ac:dyDescent="0.25">
      <c r="A187" s="37"/>
      <c r="B187" s="37"/>
      <c r="C187" s="37"/>
      <c r="D187" s="37"/>
      <c r="E187" s="37"/>
      <c r="F187" s="37"/>
      <c r="G187" s="37"/>
      <c r="H187" s="37"/>
      <c r="I187" s="42"/>
      <c r="J187" s="37"/>
      <c r="K187" s="37"/>
      <c r="L187" s="37"/>
      <c r="M187" s="37"/>
      <c r="N187" s="37"/>
      <c r="O187" s="37"/>
      <c r="P187" s="37"/>
      <c r="Q187" s="37">
        <v>3</v>
      </c>
      <c r="R187" s="73"/>
      <c r="S187" s="73"/>
      <c r="T187" s="73"/>
      <c r="U187" s="42"/>
      <c r="V187" s="69">
        <v>176</v>
      </c>
      <c r="W187" s="71"/>
      <c r="X187" s="42" t="s">
        <v>1683</v>
      </c>
      <c r="Y187" s="42" t="s">
        <v>1684</v>
      </c>
      <c r="Z187" s="42" t="s">
        <v>1685</v>
      </c>
      <c r="AA187" s="37"/>
      <c r="AB187" s="37"/>
      <c r="AC187" s="37"/>
      <c r="AD187" s="37"/>
      <c r="AE187" s="37"/>
      <c r="AF187" s="37"/>
      <c r="AG187" s="37"/>
      <c r="AH187" s="37"/>
      <c r="AI187" s="37"/>
      <c r="AJ187" s="37"/>
      <c r="AK187" s="37"/>
      <c r="AL187" s="42" t="s">
        <v>308</v>
      </c>
      <c r="AM187" s="53" t="s">
        <v>993</v>
      </c>
      <c r="AN187" s="53">
        <v>2014</v>
      </c>
      <c r="AO187" s="61">
        <v>4</v>
      </c>
    </row>
    <row r="188" spans="1:41" ht="195" x14ac:dyDescent="0.25">
      <c r="A188" s="73"/>
      <c r="B188" s="73"/>
      <c r="C188" s="73"/>
      <c r="D188" s="73"/>
      <c r="E188" s="73"/>
      <c r="F188" s="73"/>
      <c r="G188" s="73"/>
      <c r="H188" s="73"/>
      <c r="I188" s="42"/>
      <c r="J188" s="73"/>
      <c r="K188" s="73"/>
      <c r="L188" s="73"/>
      <c r="M188" s="73"/>
      <c r="N188" s="73"/>
      <c r="O188" s="73"/>
      <c r="P188" s="73"/>
      <c r="Q188" s="73">
        <v>1</v>
      </c>
      <c r="R188" s="73"/>
      <c r="S188" s="73"/>
      <c r="T188" s="73"/>
      <c r="U188" s="42"/>
      <c r="V188" s="69">
        <v>177</v>
      </c>
      <c r="W188" s="70"/>
      <c r="X188" s="42" t="s">
        <v>1686</v>
      </c>
      <c r="Y188" s="42" t="s">
        <v>1687</v>
      </c>
      <c r="Z188" s="42" t="s">
        <v>1688</v>
      </c>
      <c r="AA188" s="37"/>
      <c r="AB188" s="37"/>
      <c r="AC188" s="37"/>
      <c r="AD188" s="37"/>
      <c r="AE188" s="37"/>
      <c r="AF188" s="37"/>
      <c r="AG188" s="37"/>
      <c r="AH188" s="37"/>
      <c r="AI188" s="37"/>
      <c r="AJ188" s="37"/>
      <c r="AK188" s="37"/>
      <c r="AL188" s="42" t="s">
        <v>308</v>
      </c>
      <c r="AM188" s="53" t="s">
        <v>993</v>
      </c>
      <c r="AN188" s="53">
        <v>2010</v>
      </c>
      <c r="AO188" s="53">
        <v>197</v>
      </c>
    </row>
    <row r="189" spans="1:41" ht="120" x14ac:dyDescent="0.25">
      <c r="A189" s="37"/>
      <c r="B189" s="37"/>
      <c r="C189" s="37"/>
      <c r="D189" s="37"/>
      <c r="E189" s="37"/>
      <c r="F189" s="37"/>
      <c r="G189" s="37"/>
      <c r="H189" s="37"/>
      <c r="I189" s="42"/>
      <c r="J189" s="37"/>
      <c r="K189" s="37"/>
      <c r="L189" s="37"/>
      <c r="M189" s="37"/>
      <c r="N189" s="37"/>
      <c r="O189" s="37"/>
      <c r="P189" s="37"/>
      <c r="Q189" s="37">
        <v>3</v>
      </c>
      <c r="R189" s="73"/>
      <c r="S189" s="73"/>
      <c r="T189" s="73"/>
      <c r="U189" s="42"/>
      <c r="V189" s="69">
        <v>178</v>
      </c>
      <c r="W189" s="71"/>
      <c r="X189" s="42" t="s">
        <v>1689</v>
      </c>
      <c r="Y189" s="42" t="s">
        <v>1690</v>
      </c>
      <c r="Z189" s="42" t="s">
        <v>1691</v>
      </c>
      <c r="AA189" s="37"/>
      <c r="AB189" s="37"/>
      <c r="AC189" s="37"/>
      <c r="AD189" s="37"/>
      <c r="AE189" s="37"/>
      <c r="AF189" s="37"/>
      <c r="AG189" s="37"/>
      <c r="AH189" s="37"/>
      <c r="AI189" s="37"/>
      <c r="AJ189" s="37"/>
      <c r="AK189" s="37"/>
      <c r="AL189" s="42" t="s">
        <v>308</v>
      </c>
      <c r="AM189" s="53" t="s">
        <v>993</v>
      </c>
      <c r="AN189" s="53">
        <v>2016</v>
      </c>
      <c r="AO189" s="61">
        <v>2</v>
      </c>
    </row>
    <row r="190" spans="1:41" ht="180" x14ac:dyDescent="0.25">
      <c r="A190" s="73"/>
      <c r="B190" s="73"/>
      <c r="C190" s="73"/>
      <c r="D190" s="73"/>
      <c r="E190" s="73"/>
      <c r="F190" s="73"/>
      <c r="G190" s="73"/>
      <c r="H190" s="73"/>
      <c r="I190" s="42"/>
      <c r="J190" s="73"/>
      <c r="K190" s="73"/>
      <c r="L190" s="73"/>
      <c r="M190" s="73"/>
      <c r="N190" s="73"/>
      <c r="O190" s="73"/>
      <c r="P190" s="73"/>
      <c r="Q190" s="73">
        <v>1</v>
      </c>
      <c r="R190" s="73"/>
      <c r="S190" s="73"/>
      <c r="T190" s="73"/>
      <c r="U190" s="42"/>
      <c r="V190" s="69">
        <v>179</v>
      </c>
      <c r="W190" s="70"/>
      <c r="X190" s="42" t="s">
        <v>1692</v>
      </c>
      <c r="Y190" s="42" t="s">
        <v>1693</v>
      </c>
      <c r="Z190" s="42" t="s">
        <v>1694</v>
      </c>
      <c r="AA190" s="37"/>
      <c r="AB190" s="37"/>
      <c r="AC190" s="37"/>
      <c r="AD190" s="37"/>
      <c r="AE190" s="37"/>
      <c r="AF190" s="37"/>
      <c r="AG190" s="37"/>
      <c r="AH190" s="37"/>
      <c r="AI190" s="37"/>
      <c r="AJ190" s="37"/>
      <c r="AK190" s="37"/>
      <c r="AL190" s="42" t="s">
        <v>308</v>
      </c>
      <c r="AM190" s="53" t="s">
        <v>993</v>
      </c>
      <c r="AN190" s="53">
        <v>2002</v>
      </c>
      <c r="AO190" s="53">
        <v>35</v>
      </c>
    </row>
    <row r="191" spans="1:41" ht="225" x14ac:dyDescent="0.25">
      <c r="A191" s="73"/>
      <c r="B191" s="73"/>
      <c r="C191" s="73"/>
      <c r="D191" s="73"/>
      <c r="E191" s="73"/>
      <c r="F191" s="73"/>
      <c r="G191" s="73"/>
      <c r="H191" s="73"/>
      <c r="I191" s="42"/>
      <c r="J191" s="73"/>
      <c r="K191" s="73"/>
      <c r="L191" s="73"/>
      <c r="M191" s="73"/>
      <c r="N191" s="73"/>
      <c r="O191" s="73"/>
      <c r="P191" s="73"/>
      <c r="Q191" s="73">
        <v>1</v>
      </c>
      <c r="R191" s="73"/>
      <c r="S191" s="73"/>
      <c r="T191" s="73"/>
      <c r="U191" s="42"/>
      <c r="V191" s="69">
        <v>180</v>
      </c>
      <c r="W191" s="70"/>
      <c r="X191" s="42" t="s">
        <v>1695</v>
      </c>
      <c r="Y191" s="42" t="s">
        <v>1696</v>
      </c>
      <c r="Z191" s="42" t="s">
        <v>1697</v>
      </c>
      <c r="AA191" s="37"/>
      <c r="AB191" s="37"/>
      <c r="AC191" s="37"/>
      <c r="AD191" s="37"/>
      <c r="AE191" s="37"/>
      <c r="AF191" s="37"/>
      <c r="AG191" s="37"/>
      <c r="AH191" s="37"/>
      <c r="AI191" s="37"/>
      <c r="AJ191" s="37"/>
      <c r="AK191" s="37"/>
      <c r="AL191" s="42" t="s">
        <v>308</v>
      </c>
      <c r="AM191" s="53" t="s">
        <v>993</v>
      </c>
      <c r="AN191" s="53">
        <v>2018</v>
      </c>
      <c r="AO191" s="61">
        <v>1</v>
      </c>
    </row>
    <row r="192" spans="1:41" ht="255" x14ac:dyDescent="0.25">
      <c r="A192" s="37"/>
      <c r="B192" s="37"/>
      <c r="C192" s="37"/>
      <c r="D192" s="37"/>
      <c r="E192" s="37"/>
      <c r="F192" s="37"/>
      <c r="G192" s="37"/>
      <c r="H192" s="37"/>
      <c r="I192" s="42"/>
      <c r="J192" s="37"/>
      <c r="K192" s="37"/>
      <c r="L192" s="37"/>
      <c r="M192" s="37"/>
      <c r="N192" s="37"/>
      <c r="O192" s="37"/>
      <c r="P192" s="37"/>
      <c r="Q192" s="37">
        <v>3</v>
      </c>
      <c r="R192" s="73"/>
      <c r="S192" s="73"/>
      <c r="T192" s="73"/>
      <c r="U192" s="42"/>
      <c r="V192" s="76">
        <v>181</v>
      </c>
      <c r="W192" s="71"/>
      <c r="X192" s="42" t="s">
        <v>1698</v>
      </c>
      <c r="Y192" s="42" t="s">
        <v>1699</v>
      </c>
      <c r="Z192" s="42" t="s">
        <v>1700</v>
      </c>
      <c r="AA192" s="37"/>
      <c r="AB192" s="37"/>
      <c r="AC192" s="37"/>
      <c r="AD192" s="37"/>
      <c r="AE192" s="37"/>
      <c r="AF192" s="37"/>
      <c r="AG192" s="37"/>
      <c r="AH192" s="37"/>
      <c r="AI192" s="37"/>
      <c r="AJ192" s="37"/>
      <c r="AK192" s="37"/>
      <c r="AL192" s="42" t="s">
        <v>308</v>
      </c>
      <c r="AM192" s="53" t="s">
        <v>993</v>
      </c>
      <c r="AN192" s="53">
        <v>2018</v>
      </c>
      <c r="AO192" s="61">
        <v>4</v>
      </c>
    </row>
    <row r="193" spans="1:41" ht="105" x14ac:dyDescent="0.25">
      <c r="A193" s="37"/>
      <c r="B193" s="37"/>
      <c r="C193" s="37"/>
      <c r="D193" s="37"/>
      <c r="E193" s="37"/>
      <c r="F193" s="37"/>
      <c r="G193" s="37"/>
      <c r="H193" s="37"/>
      <c r="I193" s="42"/>
      <c r="J193" s="37"/>
      <c r="K193" s="37"/>
      <c r="L193" s="37"/>
      <c r="M193" s="37"/>
      <c r="N193" s="37"/>
      <c r="O193" s="37"/>
      <c r="P193" s="37"/>
      <c r="Q193" s="37">
        <v>2</v>
      </c>
      <c r="R193" s="73"/>
      <c r="S193" s="73"/>
      <c r="T193" s="73"/>
      <c r="U193" s="42"/>
      <c r="V193" s="69">
        <v>182</v>
      </c>
      <c r="W193" s="71"/>
      <c r="X193" s="42" t="s">
        <v>1701</v>
      </c>
      <c r="Y193" s="42" t="s">
        <v>1702</v>
      </c>
      <c r="Z193" s="42" t="s">
        <v>1703</v>
      </c>
      <c r="AA193" s="37"/>
      <c r="AB193" s="37"/>
      <c r="AC193" s="37"/>
      <c r="AD193" s="37"/>
      <c r="AE193" s="37"/>
      <c r="AF193" s="37"/>
      <c r="AG193" s="37"/>
      <c r="AH193" s="37"/>
      <c r="AI193" s="37"/>
      <c r="AJ193" s="37"/>
      <c r="AK193" s="37"/>
      <c r="AL193" s="42" t="s">
        <v>305</v>
      </c>
      <c r="AM193" s="53" t="s">
        <v>993</v>
      </c>
      <c r="AN193" s="53">
        <v>2014</v>
      </c>
      <c r="AO193" s="53">
        <v>148</v>
      </c>
    </row>
    <row r="194" spans="1:41" ht="180" x14ac:dyDescent="0.25">
      <c r="A194" s="73"/>
      <c r="B194" s="73"/>
      <c r="C194" s="73"/>
      <c r="D194" s="73"/>
      <c r="E194" s="73"/>
      <c r="F194" s="73"/>
      <c r="G194" s="73"/>
      <c r="H194" s="73"/>
      <c r="I194" s="42"/>
      <c r="J194" s="73"/>
      <c r="K194" s="73"/>
      <c r="L194" s="73"/>
      <c r="M194" s="73"/>
      <c r="N194" s="73"/>
      <c r="O194" s="73"/>
      <c r="P194" s="73"/>
      <c r="Q194" s="73">
        <v>1</v>
      </c>
      <c r="R194" s="73"/>
      <c r="S194" s="73"/>
      <c r="T194" s="73"/>
      <c r="U194" s="42"/>
      <c r="V194" s="69">
        <v>183</v>
      </c>
      <c r="W194" s="70"/>
      <c r="X194" s="42" t="s">
        <v>1704</v>
      </c>
      <c r="Y194" s="42" t="s">
        <v>1705</v>
      </c>
      <c r="Z194" s="42" t="s">
        <v>1706</v>
      </c>
      <c r="AA194" s="37"/>
      <c r="AB194" s="37"/>
      <c r="AC194" s="37"/>
      <c r="AD194" s="37"/>
      <c r="AE194" s="37"/>
      <c r="AF194" s="37"/>
      <c r="AG194" s="37"/>
      <c r="AH194" s="37"/>
      <c r="AI194" s="37"/>
      <c r="AJ194" s="37"/>
      <c r="AK194" s="37"/>
      <c r="AL194" s="42" t="s">
        <v>305</v>
      </c>
      <c r="AM194" s="53" t="s">
        <v>993</v>
      </c>
      <c r="AN194" s="53">
        <v>2018</v>
      </c>
      <c r="AO194" s="61">
        <v>1</v>
      </c>
    </row>
    <row r="195" spans="1:41" ht="150" x14ac:dyDescent="0.25">
      <c r="A195" s="37"/>
      <c r="B195" s="37"/>
      <c r="C195" s="37"/>
      <c r="D195" s="37"/>
      <c r="E195" s="37"/>
      <c r="F195" s="37"/>
      <c r="G195" s="37"/>
      <c r="H195" s="37"/>
      <c r="I195" s="42"/>
      <c r="J195" s="37"/>
      <c r="K195" s="37"/>
      <c r="L195" s="37"/>
      <c r="M195" s="37"/>
      <c r="N195" s="37"/>
      <c r="O195" s="37"/>
      <c r="P195" s="37"/>
      <c r="Q195" s="37">
        <v>3</v>
      </c>
      <c r="R195" s="73"/>
      <c r="S195" s="73"/>
      <c r="T195" s="73"/>
      <c r="U195" s="42"/>
      <c r="V195" s="69">
        <v>184</v>
      </c>
      <c r="W195" s="71"/>
      <c r="X195" s="42" t="s">
        <v>1707</v>
      </c>
      <c r="Y195" s="42" t="s">
        <v>1708</v>
      </c>
      <c r="Z195" s="42" t="s">
        <v>1709</v>
      </c>
      <c r="AA195" s="37"/>
      <c r="AB195" s="37"/>
      <c r="AC195" s="37"/>
      <c r="AD195" s="37"/>
      <c r="AE195" s="37"/>
      <c r="AF195" s="37"/>
      <c r="AG195" s="37"/>
      <c r="AH195" s="37"/>
      <c r="AI195" s="37"/>
      <c r="AJ195" s="37"/>
      <c r="AK195" s="37"/>
      <c r="AL195" s="42" t="s">
        <v>305</v>
      </c>
      <c r="AM195" s="53" t="s">
        <v>993</v>
      </c>
      <c r="AN195" s="53">
        <v>2011</v>
      </c>
      <c r="AO195" s="53">
        <v>176</v>
      </c>
    </row>
    <row r="196" spans="1:41" ht="105" x14ac:dyDescent="0.25">
      <c r="A196" s="77"/>
      <c r="B196" s="77"/>
      <c r="C196" s="77"/>
      <c r="D196" s="77"/>
      <c r="E196" s="77"/>
      <c r="F196" s="77"/>
      <c r="G196" s="77"/>
      <c r="H196" s="77"/>
      <c r="I196" s="78"/>
      <c r="J196" s="77"/>
      <c r="K196" s="77"/>
      <c r="L196" s="77"/>
      <c r="M196" s="77"/>
      <c r="N196" s="77"/>
      <c r="O196" s="77"/>
      <c r="P196" s="77"/>
      <c r="Q196" s="77">
        <v>3</v>
      </c>
      <c r="R196" s="79"/>
      <c r="S196" s="79"/>
      <c r="T196" s="79"/>
      <c r="U196" s="79"/>
      <c r="V196" s="80">
        <v>185</v>
      </c>
      <c r="W196" s="81"/>
      <c r="X196" s="78" t="s">
        <v>1710</v>
      </c>
      <c r="Y196" s="78" t="s">
        <v>1711</v>
      </c>
      <c r="Z196" s="78" t="s">
        <v>1712</v>
      </c>
      <c r="AL196" s="78" t="s">
        <v>305</v>
      </c>
      <c r="AM196" s="82" t="s">
        <v>993</v>
      </c>
      <c r="AN196" s="82">
        <v>2004</v>
      </c>
      <c r="AO196" s="82">
        <v>117</v>
      </c>
    </row>
    <row r="197" spans="1:41" ht="180" x14ac:dyDescent="0.25">
      <c r="A197" s="83"/>
      <c r="B197" s="83"/>
      <c r="C197" s="83"/>
      <c r="D197" s="83"/>
      <c r="E197" s="83"/>
      <c r="F197" s="83"/>
      <c r="G197" s="83"/>
      <c r="H197" s="83"/>
      <c r="I197" s="84"/>
      <c r="J197" s="83"/>
      <c r="K197" s="83"/>
      <c r="L197" s="83"/>
      <c r="M197" s="83"/>
      <c r="N197" s="83"/>
      <c r="O197" s="83"/>
      <c r="P197" s="83"/>
      <c r="Q197" s="83">
        <v>2</v>
      </c>
      <c r="R197" s="85"/>
      <c r="S197" s="85"/>
      <c r="T197" s="85"/>
      <c r="U197" s="85"/>
      <c r="V197" s="86">
        <v>186</v>
      </c>
      <c r="W197" s="87"/>
      <c r="X197" s="84" t="s">
        <v>1713</v>
      </c>
      <c r="Y197" s="84" t="s">
        <v>1714</v>
      </c>
      <c r="Z197" s="84" t="s">
        <v>1715</v>
      </c>
      <c r="AL197" s="84" t="s">
        <v>305</v>
      </c>
      <c r="AM197" s="88" t="s">
        <v>993</v>
      </c>
      <c r="AN197" s="88">
        <v>2014</v>
      </c>
      <c r="AO197" s="89">
        <v>3</v>
      </c>
    </row>
    <row r="198" spans="1:41" ht="135" x14ac:dyDescent="0.25">
      <c r="A198" s="73"/>
      <c r="B198" s="73"/>
      <c r="C198" s="73"/>
      <c r="D198" s="73"/>
      <c r="E198" s="73"/>
      <c r="F198" s="73"/>
      <c r="G198" s="73"/>
      <c r="H198" s="73"/>
      <c r="I198" s="42"/>
      <c r="J198" s="73"/>
      <c r="K198" s="73"/>
      <c r="L198" s="73"/>
      <c r="M198" s="73"/>
      <c r="N198" s="73"/>
      <c r="O198" s="73"/>
      <c r="P198" s="73"/>
      <c r="Q198" s="73">
        <v>1</v>
      </c>
      <c r="R198" s="73"/>
      <c r="S198" s="73"/>
      <c r="T198" s="73"/>
      <c r="U198" s="42"/>
      <c r="V198" s="69">
        <v>187</v>
      </c>
      <c r="W198" s="70"/>
      <c r="X198" s="42" t="s">
        <v>1716</v>
      </c>
      <c r="Y198" s="42" t="s">
        <v>1717</v>
      </c>
      <c r="Z198" s="42" t="s">
        <v>1718</v>
      </c>
      <c r="AA198" s="37"/>
      <c r="AB198" s="37"/>
      <c r="AC198" s="37"/>
      <c r="AD198" s="37"/>
      <c r="AE198" s="37"/>
      <c r="AF198" s="37"/>
      <c r="AG198" s="37"/>
      <c r="AH198" s="37"/>
      <c r="AI198" s="37"/>
      <c r="AJ198" s="37"/>
      <c r="AK198" s="37"/>
      <c r="AL198" s="42" t="s">
        <v>305</v>
      </c>
      <c r="AM198" s="53" t="s">
        <v>993</v>
      </c>
      <c r="AN198" s="53">
        <v>2016</v>
      </c>
      <c r="AO198" s="61">
        <v>4</v>
      </c>
    </row>
    <row r="199" spans="1:41" ht="165" x14ac:dyDescent="0.25">
      <c r="A199" s="37"/>
      <c r="B199" s="37"/>
      <c r="C199" s="37"/>
      <c r="D199" s="37"/>
      <c r="E199" s="37"/>
      <c r="F199" s="37"/>
      <c r="G199" s="37"/>
      <c r="H199" s="37"/>
      <c r="I199" s="42"/>
      <c r="J199" s="37"/>
      <c r="K199" s="37"/>
      <c r="L199" s="37"/>
      <c r="M199" s="37"/>
      <c r="N199" s="37"/>
      <c r="O199" s="37"/>
      <c r="P199" s="37"/>
      <c r="Q199" s="37">
        <v>3</v>
      </c>
      <c r="R199" s="73"/>
      <c r="S199" s="73"/>
      <c r="T199" s="73"/>
      <c r="U199" s="42"/>
      <c r="V199" s="69">
        <v>188</v>
      </c>
      <c r="W199" s="71"/>
      <c r="X199" s="42" t="s">
        <v>1719</v>
      </c>
      <c r="Y199" s="42" t="s">
        <v>1720</v>
      </c>
      <c r="Z199" s="42" t="s">
        <v>1721</v>
      </c>
      <c r="AA199" s="37"/>
      <c r="AB199" s="37"/>
      <c r="AC199" s="37"/>
      <c r="AD199" s="37"/>
      <c r="AE199" s="37"/>
      <c r="AF199" s="37"/>
      <c r="AG199" s="37"/>
      <c r="AH199" s="37"/>
      <c r="AI199" s="37"/>
      <c r="AJ199" s="37"/>
      <c r="AK199" s="37"/>
      <c r="AL199" s="42" t="s">
        <v>305</v>
      </c>
      <c r="AM199" s="53" t="s">
        <v>993</v>
      </c>
      <c r="AN199" s="53">
        <v>2018</v>
      </c>
      <c r="AO199" s="61">
        <v>0</v>
      </c>
    </row>
    <row r="200" spans="1:41" ht="90" x14ac:dyDescent="0.25">
      <c r="A200" s="73"/>
      <c r="B200" s="73"/>
      <c r="C200" s="73"/>
      <c r="D200" s="73"/>
      <c r="E200" s="73"/>
      <c r="F200" s="73"/>
      <c r="G200" s="73"/>
      <c r="H200" s="73"/>
      <c r="I200" s="42"/>
      <c r="J200" s="73"/>
      <c r="K200" s="73"/>
      <c r="L200" s="73"/>
      <c r="M200" s="73"/>
      <c r="N200" s="73"/>
      <c r="O200" s="73"/>
      <c r="P200" s="73"/>
      <c r="Q200" s="73">
        <v>1</v>
      </c>
      <c r="R200" s="73"/>
      <c r="S200" s="73"/>
      <c r="T200" s="73"/>
      <c r="U200" s="42"/>
      <c r="V200" s="69">
        <v>189</v>
      </c>
      <c r="W200" s="70"/>
      <c r="X200" s="42" t="s">
        <v>1722</v>
      </c>
      <c r="Y200" s="42" t="s">
        <v>1723</v>
      </c>
      <c r="Z200" s="42" t="s">
        <v>1724</v>
      </c>
      <c r="AA200" s="37"/>
      <c r="AB200" s="37"/>
      <c r="AC200" s="37"/>
      <c r="AD200" s="37"/>
      <c r="AE200" s="37"/>
      <c r="AF200" s="37"/>
      <c r="AG200" s="37"/>
      <c r="AH200" s="37"/>
      <c r="AI200" s="37"/>
      <c r="AJ200" s="37"/>
      <c r="AK200" s="37"/>
      <c r="AL200" s="42" t="s">
        <v>305</v>
      </c>
      <c r="AM200" s="53" t="s">
        <v>993</v>
      </c>
      <c r="AN200" s="53">
        <v>2010</v>
      </c>
      <c r="AO200" s="53">
        <v>20</v>
      </c>
    </row>
    <row r="201" spans="1:41" ht="195" x14ac:dyDescent="0.25">
      <c r="A201" s="37"/>
      <c r="B201" s="37"/>
      <c r="C201" s="37"/>
      <c r="D201" s="37"/>
      <c r="E201" s="37"/>
      <c r="F201" s="37"/>
      <c r="G201" s="37"/>
      <c r="H201" s="37"/>
      <c r="I201" s="42"/>
      <c r="J201" s="37"/>
      <c r="K201" s="37"/>
      <c r="L201" s="37"/>
      <c r="M201" s="37"/>
      <c r="N201" s="37"/>
      <c r="O201" s="37"/>
      <c r="P201" s="37"/>
      <c r="Q201" s="37">
        <v>3</v>
      </c>
      <c r="R201" s="73"/>
      <c r="S201" s="73"/>
      <c r="T201" s="73"/>
      <c r="U201" s="42"/>
      <c r="V201" s="69">
        <v>190</v>
      </c>
      <c r="W201" s="71"/>
      <c r="X201" s="42" t="s">
        <v>1725</v>
      </c>
      <c r="Y201" s="42" t="s">
        <v>1726</v>
      </c>
      <c r="Z201" s="42" t="s">
        <v>1727</v>
      </c>
      <c r="AA201" s="37"/>
      <c r="AB201" s="37"/>
      <c r="AC201" s="37"/>
      <c r="AD201" s="37"/>
      <c r="AE201" s="37"/>
      <c r="AF201" s="37"/>
      <c r="AG201" s="37"/>
      <c r="AH201" s="37"/>
      <c r="AI201" s="37"/>
      <c r="AJ201" s="37"/>
      <c r="AK201" s="37"/>
      <c r="AL201" s="42" t="s">
        <v>305</v>
      </c>
      <c r="AM201" s="53" t="s">
        <v>993</v>
      </c>
      <c r="AN201" s="53">
        <v>2010</v>
      </c>
      <c r="AO201" s="53">
        <v>89</v>
      </c>
    </row>
    <row r="202" spans="1:41" ht="195" x14ac:dyDescent="0.25">
      <c r="A202" s="37"/>
      <c r="B202" s="37"/>
      <c r="C202" s="37"/>
      <c r="D202" s="37"/>
      <c r="E202" s="37"/>
      <c r="F202" s="37"/>
      <c r="G202" s="37"/>
      <c r="H202" s="37"/>
      <c r="I202" s="42"/>
      <c r="J202" s="37"/>
      <c r="K202" s="37"/>
      <c r="L202" s="37"/>
      <c r="M202" s="37"/>
      <c r="N202" s="37"/>
      <c r="O202" s="37"/>
      <c r="P202" s="37"/>
      <c r="Q202" s="37">
        <v>3</v>
      </c>
      <c r="R202" s="73"/>
      <c r="S202" s="73"/>
      <c r="T202" s="73"/>
      <c r="U202" s="42"/>
      <c r="V202" s="69">
        <v>191</v>
      </c>
      <c r="W202" s="71"/>
      <c r="X202" s="42" t="s">
        <v>1728</v>
      </c>
      <c r="Y202" s="42" t="s">
        <v>1729</v>
      </c>
      <c r="Z202" s="42" t="s">
        <v>1730</v>
      </c>
      <c r="AA202" s="37"/>
      <c r="AB202" s="37"/>
      <c r="AC202" s="37"/>
      <c r="AD202" s="37"/>
      <c r="AE202" s="37"/>
      <c r="AF202" s="37"/>
      <c r="AG202" s="37"/>
      <c r="AH202" s="37"/>
      <c r="AI202" s="37"/>
      <c r="AJ202" s="37"/>
      <c r="AK202" s="37"/>
      <c r="AL202" s="42" t="s">
        <v>305</v>
      </c>
      <c r="AM202" s="53" t="s">
        <v>993</v>
      </c>
      <c r="AN202" s="53">
        <v>2018</v>
      </c>
      <c r="AO202" s="61">
        <v>2</v>
      </c>
    </row>
    <row r="203" spans="1:41" ht="180" x14ac:dyDescent="0.25">
      <c r="A203" s="37"/>
      <c r="B203" s="37"/>
      <c r="C203" s="37"/>
      <c r="D203" s="37"/>
      <c r="E203" s="37"/>
      <c r="F203" s="37"/>
      <c r="G203" s="37"/>
      <c r="H203" s="37"/>
      <c r="I203" s="42"/>
      <c r="J203" s="37"/>
      <c r="K203" s="37"/>
      <c r="L203" s="37"/>
      <c r="M203" s="37"/>
      <c r="N203" s="37"/>
      <c r="O203" s="37"/>
      <c r="P203" s="37"/>
      <c r="Q203" s="37">
        <v>3</v>
      </c>
      <c r="R203" s="73"/>
      <c r="S203" s="73"/>
      <c r="T203" s="73"/>
      <c r="U203" s="42"/>
      <c r="V203" s="69">
        <v>192</v>
      </c>
      <c r="W203" s="71"/>
      <c r="X203" s="42" t="s">
        <v>1731</v>
      </c>
      <c r="Y203" s="42" t="s">
        <v>1732</v>
      </c>
      <c r="Z203" s="42" t="s">
        <v>1733</v>
      </c>
      <c r="AA203" s="37"/>
      <c r="AB203" s="37"/>
      <c r="AC203" s="37"/>
      <c r="AD203" s="37"/>
      <c r="AE203" s="37"/>
      <c r="AF203" s="37"/>
      <c r="AG203" s="37"/>
      <c r="AH203" s="37"/>
      <c r="AI203" s="37"/>
      <c r="AJ203" s="37"/>
      <c r="AK203" s="37"/>
      <c r="AL203" s="42" t="s">
        <v>305</v>
      </c>
      <c r="AM203" s="53" t="s">
        <v>993</v>
      </c>
      <c r="AN203" s="53">
        <v>2015</v>
      </c>
      <c r="AO203" s="61">
        <v>2</v>
      </c>
    </row>
    <row r="204" spans="1:41" ht="150" x14ac:dyDescent="0.25">
      <c r="A204" s="37"/>
      <c r="B204" s="37"/>
      <c r="C204" s="37"/>
      <c r="D204" s="37"/>
      <c r="E204" s="37"/>
      <c r="F204" s="37"/>
      <c r="G204" s="37"/>
      <c r="H204" s="37"/>
      <c r="I204" s="42"/>
      <c r="J204" s="37"/>
      <c r="K204" s="37"/>
      <c r="L204" s="37"/>
      <c r="M204" s="37"/>
      <c r="N204" s="37"/>
      <c r="O204" s="37"/>
      <c r="P204" s="37"/>
      <c r="Q204" s="37">
        <v>2</v>
      </c>
      <c r="R204" s="73"/>
      <c r="S204" s="73"/>
      <c r="T204" s="73"/>
      <c r="U204" s="42"/>
      <c r="V204" s="69">
        <v>193</v>
      </c>
      <c r="W204" s="71"/>
      <c r="X204" s="42" t="s">
        <v>1734</v>
      </c>
      <c r="Y204" s="42" t="s">
        <v>1735</v>
      </c>
      <c r="Z204" s="42" t="s">
        <v>1736</v>
      </c>
      <c r="AA204" s="37"/>
      <c r="AB204" s="37"/>
      <c r="AC204" s="37"/>
      <c r="AD204" s="37"/>
      <c r="AE204" s="37"/>
      <c r="AF204" s="37"/>
      <c r="AG204" s="37"/>
      <c r="AH204" s="37"/>
      <c r="AI204" s="37"/>
      <c r="AJ204" s="37"/>
      <c r="AK204" s="37"/>
      <c r="AL204" s="42" t="s">
        <v>305</v>
      </c>
      <c r="AM204" s="53" t="s">
        <v>993</v>
      </c>
      <c r="AN204" s="53">
        <v>2013</v>
      </c>
      <c r="AO204" s="61">
        <v>5</v>
      </c>
    </row>
    <row r="205" spans="1:41" ht="165" x14ac:dyDescent="0.25">
      <c r="A205" s="73"/>
      <c r="B205" s="73"/>
      <c r="C205" s="73"/>
      <c r="D205" s="73"/>
      <c r="E205" s="73"/>
      <c r="F205" s="73"/>
      <c r="G205" s="73"/>
      <c r="H205" s="73"/>
      <c r="I205" s="42"/>
      <c r="J205" s="73"/>
      <c r="K205" s="73"/>
      <c r="L205" s="73"/>
      <c r="M205" s="73"/>
      <c r="N205" s="73"/>
      <c r="O205" s="73"/>
      <c r="P205" s="73"/>
      <c r="Q205" s="73">
        <v>1</v>
      </c>
      <c r="R205" s="73"/>
      <c r="S205" s="73"/>
      <c r="T205" s="73"/>
      <c r="U205" s="42"/>
      <c r="V205" s="69">
        <v>194</v>
      </c>
      <c r="W205" s="70"/>
      <c r="X205" s="42" t="s">
        <v>1737</v>
      </c>
      <c r="Y205" s="42" t="s">
        <v>1738</v>
      </c>
      <c r="Z205" s="42" t="s">
        <v>1739</v>
      </c>
      <c r="AA205" s="37"/>
      <c r="AB205" s="37"/>
      <c r="AC205" s="37"/>
      <c r="AD205" s="37"/>
      <c r="AE205" s="37"/>
      <c r="AF205" s="37"/>
      <c r="AG205" s="37"/>
      <c r="AH205" s="37"/>
      <c r="AI205" s="37"/>
      <c r="AJ205" s="37"/>
      <c r="AK205" s="37"/>
      <c r="AL205" s="42" t="s">
        <v>305</v>
      </c>
      <c r="AM205" s="53" t="s">
        <v>993</v>
      </c>
      <c r="AN205" s="53">
        <v>2002</v>
      </c>
      <c r="AO205" s="61">
        <v>6</v>
      </c>
    </row>
    <row r="206" spans="1:41" ht="150" x14ac:dyDescent="0.25">
      <c r="A206" s="73"/>
      <c r="B206" s="73"/>
      <c r="C206" s="73"/>
      <c r="D206" s="73"/>
      <c r="E206" s="73"/>
      <c r="F206" s="73"/>
      <c r="G206" s="73"/>
      <c r="H206" s="73"/>
      <c r="I206" s="42"/>
      <c r="J206" s="73"/>
      <c r="K206" s="73"/>
      <c r="L206" s="73"/>
      <c r="M206" s="73"/>
      <c r="N206" s="73"/>
      <c r="O206" s="73"/>
      <c r="P206" s="73"/>
      <c r="Q206" s="73">
        <v>1</v>
      </c>
      <c r="R206" s="73"/>
      <c r="S206" s="73"/>
      <c r="T206" s="73"/>
      <c r="U206" s="42"/>
      <c r="V206" s="69">
        <v>196</v>
      </c>
      <c r="W206" s="70"/>
      <c r="X206" s="42" t="s">
        <v>1740</v>
      </c>
      <c r="Y206" s="42" t="s">
        <v>1741</v>
      </c>
      <c r="Z206" s="42" t="s">
        <v>1742</v>
      </c>
      <c r="AA206" s="37"/>
      <c r="AB206" s="37"/>
      <c r="AC206" s="37"/>
      <c r="AD206" s="37"/>
      <c r="AE206" s="37"/>
      <c r="AF206" s="37"/>
      <c r="AG206" s="37"/>
      <c r="AH206" s="37"/>
      <c r="AI206" s="37"/>
      <c r="AJ206" s="37"/>
      <c r="AK206" s="37"/>
      <c r="AL206" s="42" t="s">
        <v>344</v>
      </c>
      <c r="AM206" s="53" t="s">
        <v>1172</v>
      </c>
      <c r="AN206" s="53">
        <v>2003</v>
      </c>
      <c r="AO206" s="53">
        <v>213</v>
      </c>
    </row>
    <row r="207" spans="1:41" ht="120" x14ac:dyDescent="0.25">
      <c r="A207" s="37"/>
      <c r="B207" s="37"/>
      <c r="C207" s="37"/>
      <c r="D207" s="37"/>
      <c r="E207" s="37"/>
      <c r="F207" s="37"/>
      <c r="G207" s="37"/>
      <c r="H207" s="37"/>
      <c r="I207" s="42"/>
      <c r="J207" s="37"/>
      <c r="K207" s="37"/>
      <c r="L207" s="37"/>
      <c r="M207" s="37"/>
      <c r="N207" s="37"/>
      <c r="O207" s="37"/>
      <c r="P207" s="37"/>
      <c r="Q207" s="37">
        <v>2</v>
      </c>
      <c r="R207" s="73"/>
      <c r="S207" s="73"/>
      <c r="T207" s="73"/>
      <c r="U207" s="42"/>
      <c r="V207" s="69">
        <v>197</v>
      </c>
      <c r="W207" s="71"/>
      <c r="X207" s="42" t="s">
        <v>1743</v>
      </c>
      <c r="Y207" s="42" t="s">
        <v>1744</v>
      </c>
      <c r="Z207" s="42" t="s">
        <v>1745</v>
      </c>
      <c r="AA207" s="37"/>
      <c r="AB207" s="37"/>
      <c r="AC207" s="37"/>
      <c r="AD207" s="37"/>
      <c r="AE207" s="37"/>
      <c r="AF207" s="37"/>
      <c r="AG207" s="37"/>
      <c r="AH207" s="37"/>
      <c r="AI207" s="37"/>
      <c r="AJ207" s="37"/>
      <c r="AK207" s="37"/>
      <c r="AL207" s="42" t="s">
        <v>345</v>
      </c>
      <c r="AM207" s="53" t="s">
        <v>1172</v>
      </c>
      <c r="AN207" s="53">
        <v>2005</v>
      </c>
      <c r="AO207" s="61">
        <v>2</v>
      </c>
    </row>
    <row r="208" spans="1:41" ht="210" x14ac:dyDescent="0.25">
      <c r="A208" s="37"/>
      <c r="B208" s="37"/>
      <c r="C208" s="37"/>
      <c r="D208" s="37"/>
      <c r="E208" s="37"/>
      <c r="F208" s="37"/>
      <c r="G208" s="37"/>
      <c r="H208" s="37"/>
      <c r="I208" s="42"/>
      <c r="J208" s="37"/>
      <c r="K208" s="37"/>
      <c r="L208" s="37"/>
      <c r="M208" s="37"/>
      <c r="N208" s="37"/>
      <c r="O208" s="37"/>
      <c r="P208" s="37"/>
      <c r="Q208" s="37">
        <v>3</v>
      </c>
      <c r="R208" s="73"/>
      <c r="S208" s="73"/>
      <c r="T208" s="73"/>
      <c r="U208" s="42"/>
      <c r="V208" s="69">
        <v>198</v>
      </c>
      <c r="W208" s="71"/>
      <c r="X208" s="42" t="s">
        <v>1746</v>
      </c>
      <c r="Y208" s="42" t="s">
        <v>1747</v>
      </c>
      <c r="Z208" s="42" t="s">
        <v>1748</v>
      </c>
      <c r="AA208" s="37"/>
      <c r="AB208" s="37"/>
      <c r="AC208" s="37"/>
      <c r="AD208" s="37"/>
      <c r="AE208" s="37"/>
      <c r="AF208" s="37"/>
      <c r="AG208" s="37"/>
      <c r="AH208" s="37"/>
      <c r="AI208" s="37"/>
      <c r="AJ208" s="37"/>
      <c r="AK208" s="37"/>
      <c r="AL208" s="42" t="s">
        <v>346</v>
      </c>
      <c r="AM208" s="53" t="s">
        <v>993</v>
      </c>
      <c r="AN208" s="53">
        <v>2011</v>
      </c>
      <c r="AO208" s="53">
        <v>15</v>
      </c>
    </row>
    <row r="209" spans="1:41" ht="150" x14ac:dyDescent="0.25">
      <c r="A209" s="73"/>
      <c r="B209" s="73"/>
      <c r="C209" s="73"/>
      <c r="D209" s="73"/>
      <c r="E209" s="73"/>
      <c r="F209" s="73"/>
      <c r="G209" s="73"/>
      <c r="H209" s="73"/>
      <c r="I209" s="73"/>
      <c r="J209" s="73"/>
      <c r="K209" s="73"/>
      <c r="L209" s="73"/>
      <c r="M209" s="73"/>
      <c r="N209" s="73"/>
      <c r="O209" s="73"/>
      <c r="P209" s="73"/>
      <c r="Q209" s="73">
        <v>1</v>
      </c>
      <c r="R209" s="73"/>
      <c r="S209" s="73"/>
      <c r="T209" s="73"/>
      <c r="U209" s="42"/>
      <c r="V209" s="69">
        <v>201</v>
      </c>
      <c r="W209" s="70"/>
      <c r="X209" s="42" t="s">
        <v>1290</v>
      </c>
      <c r="Y209" s="42" t="s">
        <v>1291</v>
      </c>
      <c r="Z209" s="42" t="s">
        <v>1292</v>
      </c>
      <c r="AA209" s="37"/>
      <c r="AB209" s="37"/>
      <c r="AC209" s="37"/>
      <c r="AD209" s="37"/>
      <c r="AE209" s="37"/>
      <c r="AF209" s="37"/>
      <c r="AG209" s="37"/>
      <c r="AH209" s="37"/>
      <c r="AI209" s="37"/>
      <c r="AJ209" s="37"/>
      <c r="AK209" s="37"/>
      <c r="AL209" s="42" t="s">
        <v>313</v>
      </c>
      <c r="AM209" s="53" t="s">
        <v>993</v>
      </c>
      <c r="AN209" s="53">
        <v>2018</v>
      </c>
      <c r="AO209" s="61"/>
    </row>
    <row r="210" spans="1:41" ht="255" x14ac:dyDescent="0.25">
      <c r="A210" s="73"/>
      <c r="B210" s="73"/>
      <c r="C210" s="73"/>
      <c r="D210" s="73"/>
      <c r="E210" s="73"/>
      <c r="F210" s="73"/>
      <c r="G210" s="73"/>
      <c r="H210" s="73"/>
      <c r="I210" s="73"/>
      <c r="J210" s="73"/>
      <c r="K210" s="73"/>
      <c r="L210" s="73"/>
      <c r="M210" s="73"/>
      <c r="N210" s="73"/>
      <c r="O210" s="73"/>
      <c r="P210" s="73"/>
      <c r="Q210" s="73">
        <v>1</v>
      </c>
      <c r="R210" s="73"/>
      <c r="S210" s="73"/>
      <c r="T210" s="73"/>
      <c r="U210" s="42"/>
      <c r="V210" s="69">
        <v>202</v>
      </c>
      <c r="W210" s="70"/>
      <c r="X210" s="42" t="s">
        <v>1749</v>
      </c>
      <c r="Y210" s="42" t="s">
        <v>1750</v>
      </c>
      <c r="Z210" s="42" t="s">
        <v>1751</v>
      </c>
      <c r="AA210" s="37"/>
      <c r="AB210" s="37"/>
      <c r="AC210" s="37"/>
      <c r="AD210" s="37"/>
      <c r="AE210" s="37"/>
      <c r="AF210" s="37"/>
      <c r="AG210" s="37"/>
      <c r="AH210" s="37"/>
      <c r="AI210" s="37"/>
      <c r="AJ210" s="37"/>
      <c r="AK210" s="37"/>
      <c r="AL210" s="42" t="s">
        <v>298</v>
      </c>
      <c r="AM210" s="53" t="s">
        <v>993</v>
      </c>
      <c r="AN210" s="53">
        <v>2016</v>
      </c>
      <c r="AO210" s="61"/>
    </row>
    <row r="211" spans="1:41" ht="150" x14ac:dyDescent="0.25">
      <c r="A211" s="37"/>
      <c r="B211" s="37"/>
      <c r="C211" s="37"/>
      <c r="D211" s="37"/>
      <c r="E211" s="37"/>
      <c r="F211" s="37"/>
      <c r="G211" s="37"/>
      <c r="H211" s="37"/>
      <c r="I211" s="37"/>
      <c r="J211" s="37"/>
      <c r="K211" s="37"/>
      <c r="L211" s="37"/>
      <c r="M211" s="37"/>
      <c r="N211" s="37"/>
      <c r="O211" s="37"/>
      <c r="P211" s="37"/>
      <c r="Q211" s="37">
        <v>2</v>
      </c>
      <c r="R211" s="73"/>
      <c r="S211" s="73"/>
      <c r="T211" s="73"/>
      <c r="U211" s="42"/>
      <c r="V211" s="61">
        <v>203</v>
      </c>
      <c r="W211" s="42"/>
      <c r="X211" s="42" t="s">
        <v>1752</v>
      </c>
      <c r="Y211" s="42" t="s">
        <v>1753</v>
      </c>
      <c r="Z211" s="42" t="s">
        <v>1754</v>
      </c>
      <c r="AA211" s="37"/>
      <c r="AB211" s="37"/>
      <c r="AC211" s="37"/>
      <c r="AD211" s="37"/>
      <c r="AE211" s="37"/>
      <c r="AF211" s="37"/>
      <c r="AG211" s="37"/>
      <c r="AH211" s="37"/>
      <c r="AI211" s="37"/>
      <c r="AJ211" s="37"/>
      <c r="AK211" s="37"/>
      <c r="AL211" s="42" t="s">
        <v>298</v>
      </c>
      <c r="AM211" s="53" t="s">
        <v>993</v>
      </c>
      <c r="AN211" s="53">
        <v>2016</v>
      </c>
      <c r="AO211" s="61"/>
    </row>
    <row r="212" spans="1:41" ht="120" x14ac:dyDescent="0.25">
      <c r="A212" s="73"/>
      <c r="B212" s="73"/>
      <c r="C212" s="73"/>
      <c r="D212" s="73"/>
      <c r="E212" s="73"/>
      <c r="F212" s="73"/>
      <c r="G212" s="73"/>
      <c r="H212" s="73"/>
      <c r="I212" s="73"/>
      <c r="J212" s="73"/>
      <c r="K212" s="73"/>
      <c r="L212" s="73"/>
      <c r="M212" s="73"/>
      <c r="N212" s="73"/>
      <c r="O212" s="73"/>
      <c r="P212" s="73"/>
      <c r="Q212" s="73">
        <v>1</v>
      </c>
      <c r="R212" s="73"/>
      <c r="S212" s="73"/>
      <c r="T212" s="73"/>
      <c r="U212" s="42"/>
      <c r="V212" s="69">
        <v>205</v>
      </c>
      <c r="W212" s="70"/>
      <c r="X212" s="42" t="s">
        <v>1755</v>
      </c>
      <c r="Y212" s="42" t="s">
        <v>1756</v>
      </c>
      <c r="Z212" s="42" t="s">
        <v>1757</v>
      </c>
      <c r="AA212" s="37"/>
      <c r="AB212" s="37"/>
      <c r="AC212" s="37"/>
      <c r="AD212" s="37"/>
      <c r="AE212" s="37"/>
      <c r="AF212" s="37"/>
      <c r="AG212" s="37"/>
      <c r="AH212" s="37"/>
      <c r="AI212" s="37"/>
      <c r="AJ212" s="37"/>
      <c r="AK212" s="37"/>
      <c r="AL212" s="42" t="s">
        <v>328</v>
      </c>
      <c r="AM212" s="53" t="s">
        <v>993</v>
      </c>
      <c r="AN212" s="53">
        <v>2015</v>
      </c>
      <c r="AO212" s="61"/>
    </row>
    <row r="213" spans="1:41" ht="135" x14ac:dyDescent="0.25">
      <c r="A213" s="73"/>
      <c r="B213" s="73"/>
      <c r="C213" s="73"/>
      <c r="D213" s="73"/>
      <c r="E213" s="73"/>
      <c r="F213" s="73"/>
      <c r="G213" s="73"/>
      <c r="H213" s="73"/>
      <c r="I213" s="73"/>
      <c r="J213" s="73"/>
      <c r="K213" s="73"/>
      <c r="L213" s="73"/>
      <c r="M213" s="73"/>
      <c r="N213" s="73"/>
      <c r="O213" s="73"/>
      <c r="P213" s="73"/>
      <c r="Q213" s="73">
        <v>1</v>
      </c>
      <c r="R213" s="73"/>
      <c r="S213" s="73"/>
      <c r="T213" s="73"/>
      <c r="U213" s="42"/>
      <c r="V213" s="69">
        <v>206</v>
      </c>
      <c r="W213" s="70"/>
      <c r="X213" s="42" t="s">
        <v>1758</v>
      </c>
      <c r="Y213" s="42" t="s">
        <v>1759</v>
      </c>
      <c r="Z213" s="42" t="s">
        <v>1760</v>
      </c>
      <c r="AA213" s="37"/>
      <c r="AB213" s="37"/>
      <c r="AC213" s="37"/>
      <c r="AD213" s="37"/>
      <c r="AE213" s="37"/>
      <c r="AF213" s="37"/>
      <c r="AG213" s="37"/>
      <c r="AH213" s="37"/>
      <c r="AI213" s="37"/>
      <c r="AJ213" s="37"/>
      <c r="AK213" s="37"/>
      <c r="AL213" s="42" t="s">
        <v>333</v>
      </c>
      <c r="AM213" s="53" t="s">
        <v>993</v>
      </c>
      <c r="AN213" s="53">
        <v>2015</v>
      </c>
      <c r="AO213" s="61"/>
    </row>
    <row r="214" spans="1:41" ht="270" x14ac:dyDescent="0.25">
      <c r="A214" s="73"/>
      <c r="B214" s="73"/>
      <c r="C214" s="73"/>
      <c r="D214" s="73"/>
      <c r="E214" s="73"/>
      <c r="F214" s="73"/>
      <c r="G214" s="73"/>
      <c r="H214" s="73"/>
      <c r="I214" s="73"/>
      <c r="J214" s="73"/>
      <c r="K214" s="73"/>
      <c r="L214" s="73"/>
      <c r="M214" s="73"/>
      <c r="N214" s="73"/>
      <c r="O214" s="73"/>
      <c r="P214" s="73"/>
      <c r="Q214" s="73">
        <v>1</v>
      </c>
      <c r="R214" s="73"/>
      <c r="S214" s="73"/>
      <c r="T214" s="73"/>
      <c r="U214" s="42"/>
      <c r="V214" s="69">
        <v>207</v>
      </c>
      <c r="W214" s="70"/>
      <c r="X214" s="42" t="s">
        <v>1761</v>
      </c>
      <c r="Y214" s="42" t="s">
        <v>1762</v>
      </c>
      <c r="Z214" s="42" t="s">
        <v>1763</v>
      </c>
      <c r="AA214" s="37"/>
      <c r="AB214" s="37"/>
      <c r="AC214" s="37"/>
      <c r="AD214" s="37"/>
      <c r="AE214" s="37"/>
      <c r="AF214" s="37"/>
      <c r="AG214" s="37"/>
      <c r="AH214" s="37"/>
      <c r="AI214" s="37"/>
      <c r="AJ214" s="37"/>
      <c r="AK214" s="37"/>
      <c r="AL214" s="42" t="s">
        <v>315</v>
      </c>
      <c r="AM214" s="53" t="s">
        <v>993</v>
      </c>
      <c r="AN214" s="53">
        <v>2014</v>
      </c>
      <c r="AO214" s="61"/>
    </row>
    <row r="215" spans="1:41" ht="195" x14ac:dyDescent="0.25">
      <c r="A215" s="37"/>
      <c r="B215" s="37"/>
      <c r="C215" s="37"/>
      <c r="D215" s="37"/>
      <c r="E215" s="37"/>
      <c r="F215" s="37"/>
      <c r="G215" s="37"/>
      <c r="H215" s="37"/>
      <c r="I215" s="37"/>
      <c r="J215" s="37"/>
      <c r="K215" s="37"/>
      <c r="L215" s="37"/>
      <c r="M215" s="37"/>
      <c r="N215" s="37"/>
      <c r="O215" s="37"/>
      <c r="P215" s="37"/>
      <c r="Q215" s="37">
        <v>2</v>
      </c>
      <c r="R215" s="73"/>
      <c r="S215" s="73"/>
      <c r="T215" s="73"/>
      <c r="U215" s="42"/>
      <c r="V215" s="61">
        <v>208</v>
      </c>
      <c r="W215" s="42"/>
      <c r="X215" s="42" t="s">
        <v>1764</v>
      </c>
      <c r="Y215" s="42" t="s">
        <v>1765</v>
      </c>
      <c r="Z215" s="42" t="s">
        <v>1766</v>
      </c>
      <c r="AA215" s="37"/>
      <c r="AB215" s="37"/>
      <c r="AC215" s="37"/>
      <c r="AD215" s="37"/>
      <c r="AE215" s="37"/>
      <c r="AF215" s="37"/>
      <c r="AG215" s="37"/>
      <c r="AH215" s="37"/>
      <c r="AI215" s="37"/>
      <c r="AJ215" s="37"/>
      <c r="AK215" s="37"/>
      <c r="AL215" s="42" t="s">
        <v>300</v>
      </c>
      <c r="AM215" s="53" t="s">
        <v>993</v>
      </c>
      <c r="AN215" s="53">
        <v>2014</v>
      </c>
      <c r="AO215" s="61"/>
    </row>
    <row r="216" spans="1:41" ht="210" x14ac:dyDescent="0.25">
      <c r="A216" s="37"/>
      <c r="B216" s="37"/>
      <c r="C216" s="37"/>
      <c r="D216" s="37"/>
      <c r="E216" s="37"/>
      <c r="F216" s="37"/>
      <c r="G216" s="37"/>
      <c r="H216" s="37"/>
      <c r="I216" s="37"/>
      <c r="J216" s="37"/>
      <c r="K216" s="37"/>
      <c r="L216" s="37"/>
      <c r="M216" s="37"/>
      <c r="N216" s="37"/>
      <c r="O216" s="37"/>
      <c r="P216" s="37"/>
      <c r="Q216" s="37">
        <v>2</v>
      </c>
      <c r="R216" s="73"/>
      <c r="S216" s="73"/>
      <c r="T216" s="73"/>
      <c r="U216" s="42"/>
      <c r="V216" s="61">
        <v>209</v>
      </c>
      <c r="W216" s="42"/>
      <c r="X216" s="42" t="s">
        <v>1767</v>
      </c>
      <c r="Y216" s="42" t="s">
        <v>1768</v>
      </c>
      <c r="Z216" s="42" t="s">
        <v>1769</v>
      </c>
      <c r="AA216" s="37"/>
      <c r="AB216" s="37"/>
      <c r="AC216" s="37"/>
      <c r="AD216" s="37"/>
      <c r="AE216" s="37"/>
      <c r="AF216" s="37"/>
      <c r="AG216" s="37"/>
      <c r="AH216" s="37"/>
      <c r="AI216" s="37"/>
      <c r="AJ216" s="37"/>
      <c r="AK216" s="37"/>
      <c r="AL216" s="42" t="s">
        <v>302</v>
      </c>
      <c r="AM216" s="53" t="s">
        <v>993</v>
      </c>
      <c r="AN216" s="53">
        <v>2014</v>
      </c>
      <c r="AO216" s="61"/>
    </row>
    <row r="217" spans="1:41" ht="195" x14ac:dyDescent="0.25">
      <c r="A217" s="73"/>
      <c r="B217" s="73"/>
      <c r="C217" s="73"/>
      <c r="D217" s="73"/>
      <c r="E217" s="73"/>
      <c r="F217" s="73"/>
      <c r="G217" s="73"/>
      <c r="H217" s="73"/>
      <c r="I217" s="73"/>
      <c r="J217" s="73"/>
      <c r="K217" s="73"/>
      <c r="L217" s="73"/>
      <c r="M217" s="73"/>
      <c r="N217" s="73"/>
      <c r="O217" s="73"/>
      <c r="P217" s="73"/>
      <c r="Q217" s="73">
        <v>1</v>
      </c>
      <c r="R217" s="73"/>
      <c r="S217" s="73"/>
      <c r="T217" s="73"/>
      <c r="U217" s="42"/>
      <c r="V217" s="69">
        <v>210</v>
      </c>
      <c r="W217" s="70"/>
      <c r="X217" s="42" t="s">
        <v>1770</v>
      </c>
      <c r="Y217" s="42" t="s">
        <v>1771</v>
      </c>
      <c r="Z217" s="42" t="s">
        <v>1772</v>
      </c>
      <c r="AA217" s="37"/>
      <c r="AB217" s="37"/>
      <c r="AC217" s="37"/>
      <c r="AD217" s="37"/>
      <c r="AE217" s="37"/>
      <c r="AF217" s="37"/>
      <c r="AG217" s="37"/>
      <c r="AH217" s="37"/>
      <c r="AI217" s="37"/>
      <c r="AJ217" s="37"/>
      <c r="AK217" s="37"/>
      <c r="AL217" s="42" t="s">
        <v>1773</v>
      </c>
      <c r="AM217" s="53" t="s">
        <v>993</v>
      </c>
      <c r="AN217" s="53">
        <v>2014</v>
      </c>
      <c r="AO217" s="61"/>
    </row>
    <row r="218" spans="1:41" ht="150" x14ac:dyDescent="0.25">
      <c r="A218" s="37"/>
      <c r="B218" s="37"/>
      <c r="C218" s="37"/>
      <c r="D218" s="37"/>
      <c r="E218" s="37"/>
      <c r="F218" s="37"/>
      <c r="G218" s="37"/>
      <c r="H218" s="37"/>
      <c r="I218" s="37"/>
      <c r="J218" s="37"/>
      <c r="K218" s="37"/>
      <c r="L218" s="37"/>
      <c r="M218" s="37"/>
      <c r="N218" s="37"/>
      <c r="O218" s="37"/>
      <c r="P218" s="37"/>
      <c r="Q218" s="37">
        <v>2</v>
      </c>
      <c r="R218" s="73"/>
      <c r="S218" s="73"/>
      <c r="T218" s="73"/>
      <c r="U218" s="42"/>
      <c r="V218" s="61">
        <v>211</v>
      </c>
      <c r="W218" s="42"/>
      <c r="X218" s="42" t="s">
        <v>1774</v>
      </c>
      <c r="Y218" s="42" t="s">
        <v>1775</v>
      </c>
      <c r="Z218" s="42" t="s">
        <v>1776</v>
      </c>
      <c r="AA218" s="37"/>
      <c r="AB218" s="37"/>
      <c r="AC218" s="37"/>
      <c r="AD218" s="37"/>
      <c r="AE218" s="37"/>
      <c r="AF218" s="37"/>
      <c r="AG218" s="37"/>
      <c r="AH218" s="37"/>
      <c r="AI218" s="37"/>
      <c r="AJ218" s="37"/>
      <c r="AK218" s="37"/>
      <c r="AL218" s="42" t="s">
        <v>311</v>
      </c>
      <c r="AM218" s="53" t="s">
        <v>993</v>
      </c>
      <c r="AN218" s="53">
        <v>2013</v>
      </c>
      <c r="AO218" s="61"/>
    </row>
    <row r="219" spans="1:41" ht="210" x14ac:dyDescent="0.25">
      <c r="A219" s="37"/>
      <c r="B219" s="37"/>
      <c r="C219" s="37"/>
      <c r="D219" s="37"/>
      <c r="E219" s="37"/>
      <c r="F219" s="37"/>
      <c r="G219" s="37"/>
      <c r="H219" s="37"/>
      <c r="I219" s="37"/>
      <c r="J219" s="37"/>
      <c r="K219" s="37"/>
      <c r="L219" s="37"/>
      <c r="M219" s="37"/>
      <c r="N219" s="37"/>
      <c r="O219" s="37"/>
      <c r="P219" s="37"/>
      <c r="Q219" s="37">
        <v>2</v>
      </c>
      <c r="R219" s="73"/>
      <c r="S219" s="73"/>
      <c r="T219" s="73"/>
      <c r="U219" s="42"/>
      <c r="V219" s="61">
        <v>212</v>
      </c>
      <c r="W219" s="42"/>
      <c r="X219" s="42" t="s">
        <v>1777</v>
      </c>
      <c r="Y219" s="42" t="s">
        <v>1778</v>
      </c>
      <c r="Z219" s="42" t="s">
        <v>1779</v>
      </c>
      <c r="AA219" s="37"/>
      <c r="AB219" s="37"/>
      <c r="AC219" s="37"/>
      <c r="AD219" s="37"/>
      <c r="AE219" s="37"/>
      <c r="AF219" s="37"/>
      <c r="AG219" s="37"/>
      <c r="AH219" s="37"/>
      <c r="AI219" s="37"/>
      <c r="AJ219" s="37"/>
      <c r="AK219" s="37"/>
      <c r="AL219" s="42" t="s">
        <v>300</v>
      </c>
      <c r="AM219" s="53" t="s">
        <v>993</v>
      </c>
      <c r="AN219" s="53">
        <v>2012</v>
      </c>
      <c r="AO219" s="61"/>
    </row>
    <row r="220" spans="1:41" ht="105" x14ac:dyDescent="0.25">
      <c r="A220" s="37"/>
      <c r="B220" s="37"/>
      <c r="C220" s="37"/>
      <c r="D220" s="37"/>
      <c r="E220" s="37"/>
      <c r="F220" s="37"/>
      <c r="G220" s="37"/>
      <c r="H220" s="37"/>
      <c r="I220" s="37"/>
      <c r="J220" s="37"/>
      <c r="K220" s="37"/>
      <c r="L220" s="37"/>
      <c r="M220" s="37"/>
      <c r="N220" s="37"/>
      <c r="O220" s="37"/>
      <c r="P220" s="37"/>
      <c r="Q220" s="37">
        <v>3</v>
      </c>
      <c r="R220" s="73"/>
      <c r="S220" s="73"/>
      <c r="T220" s="73"/>
      <c r="U220" s="42"/>
      <c r="V220" s="61">
        <v>213</v>
      </c>
      <c r="W220" s="42"/>
      <c r="X220" s="42" t="s">
        <v>1780</v>
      </c>
      <c r="Y220" s="42" t="s">
        <v>1781</v>
      </c>
      <c r="Z220" s="42" t="s">
        <v>1782</v>
      </c>
      <c r="AA220" s="37"/>
      <c r="AB220" s="37"/>
      <c r="AC220" s="37"/>
      <c r="AD220" s="37"/>
      <c r="AE220" s="37"/>
      <c r="AF220" s="37"/>
      <c r="AG220" s="37"/>
      <c r="AH220" s="37"/>
      <c r="AI220" s="37"/>
      <c r="AJ220" s="37"/>
      <c r="AK220" s="37"/>
      <c r="AL220" s="42" t="s">
        <v>315</v>
      </c>
      <c r="AM220" s="53" t="s">
        <v>993</v>
      </c>
      <c r="AN220" s="53">
        <v>2012</v>
      </c>
      <c r="AO220" s="61"/>
    </row>
    <row r="221" spans="1:41" ht="120" x14ac:dyDescent="0.25">
      <c r="A221" s="73"/>
      <c r="B221" s="73"/>
      <c r="C221" s="73"/>
      <c r="D221" s="73"/>
      <c r="E221" s="73"/>
      <c r="F221" s="73"/>
      <c r="G221" s="73"/>
      <c r="H221" s="73"/>
      <c r="I221" s="73"/>
      <c r="J221" s="73"/>
      <c r="K221" s="73"/>
      <c r="L221" s="73"/>
      <c r="M221" s="73"/>
      <c r="N221" s="73"/>
      <c r="O221" s="73"/>
      <c r="P221" s="73"/>
      <c r="Q221" s="73">
        <v>1</v>
      </c>
      <c r="R221" s="73"/>
      <c r="S221" s="73"/>
      <c r="T221" s="73"/>
      <c r="U221" s="42"/>
      <c r="V221" s="69">
        <v>214</v>
      </c>
      <c r="W221" s="70"/>
      <c r="X221" s="42" t="s">
        <v>1783</v>
      </c>
      <c r="Y221" s="42" t="s">
        <v>1784</v>
      </c>
      <c r="Z221" s="42" t="s">
        <v>1785</v>
      </c>
      <c r="AA221" s="37"/>
      <c r="AB221" s="37"/>
      <c r="AC221" s="37"/>
      <c r="AD221" s="37"/>
      <c r="AE221" s="37"/>
      <c r="AF221" s="37"/>
      <c r="AG221" s="37"/>
      <c r="AH221" s="37"/>
      <c r="AI221" s="37"/>
      <c r="AJ221" s="37"/>
      <c r="AK221" s="37"/>
      <c r="AL221" s="42" t="s">
        <v>298</v>
      </c>
      <c r="AM221" s="53" t="s">
        <v>993</v>
      </c>
      <c r="AN221" s="53">
        <v>2011</v>
      </c>
      <c r="AO221" s="61"/>
    </row>
    <row r="222" spans="1:41" ht="195" x14ac:dyDescent="0.25">
      <c r="A222" s="73"/>
      <c r="B222" s="73"/>
      <c r="C222" s="73"/>
      <c r="D222" s="73"/>
      <c r="E222" s="73"/>
      <c r="F222" s="73"/>
      <c r="G222" s="73"/>
      <c r="H222" s="73"/>
      <c r="I222" s="73"/>
      <c r="J222" s="73"/>
      <c r="K222" s="73"/>
      <c r="L222" s="73"/>
      <c r="M222" s="73"/>
      <c r="N222" s="73"/>
      <c r="O222" s="73"/>
      <c r="P222" s="73"/>
      <c r="Q222" s="73">
        <v>2</v>
      </c>
      <c r="R222" s="73"/>
      <c r="S222" s="73"/>
      <c r="T222" s="73"/>
      <c r="U222" s="42"/>
      <c r="V222" s="76">
        <v>215</v>
      </c>
      <c r="W222" s="70"/>
      <c r="X222" s="74" t="s">
        <v>1786</v>
      </c>
      <c r="Y222" s="42" t="s">
        <v>1787</v>
      </c>
      <c r="Z222" s="42" t="s">
        <v>1788</v>
      </c>
      <c r="AA222" s="37"/>
      <c r="AB222" s="37"/>
      <c r="AC222" s="37"/>
      <c r="AD222" s="37"/>
      <c r="AE222" s="37"/>
      <c r="AF222" s="37"/>
      <c r="AG222" s="37"/>
      <c r="AH222" s="37"/>
      <c r="AI222" s="37"/>
      <c r="AJ222" s="37"/>
      <c r="AK222" s="37"/>
      <c r="AL222" s="42" t="s">
        <v>338</v>
      </c>
      <c r="AM222" s="53" t="s">
        <v>993</v>
      </c>
      <c r="AN222" s="53">
        <v>2011</v>
      </c>
      <c r="AO222" s="61"/>
    </row>
    <row r="223" spans="1:41" ht="135" x14ac:dyDescent="0.25">
      <c r="A223" s="73"/>
      <c r="B223" s="73"/>
      <c r="C223" s="73"/>
      <c r="D223" s="73"/>
      <c r="E223" s="73"/>
      <c r="F223" s="73"/>
      <c r="G223" s="73"/>
      <c r="H223" s="73"/>
      <c r="I223" s="73"/>
      <c r="J223" s="73"/>
      <c r="K223" s="73"/>
      <c r="L223" s="73"/>
      <c r="M223" s="73"/>
      <c r="N223" s="73"/>
      <c r="O223" s="73"/>
      <c r="P223" s="73"/>
      <c r="Q223" s="73">
        <v>1</v>
      </c>
      <c r="R223" s="73"/>
      <c r="S223" s="73"/>
      <c r="T223" s="73"/>
      <c r="U223" s="42"/>
      <c r="V223" s="69">
        <v>216</v>
      </c>
      <c r="W223" s="70"/>
      <c r="X223" s="42" t="s">
        <v>1789</v>
      </c>
      <c r="Y223" s="42" t="s">
        <v>1790</v>
      </c>
      <c r="Z223" s="42" t="s">
        <v>1791</v>
      </c>
      <c r="AA223" s="37"/>
      <c r="AB223" s="37"/>
      <c r="AC223" s="37"/>
      <c r="AD223" s="37"/>
      <c r="AE223" s="37"/>
      <c r="AF223" s="37"/>
      <c r="AG223" s="37"/>
      <c r="AH223" s="37"/>
      <c r="AI223" s="37"/>
      <c r="AJ223" s="37"/>
      <c r="AK223" s="37"/>
      <c r="AL223" s="42" t="s">
        <v>298</v>
      </c>
      <c r="AM223" s="53" t="s">
        <v>993</v>
      </c>
      <c r="AN223" s="53">
        <v>2010</v>
      </c>
      <c r="AO223" s="61"/>
    </row>
    <row r="224" spans="1:41" ht="210" x14ac:dyDescent="0.25">
      <c r="A224" s="37"/>
      <c r="B224" s="37"/>
      <c r="C224" s="37"/>
      <c r="D224" s="37"/>
      <c r="E224" s="37"/>
      <c r="F224" s="37"/>
      <c r="G224" s="37"/>
      <c r="H224" s="37"/>
      <c r="I224" s="37"/>
      <c r="J224" s="37"/>
      <c r="K224" s="37"/>
      <c r="L224" s="37"/>
      <c r="M224" s="37"/>
      <c r="N224" s="37"/>
      <c r="O224" s="37"/>
      <c r="P224" s="37"/>
      <c r="Q224" s="37">
        <v>2</v>
      </c>
      <c r="R224" s="73"/>
      <c r="S224" s="73"/>
      <c r="T224" s="73"/>
      <c r="U224" s="42"/>
      <c r="V224" s="61">
        <v>217</v>
      </c>
      <c r="W224" s="71"/>
      <c r="X224" s="42" t="s">
        <v>1792</v>
      </c>
      <c r="Y224" s="42" t="s">
        <v>1793</v>
      </c>
      <c r="Z224" s="42" t="s">
        <v>1794</v>
      </c>
      <c r="AA224" s="37"/>
      <c r="AB224" s="37"/>
      <c r="AC224" s="37"/>
      <c r="AD224" s="37"/>
      <c r="AE224" s="37"/>
      <c r="AF224" s="37"/>
      <c r="AG224" s="37"/>
      <c r="AH224" s="37"/>
      <c r="AI224" s="37"/>
      <c r="AJ224" s="37"/>
      <c r="AK224" s="37"/>
      <c r="AL224" s="42" t="s">
        <v>300</v>
      </c>
      <c r="AM224" s="53" t="s">
        <v>993</v>
      </c>
      <c r="AN224" s="53">
        <v>2009</v>
      </c>
      <c r="AO224" s="61"/>
    </row>
    <row r="225" spans="1:41" ht="135" x14ac:dyDescent="0.25">
      <c r="A225" s="37"/>
      <c r="B225" s="37"/>
      <c r="C225" s="37"/>
      <c r="D225" s="37"/>
      <c r="E225" s="37"/>
      <c r="F225" s="37"/>
      <c r="G225" s="37"/>
      <c r="H225" s="37"/>
      <c r="I225" s="37"/>
      <c r="J225" s="37"/>
      <c r="K225" s="37"/>
      <c r="L225" s="37"/>
      <c r="M225" s="37"/>
      <c r="N225" s="37"/>
      <c r="O225" s="37"/>
      <c r="P225" s="37"/>
      <c r="Q225" s="37">
        <v>2</v>
      </c>
      <c r="R225" s="73"/>
      <c r="S225" s="73"/>
      <c r="T225" s="73"/>
      <c r="U225" s="42"/>
      <c r="V225" s="61">
        <v>218</v>
      </c>
      <c r="W225" s="71"/>
      <c r="X225" s="42" t="s">
        <v>1795</v>
      </c>
      <c r="Y225" s="42" t="s">
        <v>1796</v>
      </c>
      <c r="Z225" s="42" t="s">
        <v>1797</v>
      </c>
      <c r="AA225" s="37"/>
      <c r="AB225" s="37"/>
      <c r="AC225" s="37"/>
      <c r="AD225" s="37"/>
      <c r="AE225" s="37"/>
      <c r="AF225" s="37"/>
      <c r="AG225" s="37"/>
      <c r="AH225" s="37"/>
      <c r="AI225" s="37"/>
      <c r="AJ225" s="37"/>
      <c r="AK225" s="37"/>
      <c r="AL225" s="42" t="s">
        <v>302</v>
      </c>
      <c r="AM225" s="53" t="s">
        <v>993</v>
      </c>
      <c r="AN225" s="53">
        <v>2009</v>
      </c>
      <c r="AO225" s="61"/>
    </row>
    <row r="226" spans="1:41" ht="99.75" customHeight="1" x14ac:dyDescent="0.25">
      <c r="A226" s="37"/>
      <c r="B226" s="37"/>
      <c r="C226" s="37"/>
      <c r="D226" s="37"/>
      <c r="E226" s="37"/>
      <c r="F226" s="37"/>
      <c r="G226" s="37"/>
      <c r="H226" s="37"/>
      <c r="I226" s="37"/>
      <c r="J226" s="37"/>
      <c r="K226" s="37"/>
      <c r="L226" s="37"/>
      <c r="M226" s="37"/>
      <c r="N226" s="37"/>
      <c r="O226" s="37"/>
      <c r="P226" s="37"/>
      <c r="Q226" s="37">
        <v>2</v>
      </c>
      <c r="R226" s="73"/>
      <c r="S226" s="73"/>
      <c r="T226" s="73"/>
      <c r="U226" s="42"/>
      <c r="V226" s="61">
        <v>219</v>
      </c>
      <c r="W226" s="71"/>
      <c r="X226" s="42" t="s">
        <v>1798</v>
      </c>
      <c r="Y226" s="42" t="s">
        <v>1799</v>
      </c>
      <c r="Z226" s="42" t="s">
        <v>1800</v>
      </c>
      <c r="AA226" s="37"/>
      <c r="AB226" s="37"/>
      <c r="AC226" s="37"/>
      <c r="AD226" s="37"/>
      <c r="AE226" s="37"/>
      <c r="AF226" s="37"/>
      <c r="AG226" s="37"/>
      <c r="AH226" s="37"/>
      <c r="AI226" s="37"/>
      <c r="AJ226" s="37"/>
      <c r="AK226" s="37"/>
      <c r="AL226" s="42" t="s">
        <v>326</v>
      </c>
      <c r="AM226" s="53" t="s">
        <v>993</v>
      </c>
      <c r="AN226" s="53">
        <v>2009</v>
      </c>
      <c r="AO226" s="61"/>
    </row>
    <row r="227" spans="1:41" ht="180" x14ac:dyDescent="0.25">
      <c r="A227" s="37"/>
      <c r="B227" s="37"/>
      <c r="C227" s="37"/>
      <c r="D227" s="37"/>
      <c r="E227" s="37"/>
      <c r="F227" s="37"/>
      <c r="G227" s="37"/>
      <c r="H227" s="37"/>
      <c r="I227" s="37"/>
      <c r="J227" s="37"/>
      <c r="K227" s="37"/>
      <c r="L227" s="37"/>
      <c r="M227" s="37"/>
      <c r="N227" s="37"/>
      <c r="O227" s="37"/>
      <c r="P227" s="37"/>
      <c r="Q227" s="37">
        <v>3</v>
      </c>
      <c r="R227" s="73"/>
      <c r="S227" s="73"/>
      <c r="T227" s="73"/>
      <c r="U227" s="42"/>
      <c r="V227" s="61">
        <v>220</v>
      </c>
      <c r="W227" s="71"/>
      <c r="X227" s="42" t="s">
        <v>1164</v>
      </c>
      <c r="Y227" s="42" t="s">
        <v>1165</v>
      </c>
      <c r="Z227" s="42" t="s">
        <v>1166</v>
      </c>
      <c r="AA227" s="37"/>
      <c r="AB227" s="37"/>
      <c r="AC227" s="37"/>
      <c r="AD227" s="37"/>
      <c r="AE227" s="37"/>
      <c r="AF227" s="37"/>
      <c r="AG227" s="37"/>
      <c r="AH227" s="37"/>
      <c r="AI227" s="37"/>
      <c r="AJ227" s="37"/>
      <c r="AK227" s="37"/>
      <c r="AL227" s="42" t="s">
        <v>315</v>
      </c>
      <c r="AM227" s="53" t="s">
        <v>993</v>
      </c>
      <c r="AN227" s="53">
        <v>2008</v>
      </c>
      <c r="AO227" s="61"/>
    </row>
    <row r="228" spans="1:41" ht="195" x14ac:dyDescent="0.25">
      <c r="A228" s="37"/>
      <c r="B228" s="37"/>
      <c r="C228" s="37"/>
      <c r="D228" s="37"/>
      <c r="E228" s="37"/>
      <c r="F228" s="37"/>
      <c r="G228" s="37"/>
      <c r="H228" s="37"/>
      <c r="I228" s="37"/>
      <c r="J228" s="37"/>
      <c r="K228" s="37"/>
      <c r="L228" s="37"/>
      <c r="M228" s="37"/>
      <c r="N228" s="37"/>
      <c r="O228" s="37"/>
      <c r="P228" s="37"/>
      <c r="Q228" s="37">
        <v>3</v>
      </c>
      <c r="R228" s="73"/>
      <c r="S228" s="73"/>
      <c r="T228" s="73"/>
      <c r="U228" s="42"/>
      <c r="V228" s="61">
        <v>221</v>
      </c>
      <c r="W228" s="71"/>
      <c r="X228" s="42" t="s">
        <v>1608</v>
      </c>
      <c r="Y228" s="42" t="s">
        <v>1609</v>
      </c>
      <c r="Z228" s="42" t="s">
        <v>1610</v>
      </c>
      <c r="AA228" s="37"/>
      <c r="AB228" s="37"/>
      <c r="AC228" s="37"/>
      <c r="AD228" s="37"/>
      <c r="AE228" s="37"/>
      <c r="AF228" s="37"/>
      <c r="AG228" s="37"/>
      <c r="AH228" s="37"/>
      <c r="AI228" s="37"/>
      <c r="AJ228" s="37"/>
      <c r="AK228" s="37"/>
      <c r="AL228" s="42" t="s">
        <v>315</v>
      </c>
      <c r="AM228" s="53" t="s">
        <v>993</v>
      </c>
      <c r="AN228" s="53">
        <v>2008</v>
      </c>
      <c r="AO228" s="61"/>
    </row>
    <row r="229" spans="1:41" ht="120" x14ac:dyDescent="0.25">
      <c r="A229" s="37"/>
      <c r="B229" s="37"/>
      <c r="C229" s="37"/>
      <c r="D229" s="37"/>
      <c r="E229" s="37"/>
      <c r="F229" s="37"/>
      <c r="G229" s="37"/>
      <c r="H229" s="37"/>
      <c r="I229" s="37"/>
      <c r="J229" s="37"/>
      <c r="K229" s="37"/>
      <c r="L229" s="37"/>
      <c r="M229" s="37"/>
      <c r="N229" s="37"/>
      <c r="O229" s="37"/>
      <c r="P229" s="37"/>
      <c r="Q229" s="37">
        <v>3</v>
      </c>
      <c r="R229" s="73"/>
      <c r="S229" s="73"/>
      <c r="T229" s="73"/>
      <c r="U229" s="42"/>
      <c r="V229" s="69">
        <v>227</v>
      </c>
      <c r="W229" s="71"/>
      <c r="X229" s="42" t="s">
        <v>1801</v>
      </c>
      <c r="Y229" s="42" t="s">
        <v>1802</v>
      </c>
      <c r="Z229" s="42" t="s">
        <v>1803</v>
      </c>
      <c r="AA229" s="42"/>
      <c r="AB229" s="42"/>
      <c r="AC229" s="42"/>
      <c r="AD229" s="42"/>
      <c r="AE229" s="42"/>
      <c r="AF229" s="42"/>
      <c r="AG229" s="42"/>
      <c r="AH229" s="42"/>
      <c r="AI229" s="42"/>
      <c r="AJ229" s="42"/>
      <c r="AK229" s="42"/>
      <c r="AL229" s="42" t="s">
        <v>312</v>
      </c>
      <c r="AM229" s="42" t="s">
        <v>993</v>
      </c>
      <c r="AN229" s="42">
        <v>2010</v>
      </c>
      <c r="AO229" s="42">
        <v>6</v>
      </c>
    </row>
    <row r="230" spans="1:41" ht="165" x14ac:dyDescent="0.25">
      <c r="A230" s="37"/>
      <c r="B230" s="37"/>
      <c r="C230" s="37"/>
      <c r="D230" s="42" t="s">
        <v>982</v>
      </c>
      <c r="E230" s="42" t="s">
        <v>982</v>
      </c>
      <c r="F230" s="42" t="s">
        <v>982</v>
      </c>
      <c r="G230" s="54"/>
      <c r="H230" s="42" t="s">
        <v>982</v>
      </c>
      <c r="I230" s="42" t="s">
        <v>982</v>
      </c>
      <c r="J230" s="42" t="s">
        <v>982</v>
      </c>
      <c r="K230" s="42" t="s">
        <v>982</v>
      </c>
      <c r="L230" s="42" t="s">
        <v>982</v>
      </c>
      <c r="M230" s="42" t="s">
        <v>982</v>
      </c>
      <c r="N230" s="42" t="s">
        <v>982</v>
      </c>
      <c r="O230" s="42" t="s">
        <v>982</v>
      </c>
      <c r="P230" s="42" t="s">
        <v>982</v>
      </c>
      <c r="Q230" s="42">
        <v>2</v>
      </c>
      <c r="R230" s="54"/>
      <c r="S230" s="54"/>
      <c r="T230" s="54"/>
      <c r="U230" s="42"/>
      <c r="V230" s="42">
        <v>228</v>
      </c>
      <c r="W230" s="42"/>
      <c r="X230" s="42" t="s">
        <v>1804</v>
      </c>
      <c r="Y230" s="42" t="s">
        <v>1805</v>
      </c>
      <c r="Z230" s="42" t="s">
        <v>1806</v>
      </c>
      <c r="AA230" s="59"/>
      <c r="AB230" s="59"/>
      <c r="AC230" s="59"/>
      <c r="AD230" s="59"/>
      <c r="AE230" s="59"/>
      <c r="AF230" s="59"/>
      <c r="AG230" s="59"/>
      <c r="AH230" s="59"/>
      <c r="AI230" s="59"/>
      <c r="AJ230" s="59"/>
      <c r="AK230" s="59"/>
      <c r="AL230" s="42" t="s">
        <v>1807</v>
      </c>
      <c r="AM230" s="53" t="s">
        <v>993</v>
      </c>
      <c r="AN230" s="53">
        <v>2018</v>
      </c>
      <c r="AO230" s="53">
        <v>0</v>
      </c>
    </row>
    <row r="231" spans="1:41" ht="165" x14ac:dyDescent="0.25">
      <c r="A231" s="37"/>
      <c r="B231" s="37"/>
      <c r="C231" s="37"/>
      <c r="D231" s="42" t="s">
        <v>982</v>
      </c>
      <c r="E231" s="42" t="s">
        <v>982</v>
      </c>
      <c r="F231" s="42" t="s">
        <v>982</v>
      </c>
      <c r="G231" s="54"/>
      <c r="H231" s="42" t="s">
        <v>982</v>
      </c>
      <c r="I231" s="42" t="s">
        <v>982</v>
      </c>
      <c r="J231" s="42" t="s">
        <v>982</v>
      </c>
      <c r="K231" s="42" t="s">
        <v>982</v>
      </c>
      <c r="L231" s="42" t="s">
        <v>982</v>
      </c>
      <c r="M231" s="42" t="s">
        <v>982</v>
      </c>
      <c r="N231" s="42" t="s">
        <v>982</v>
      </c>
      <c r="O231" s="42" t="s">
        <v>982</v>
      </c>
      <c r="P231" s="42" t="s">
        <v>982</v>
      </c>
      <c r="Q231" s="42">
        <v>2</v>
      </c>
      <c r="R231" s="54"/>
      <c r="S231" s="54"/>
      <c r="T231" s="54"/>
      <c r="U231" s="42"/>
      <c r="V231" s="42">
        <v>229</v>
      </c>
      <c r="W231" s="42"/>
      <c r="X231" s="42" t="s">
        <v>1808</v>
      </c>
      <c r="Y231" s="42" t="s">
        <v>1809</v>
      </c>
      <c r="Z231" s="42" t="s">
        <v>1810</v>
      </c>
      <c r="AA231" s="59"/>
      <c r="AB231" s="59"/>
      <c r="AC231" s="59"/>
      <c r="AD231" s="59"/>
      <c r="AE231" s="59"/>
      <c r="AF231" s="59"/>
      <c r="AG231" s="59"/>
      <c r="AH231" s="59"/>
      <c r="AI231" s="59"/>
      <c r="AJ231" s="59"/>
      <c r="AK231" s="59"/>
      <c r="AL231" s="42" t="s">
        <v>1811</v>
      </c>
      <c r="AM231" s="53" t="s">
        <v>993</v>
      </c>
      <c r="AN231" s="53">
        <v>2018</v>
      </c>
      <c r="AO231" s="53">
        <v>2</v>
      </c>
    </row>
    <row r="232" spans="1:41" ht="180" x14ac:dyDescent="0.25">
      <c r="A232" s="37"/>
      <c r="B232" s="37"/>
      <c r="C232" s="37"/>
      <c r="D232" s="54" t="s">
        <v>982</v>
      </c>
      <c r="E232" s="54" t="s">
        <v>982</v>
      </c>
      <c r="F232" s="54" t="s">
        <v>982</v>
      </c>
      <c r="G232" s="54"/>
      <c r="H232" s="54" t="s">
        <v>982</v>
      </c>
      <c r="I232" s="54" t="s">
        <v>982</v>
      </c>
      <c r="J232" s="54" t="s">
        <v>982</v>
      </c>
      <c r="K232" s="54" t="s">
        <v>982</v>
      </c>
      <c r="L232" s="54" t="s">
        <v>982</v>
      </c>
      <c r="M232" s="54" t="s">
        <v>982</v>
      </c>
      <c r="N232" s="54" t="s">
        <v>982</v>
      </c>
      <c r="O232" s="54" t="s">
        <v>982</v>
      </c>
      <c r="P232" s="54" t="s">
        <v>982</v>
      </c>
      <c r="Q232" s="54">
        <v>1</v>
      </c>
      <c r="R232" s="54"/>
      <c r="S232" s="54"/>
      <c r="T232" s="54"/>
      <c r="U232" s="42"/>
      <c r="V232" s="54">
        <v>230</v>
      </c>
      <c r="W232" s="54" t="s">
        <v>1812</v>
      </c>
      <c r="X232" s="54" t="s">
        <v>1813</v>
      </c>
      <c r="Y232" s="54" t="s">
        <v>1814</v>
      </c>
      <c r="Z232" s="54" t="s">
        <v>1815</v>
      </c>
      <c r="AA232" s="59"/>
      <c r="AB232" s="59"/>
      <c r="AC232" s="59"/>
      <c r="AD232" s="59"/>
      <c r="AE232" s="59"/>
      <c r="AF232" s="59"/>
      <c r="AG232" s="59"/>
      <c r="AH232" s="59"/>
      <c r="AI232" s="59"/>
      <c r="AJ232" s="59"/>
      <c r="AK232" s="59"/>
      <c r="AL232" s="59" t="s">
        <v>1816</v>
      </c>
      <c r="AM232" s="65" t="s">
        <v>993</v>
      </c>
      <c r="AN232" s="65">
        <v>2018</v>
      </c>
      <c r="AO232" s="65">
        <v>1</v>
      </c>
    </row>
    <row r="233" spans="1:41" ht="165" x14ac:dyDescent="0.25">
      <c r="A233" s="37"/>
      <c r="B233" s="37"/>
      <c r="C233" s="37"/>
      <c r="D233" s="54" t="s">
        <v>982</v>
      </c>
      <c r="E233" s="54" t="s">
        <v>982</v>
      </c>
      <c r="F233" s="54" t="s">
        <v>982</v>
      </c>
      <c r="G233" s="54"/>
      <c r="H233" s="54" t="s">
        <v>982</v>
      </c>
      <c r="I233" s="54" t="s">
        <v>982</v>
      </c>
      <c r="J233" s="54" t="s">
        <v>982</v>
      </c>
      <c r="K233" s="54" t="s">
        <v>982</v>
      </c>
      <c r="L233" s="54" t="s">
        <v>982</v>
      </c>
      <c r="M233" s="54" t="s">
        <v>982</v>
      </c>
      <c r="N233" s="54" t="s">
        <v>982</v>
      </c>
      <c r="O233" s="54" t="s">
        <v>982</v>
      </c>
      <c r="P233" s="54" t="s">
        <v>982</v>
      </c>
      <c r="Q233" s="54">
        <v>1</v>
      </c>
      <c r="R233" s="54"/>
      <c r="S233" s="54"/>
      <c r="T233" s="54"/>
      <c r="U233" s="42"/>
      <c r="V233" s="54">
        <v>231</v>
      </c>
      <c r="W233" s="54" t="s">
        <v>1817</v>
      </c>
      <c r="X233" s="54" t="s">
        <v>1818</v>
      </c>
      <c r="Y233" s="54" t="s">
        <v>1819</v>
      </c>
      <c r="Z233" s="54" t="s">
        <v>1820</v>
      </c>
      <c r="AA233" s="59"/>
      <c r="AB233" s="59"/>
      <c r="AC233" s="59"/>
      <c r="AD233" s="59"/>
      <c r="AE233" s="59"/>
      <c r="AF233" s="59"/>
      <c r="AG233" s="59"/>
      <c r="AH233" s="59"/>
      <c r="AI233" s="59"/>
      <c r="AJ233" s="59"/>
      <c r="AK233" s="59"/>
      <c r="AL233" s="59" t="s">
        <v>1807</v>
      </c>
      <c r="AM233" s="65" t="s">
        <v>993</v>
      </c>
      <c r="AN233" s="65">
        <v>2018</v>
      </c>
      <c r="AO233" s="65">
        <v>0</v>
      </c>
    </row>
    <row r="234" spans="1:41" ht="285" x14ac:dyDescent="0.25">
      <c r="A234" s="37"/>
      <c r="B234" s="37"/>
      <c r="C234" s="37"/>
      <c r="D234" s="42" t="s">
        <v>982</v>
      </c>
      <c r="E234" s="42" t="s">
        <v>982</v>
      </c>
      <c r="F234" s="42" t="s">
        <v>982</v>
      </c>
      <c r="G234" s="54"/>
      <c r="H234" s="42" t="s">
        <v>982</v>
      </c>
      <c r="I234" s="42" t="s">
        <v>982</v>
      </c>
      <c r="J234" s="42" t="s">
        <v>982</v>
      </c>
      <c r="K234" s="42" t="s">
        <v>982</v>
      </c>
      <c r="L234" s="42" t="s">
        <v>982</v>
      </c>
      <c r="M234" s="42" t="s">
        <v>982</v>
      </c>
      <c r="N234" s="42" t="s">
        <v>982</v>
      </c>
      <c r="O234" s="42" t="s">
        <v>982</v>
      </c>
      <c r="P234" s="42" t="s">
        <v>982</v>
      </c>
      <c r="Q234" s="42">
        <v>2</v>
      </c>
      <c r="R234" s="54"/>
      <c r="S234" s="54"/>
      <c r="T234" s="54"/>
      <c r="U234" s="42"/>
      <c r="V234" s="42">
        <v>232</v>
      </c>
      <c r="W234" s="42"/>
      <c r="X234" s="42" t="s">
        <v>1821</v>
      </c>
      <c r="Y234" s="42" t="s">
        <v>1822</v>
      </c>
      <c r="Z234" s="42" t="s">
        <v>1823</v>
      </c>
      <c r="AA234" s="59"/>
      <c r="AB234" s="59"/>
      <c r="AC234" s="59"/>
      <c r="AD234" s="59"/>
      <c r="AE234" s="59"/>
      <c r="AF234" s="59"/>
      <c r="AG234" s="59"/>
      <c r="AH234" s="59"/>
      <c r="AI234" s="59"/>
      <c r="AJ234" s="59"/>
      <c r="AK234" s="59"/>
      <c r="AL234" s="42" t="s">
        <v>1824</v>
      </c>
      <c r="AM234" s="53" t="s">
        <v>993</v>
      </c>
      <c r="AN234" s="53">
        <v>2018</v>
      </c>
      <c r="AO234" s="53">
        <v>0</v>
      </c>
    </row>
    <row r="235" spans="1:41" ht="210" x14ac:dyDescent="0.25">
      <c r="A235" s="37"/>
      <c r="B235" s="37"/>
      <c r="C235" s="37"/>
      <c r="D235" s="54" t="s">
        <v>982</v>
      </c>
      <c r="E235" s="54" t="s">
        <v>982</v>
      </c>
      <c r="F235" s="54" t="s">
        <v>982</v>
      </c>
      <c r="G235" s="54"/>
      <c r="H235" s="54" t="s">
        <v>982</v>
      </c>
      <c r="I235" s="54" t="s">
        <v>982</v>
      </c>
      <c r="J235" s="54" t="s">
        <v>982</v>
      </c>
      <c r="K235" s="54" t="s">
        <v>982</v>
      </c>
      <c r="L235" s="54" t="s">
        <v>982</v>
      </c>
      <c r="M235" s="54" t="s">
        <v>982</v>
      </c>
      <c r="N235" s="54" t="s">
        <v>982</v>
      </c>
      <c r="O235" s="54" t="s">
        <v>982</v>
      </c>
      <c r="P235" s="54" t="s">
        <v>982</v>
      </c>
      <c r="Q235" s="54">
        <v>1</v>
      </c>
      <c r="R235" s="54"/>
      <c r="S235" s="54"/>
      <c r="T235" s="54"/>
      <c r="U235" s="42"/>
      <c r="V235" s="54">
        <v>233</v>
      </c>
      <c r="W235" s="54"/>
      <c r="X235" s="54" t="s">
        <v>1825</v>
      </c>
      <c r="Y235" s="54" t="s">
        <v>1826</v>
      </c>
      <c r="Z235" s="54" t="s">
        <v>1827</v>
      </c>
      <c r="AA235" s="59"/>
      <c r="AB235" s="59"/>
      <c r="AC235" s="59"/>
      <c r="AD235" s="59"/>
      <c r="AE235" s="59"/>
      <c r="AF235" s="59"/>
      <c r="AG235" s="59"/>
      <c r="AH235" s="59"/>
      <c r="AI235" s="59"/>
      <c r="AJ235" s="59"/>
      <c r="AK235" s="59"/>
      <c r="AL235" s="59" t="s">
        <v>1828</v>
      </c>
      <c r="AM235" s="65" t="s">
        <v>993</v>
      </c>
      <c r="AN235" s="65">
        <v>2018</v>
      </c>
      <c r="AO235" s="65">
        <v>0</v>
      </c>
    </row>
    <row r="236" spans="1:41" ht="255" x14ac:dyDescent="0.25">
      <c r="A236" s="90"/>
      <c r="B236" s="90"/>
      <c r="C236" s="90"/>
      <c r="D236" s="54" t="s">
        <v>982</v>
      </c>
      <c r="E236" s="54" t="s">
        <v>982</v>
      </c>
      <c r="F236" s="54" t="s">
        <v>982</v>
      </c>
      <c r="G236" s="54"/>
      <c r="H236" s="54" t="s">
        <v>982</v>
      </c>
      <c r="I236" s="54" t="s">
        <v>982</v>
      </c>
      <c r="J236" s="54" t="s">
        <v>982</v>
      </c>
      <c r="K236" s="54" t="s">
        <v>982</v>
      </c>
      <c r="L236" s="54" t="s">
        <v>982</v>
      </c>
      <c r="M236" s="54" t="s">
        <v>982</v>
      </c>
      <c r="N236" s="54" t="s">
        <v>982</v>
      </c>
      <c r="O236" s="54" t="s">
        <v>982</v>
      </c>
      <c r="P236" s="54" t="s">
        <v>982</v>
      </c>
      <c r="Q236" s="54">
        <v>1</v>
      </c>
      <c r="R236" s="54"/>
      <c r="S236" s="54"/>
      <c r="T236" s="54"/>
      <c r="U236" s="42"/>
      <c r="V236" s="54">
        <v>234</v>
      </c>
      <c r="W236" s="54"/>
      <c r="X236" s="54" t="s">
        <v>1829</v>
      </c>
      <c r="Y236" s="54" t="s">
        <v>1830</v>
      </c>
      <c r="Z236" s="54" t="s">
        <v>1831</v>
      </c>
      <c r="AA236" s="59"/>
      <c r="AB236" s="59"/>
      <c r="AC236" s="59"/>
      <c r="AD236" s="59"/>
      <c r="AE236" s="59"/>
      <c r="AF236" s="59"/>
      <c r="AG236" s="59"/>
      <c r="AH236" s="59"/>
      <c r="AI236" s="59"/>
      <c r="AJ236" s="59"/>
      <c r="AK236" s="59"/>
      <c r="AL236" s="59" t="s">
        <v>1832</v>
      </c>
      <c r="AM236" s="65" t="s">
        <v>993</v>
      </c>
      <c r="AN236" s="65">
        <v>2018</v>
      </c>
      <c r="AO236" s="65">
        <v>8</v>
      </c>
    </row>
    <row r="237" spans="1:41" ht="285" x14ac:dyDescent="0.25">
      <c r="A237" s="37"/>
      <c r="B237" s="37"/>
      <c r="C237" s="37"/>
      <c r="D237" s="42" t="s">
        <v>982</v>
      </c>
      <c r="E237" s="42" t="s">
        <v>982</v>
      </c>
      <c r="F237" s="42" t="s">
        <v>982</v>
      </c>
      <c r="G237" s="54"/>
      <c r="H237" s="42" t="s">
        <v>982</v>
      </c>
      <c r="I237" s="42" t="s">
        <v>982</v>
      </c>
      <c r="J237" s="42" t="s">
        <v>982</v>
      </c>
      <c r="K237" s="42" t="s">
        <v>982</v>
      </c>
      <c r="L237" s="42" t="s">
        <v>982</v>
      </c>
      <c r="M237" s="42" t="s">
        <v>982</v>
      </c>
      <c r="N237" s="42" t="s">
        <v>982</v>
      </c>
      <c r="O237" s="42" t="s">
        <v>982</v>
      </c>
      <c r="P237" s="42" t="s">
        <v>982</v>
      </c>
      <c r="Q237" s="42">
        <v>2</v>
      </c>
      <c r="R237" s="54"/>
      <c r="S237" s="54"/>
      <c r="T237" s="54"/>
      <c r="U237" s="42"/>
      <c r="V237" s="42">
        <v>235</v>
      </c>
      <c r="W237" s="42"/>
      <c r="X237" s="42" t="s">
        <v>1833</v>
      </c>
      <c r="Y237" s="42" t="s">
        <v>1834</v>
      </c>
      <c r="Z237" s="42" t="s">
        <v>1835</v>
      </c>
      <c r="AA237" s="59"/>
      <c r="AB237" s="59"/>
      <c r="AC237" s="59"/>
      <c r="AD237" s="59"/>
      <c r="AE237" s="59"/>
      <c r="AF237" s="59"/>
      <c r="AG237" s="59"/>
      <c r="AH237" s="59"/>
      <c r="AI237" s="59"/>
      <c r="AJ237" s="59"/>
      <c r="AK237" s="59"/>
      <c r="AL237" s="42" t="s">
        <v>1811</v>
      </c>
      <c r="AM237" s="53" t="s">
        <v>993</v>
      </c>
      <c r="AN237" s="53">
        <v>2018</v>
      </c>
      <c r="AO237" s="53">
        <v>0</v>
      </c>
    </row>
    <row r="238" spans="1:41" ht="105" x14ac:dyDescent="0.25">
      <c r="A238" s="37"/>
      <c r="B238" s="37"/>
      <c r="C238" s="37"/>
      <c r="D238" s="54" t="s">
        <v>982</v>
      </c>
      <c r="E238" s="54" t="s">
        <v>982</v>
      </c>
      <c r="F238" s="54" t="s">
        <v>982</v>
      </c>
      <c r="G238" s="54"/>
      <c r="H238" s="54" t="s">
        <v>982</v>
      </c>
      <c r="I238" s="54" t="s">
        <v>982</v>
      </c>
      <c r="J238" s="54" t="s">
        <v>982</v>
      </c>
      <c r="K238" s="54" t="s">
        <v>982</v>
      </c>
      <c r="L238" s="54" t="s">
        <v>982</v>
      </c>
      <c r="M238" s="54" t="s">
        <v>982</v>
      </c>
      <c r="N238" s="54" t="s">
        <v>982</v>
      </c>
      <c r="O238" s="54" t="s">
        <v>982</v>
      </c>
      <c r="P238" s="54" t="s">
        <v>982</v>
      </c>
      <c r="Q238" s="54">
        <v>1</v>
      </c>
      <c r="R238" s="54"/>
      <c r="S238" s="54"/>
      <c r="T238" s="54"/>
      <c r="U238" s="42"/>
      <c r="V238" s="54">
        <v>236</v>
      </c>
      <c r="W238" s="54"/>
      <c r="X238" s="54" t="s">
        <v>1836</v>
      </c>
      <c r="Y238" s="54" t="s">
        <v>1837</v>
      </c>
      <c r="Z238" s="54" t="s">
        <v>1838</v>
      </c>
      <c r="AA238" s="59"/>
      <c r="AB238" s="59"/>
      <c r="AC238" s="59"/>
      <c r="AD238" s="59"/>
      <c r="AE238" s="59"/>
      <c r="AF238" s="59"/>
      <c r="AG238" s="59"/>
      <c r="AH238" s="59"/>
      <c r="AI238" s="59"/>
      <c r="AJ238" s="59"/>
      <c r="AK238" s="59"/>
      <c r="AL238" s="59" t="s">
        <v>1839</v>
      </c>
      <c r="AM238" s="65" t="s">
        <v>993</v>
      </c>
      <c r="AN238" s="65">
        <v>2017</v>
      </c>
      <c r="AO238" s="65">
        <v>2</v>
      </c>
    </row>
    <row r="239" spans="1:41" ht="195" x14ac:dyDescent="0.25">
      <c r="A239" s="37"/>
      <c r="B239" s="37"/>
      <c r="C239" s="37"/>
      <c r="D239" s="54" t="s">
        <v>982</v>
      </c>
      <c r="E239" s="54" t="s">
        <v>982</v>
      </c>
      <c r="F239" s="54" t="s">
        <v>982</v>
      </c>
      <c r="G239" s="54"/>
      <c r="H239" s="54" t="s">
        <v>982</v>
      </c>
      <c r="I239" s="54" t="s">
        <v>982</v>
      </c>
      <c r="J239" s="54" t="s">
        <v>982</v>
      </c>
      <c r="K239" s="54" t="s">
        <v>982</v>
      </c>
      <c r="L239" s="54" t="s">
        <v>982</v>
      </c>
      <c r="M239" s="54" t="s">
        <v>982</v>
      </c>
      <c r="N239" s="54" t="s">
        <v>982</v>
      </c>
      <c r="O239" s="54" t="s">
        <v>982</v>
      </c>
      <c r="P239" s="54" t="s">
        <v>982</v>
      </c>
      <c r="Q239" s="54">
        <v>1</v>
      </c>
      <c r="R239" s="54"/>
      <c r="S239" s="54"/>
      <c r="T239" s="54"/>
      <c r="U239" s="42"/>
      <c r="V239" s="54">
        <v>237</v>
      </c>
      <c r="W239" s="54"/>
      <c r="X239" s="54" t="s">
        <v>1840</v>
      </c>
      <c r="Y239" s="54" t="s">
        <v>1841</v>
      </c>
      <c r="Z239" s="54" t="s">
        <v>1842</v>
      </c>
      <c r="AA239" s="59"/>
      <c r="AB239" s="59"/>
      <c r="AC239" s="59"/>
      <c r="AD239" s="59"/>
      <c r="AE239" s="59"/>
      <c r="AF239" s="59"/>
      <c r="AG239" s="59"/>
      <c r="AH239" s="59"/>
      <c r="AI239" s="59"/>
      <c r="AJ239" s="59"/>
      <c r="AK239" s="59"/>
      <c r="AL239" s="59" t="s">
        <v>1839</v>
      </c>
      <c r="AM239" s="65" t="s">
        <v>993</v>
      </c>
      <c r="AN239" s="65">
        <v>2017</v>
      </c>
      <c r="AO239" s="65">
        <v>22</v>
      </c>
    </row>
    <row r="240" spans="1:41" ht="180" x14ac:dyDescent="0.25">
      <c r="A240" s="37"/>
      <c r="B240" s="37"/>
      <c r="C240" s="37"/>
      <c r="D240" s="54" t="s">
        <v>982</v>
      </c>
      <c r="E240" s="54" t="s">
        <v>982</v>
      </c>
      <c r="F240" s="54" t="s">
        <v>982</v>
      </c>
      <c r="G240" s="54"/>
      <c r="H240" s="54" t="s">
        <v>982</v>
      </c>
      <c r="I240" s="54" t="s">
        <v>982</v>
      </c>
      <c r="J240" s="54" t="s">
        <v>982</v>
      </c>
      <c r="K240" s="54" t="s">
        <v>982</v>
      </c>
      <c r="L240" s="54" t="s">
        <v>982</v>
      </c>
      <c r="M240" s="54" t="s">
        <v>982</v>
      </c>
      <c r="N240" s="54" t="s">
        <v>982</v>
      </c>
      <c r="O240" s="54" t="s">
        <v>982</v>
      </c>
      <c r="P240" s="54" t="s">
        <v>982</v>
      </c>
      <c r="Q240" s="54">
        <v>1</v>
      </c>
      <c r="R240" s="54"/>
      <c r="S240" s="54"/>
      <c r="T240" s="54"/>
      <c r="U240" s="42"/>
      <c r="V240" s="54">
        <v>238</v>
      </c>
      <c r="W240" s="54"/>
      <c r="X240" s="54" t="s">
        <v>1843</v>
      </c>
      <c r="Y240" s="54" t="s">
        <v>1844</v>
      </c>
      <c r="Z240" s="54" t="s">
        <v>1845</v>
      </c>
      <c r="AA240" s="59"/>
      <c r="AB240" s="59"/>
      <c r="AC240" s="59"/>
      <c r="AD240" s="59"/>
      <c r="AE240" s="59"/>
      <c r="AF240" s="59"/>
      <c r="AG240" s="59"/>
      <c r="AH240" s="59"/>
      <c r="AI240" s="59"/>
      <c r="AJ240" s="59"/>
      <c r="AK240" s="59"/>
      <c r="AL240" s="59" t="s">
        <v>1846</v>
      </c>
      <c r="AM240" s="65" t="s">
        <v>993</v>
      </c>
      <c r="AN240" s="65">
        <v>2017</v>
      </c>
      <c r="AO240" s="65">
        <v>48</v>
      </c>
    </row>
    <row r="241" spans="1:41" ht="240" x14ac:dyDescent="0.25">
      <c r="A241" s="37"/>
      <c r="B241" s="37"/>
      <c r="C241" s="37"/>
      <c r="D241" s="42" t="s">
        <v>982</v>
      </c>
      <c r="E241" s="42" t="s">
        <v>982</v>
      </c>
      <c r="F241" s="42" t="s">
        <v>982</v>
      </c>
      <c r="G241" s="54"/>
      <c r="H241" s="42" t="s">
        <v>982</v>
      </c>
      <c r="I241" s="42" t="s">
        <v>982</v>
      </c>
      <c r="J241" s="42" t="s">
        <v>982</v>
      </c>
      <c r="K241" s="42" t="s">
        <v>982</v>
      </c>
      <c r="L241" s="42" t="s">
        <v>982</v>
      </c>
      <c r="M241" s="42" t="s">
        <v>982</v>
      </c>
      <c r="N241" s="42" t="s">
        <v>982</v>
      </c>
      <c r="O241" s="42" t="s">
        <v>982</v>
      </c>
      <c r="P241" s="42" t="s">
        <v>982</v>
      </c>
      <c r="Q241" s="42">
        <v>3</v>
      </c>
      <c r="R241" s="54"/>
      <c r="S241" s="54"/>
      <c r="T241" s="54"/>
      <c r="U241" s="42"/>
      <c r="V241" s="42">
        <v>239</v>
      </c>
      <c r="W241" s="42"/>
      <c r="X241" s="42" t="s">
        <v>1847</v>
      </c>
      <c r="Y241" s="42" t="s">
        <v>1848</v>
      </c>
      <c r="Z241" s="42" t="s">
        <v>1849</v>
      </c>
      <c r="AA241" s="59"/>
      <c r="AB241" s="59"/>
      <c r="AC241" s="59"/>
      <c r="AD241" s="59"/>
      <c r="AE241" s="59"/>
      <c r="AF241" s="59"/>
      <c r="AG241" s="59"/>
      <c r="AH241" s="59"/>
      <c r="AI241" s="59"/>
      <c r="AJ241" s="59"/>
      <c r="AK241" s="59"/>
      <c r="AL241" s="42" t="s">
        <v>1850</v>
      </c>
      <c r="AM241" s="53" t="s">
        <v>993</v>
      </c>
      <c r="AN241" s="53">
        <v>2017</v>
      </c>
      <c r="AO241" s="53">
        <v>5</v>
      </c>
    </row>
    <row r="242" spans="1:41" ht="165" x14ac:dyDescent="0.25">
      <c r="A242" s="37"/>
      <c r="B242" s="37"/>
      <c r="C242" s="37"/>
      <c r="D242" s="54" t="s">
        <v>982</v>
      </c>
      <c r="E242" s="54" t="s">
        <v>982</v>
      </c>
      <c r="F242" s="54" t="s">
        <v>982</v>
      </c>
      <c r="G242" s="54"/>
      <c r="H242" s="54" t="s">
        <v>982</v>
      </c>
      <c r="I242" s="54" t="s">
        <v>982</v>
      </c>
      <c r="J242" s="54" t="s">
        <v>982</v>
      </c>
      <c r="K242" s="54" t="s">
        <v>982</v>
      </c>
      <c r="L242" s="54" t="s">
        <v>982</v>
      </c>
      <c r="M242" s="54" t="s">
        <v>982</v>
      </c>
      <c r="N242" s="54" t="s">
        <v>982</v>
      </c>
      <c r="O242" s="54" t="s">
        <v>982</v>
      </c>
      <c r="P242" s="54" t="s">
        <v>982</v>
      </c>
      <c r="Q242" s="54">
        <v>1</v>
      </c>
      <c r="R242" s="54"/>
      <c r="S242" s="54"/>
      <c r="T242" s="54"/>
      <c r="U242" s="42"/>
      <c r="V242" s="54">
        <v>240</v>
      </c>
      <c r="W242" s="54"/>
      <c r="X242" s="54" t="s">
        <v>1851</v>
      </c>
      <c r="Y242" s="54" t="s">
        <v>1852</v>
      </c>
      <c r="Z242" s="54" t="s">
        <v>1853</v>
      </c>
      <c r="AA242" s="59"/>
      <c r="AB242" s="59"/>
      <c r="AC242" s="59"/>
      <c r="AD242" s="59"/>
      <c r="AE242" s="59"/>
      <c r="AF242" s="59"/>
      <c r="AG242" s="59"/>
      <c r="AH242" s="59"/>
      <c r="AI242" s="59"/>
      <c r="AJ242" s="59"/>
      <c r="AK242" s="59"/>
      <c r="AL242" s="59" t="s">
        <v>1811</v>
      </c>
      <c r="AM242" s="65" t="s">
        <v>993</v>
      </c>
      <c r="AN242" s="65">
        <v>2018</v>
      </c>
      <c r="AO242" s="65">
        <v>3</v>
      </c>
    </row>
    <row r="243" spans="1:41" ht="135" x14ac:dyDescent="0.25">
      <c r="A243" s="37"/>
      <c r="B243" s="37"/>
      <c r="C243" s="37"/>
      <c r="D243" s="54" t="s">
        <v>982</v>
      </c>
      <c r="E243" s="54" t="s">
        <v>982</v>
      </c>
      <c r="F243" s="54" t="s">
        <v>982</v>
      </c>
      <c r="G243" s="54"/>
      <c r="H243" s="54" t="s">
        <v>982</v>
      </c>
      <c r="I243" s="54" t="s">
        <v>982</v>
      </c>
      <c r="J243" s="54" t="s">
        <v>982</v>
      </c>
      <c r="K243" s="54" t="s">
        <v>982</v>
      </c>
      <c r="L243" s="54" t="s">
        <v>982</v>
      </c>
      <c r="M243" s="54" t="s">
        <v>982</v>
      </c>
      <c r="N243" s="54" t="s">
        <v>982</v>
      </c>
      <c r="O243" s="54" t="s">
        <v>982</v>
      </c>
      <c r="P243" s="54" t="s">
        <v>982</v>
      </c>
      <c r="Q243" s="54">
        <v>1</v>
      </c>
      <c r="R243" s="54"/>
      <c r="S243" s="54"/>
      <c r="T243" s="54"/>
      <c r="U243" s="42"/>
      <c r="V243" s="54">
        <v>241</v>
      </c>
      <c r="W243" s="54"/>
      <c r="X243" s="54" t="s">
        <v>1854</v>
      </c>
      <c r="Y243" s="54" t="s">
        <v>1855</v>
      </c>
      <c r="Z243" s="54" t="s">
        <v>1856</v>
      </c>
      <c r="AA243" s="59"/>
      <c r="AB243" s="59"/>
      <c r="AC243" s="59"/>
      <c r="AD243" s="59"/>
      <c r="AE243" s="59"/>
      <c r="AF243" s="59"/>
      <c r="AG243" s="59"/>
      <c r="AH243" s="59"/>
      <c r="AI243" s="59"/>
      <c r="AJ243" s="59"/>
      <c r="AK243" s="59"/>
      <c r="AL243" s="59" t="s">
        <v>1857</v>
      </c>
      <c r="AM243" s="65" t="s">
        <v>993</v>
      </c>
      <c r="AN243" s="65">
        <v>2018</v>
      </c>
      <c r="AO243" s="65">
        <v>0</v>
      </c>
    </row>
    <row r="244" spans="1:41" ht="180" x14ac:dyDescent="0.25">
      <c r="A244" s="37"/>
      <c r="B244" s="37"/>
      <c r="C244" s="37"/>
      <c r="D244" s="54" t="s">
        <v>982</v>
      </c>
      <c r="E244" s="54" t="s">
        <v>982</v>
      </c>
      <c r="F244" s="54" t="s">
        <v>982</v>
      </c>
      <c r="G244" s="54"/>
      <c r="H244" s="54" t="s">
        <v>982</v>
      </c>
      <c r="I244" s="54" t="s">
        <v>982</v>
      </c>
      <c r="J244" s="54" t="s">
        <v>982</v>
      </c>
      <c r="K244" s="54" t="s">
        <v>982</v>
      </c>
      <c r="L244" s="54" t="s">
        <v>982</v>
      </c>
      <c r="M244" s="54" t="s">
        <v>982</v>
      </c>
      <c r="N244" s="54" t="s">
        <v>982</v>
      </c>
      <c r="O244" s="54" t="s">
        <v>982</v>
      </c>
      <c r="P244" s="54" t="s">
        <v>982</v>
      </c>
      <c r="Q244" s="54">
        <v>1</v>
      </c>
      <c r="R244" s="54"/>
      <c r="S244" s="54"/>
      <c r="T244" s="54"/>
      <c r="U244" s="42"/>
      <c r="V244" s="54">
        <v>242</v>
      </c>
      <c r="W244" s="54"/>
      <c r="X244" s="54" t="s">
        <v>1858</v>
      </c>
      <c r="Y244" s="54" t="s">
        <v>1859</v>
      </c>
      <c r="Z244" s="54" t="s">
        <v>1860</v>
      </c>
      <c r="AA244" s="59"/>
      <c r="AB244" s="59"/>
      <c r="AC244" s="59"/>
      <c r="AD244" s="59"/>
      <c r="AE244" s="59"/>
      <c r="AF244" s="59"/>
      <c r="AG244" s="59"/>
      <c r="AH244" s="59"/>
      <c r="AI244" s="59"/>
      <c r="AJ244" s="59"/>
      <c r="AK244" s="59"/>
      <c r="AL244" s="59" t="s">
        <v>1861</v>
      </c>
      <c r="AM244" s="65" t="s">
        <v>993</v>
      </c>
      <c r="AN244" s="65">
        <v>2017</v>
      </c>
      <c r="AO244" s="65">
        <v>4</v>
      </c>
    </row>
    <row r="245" spans="1:41" ht="150" x14ac:dyDescent="0.25">
      <c r="A245" s="37"/>
      <c r="B245" s="37"/>
      <c r="C245" s="37"/>
      <c r="D245" s="54" t="s">
        <v>982</v>
      </c>
      <c r="E245" s="54" t="s">
        <v>982</v>
      </c>
      <c r="F245" s="54" t="s">
        <v>982</v>
      </c>
      <c r="G245" s="54"/>
      <c r="H245" s="54" t="s">
        <v>982</v>
      </c>
      <c r="I245" s="54" t="s">
        <v>982</v>
      </c>
      <c r="J245" s="54" t="s">
        <v>982</v>
      </c>
      <c r="K245" s="54" t="s">
        <v>982</v>
      </c>
      <c r="L245" s="54" t="s">
        <v>982</v>
      </c>
      <c r="M245" s="54" t="s">
        <v>982</v>
      </c>
      <c r="N245" s="54" t="s">
        <v>982</v>
      </c>
      <c r="O245" s="54" t="s">
        <v>982</v>
      </c>
      <c r="P245" s="54" t="s">
        <v>982</v>
      </c>
      <c r="Q245" s="54">
        <v>1</v>
      </c>
      <c r="R245" s="54"/>
      <c r="S245" s="54"/>
      <c r="T245" s="54"/>
      <c r="U245" s="42"/>
      <c r="V245" s="54">
        <v>243</v>
      </c>
      <c r="W245" s="54"/>
      <c r="X245" s="54" t="s">
        <v>1862</v>
      </c>
      <c r="Y245" s="54" t="s">
        <v>1863</v>
      </c>
      <c r="Z245" s="54" t="s">
        <v>1864</v>
      </c>
      <c r="AA245" s="59"/>
      <c r="AB245" s="59"/>
      <c r="AC245" s="59"/>
      <c r="AD245" s="59"/>
      <c r="AE245" s="59"/>
      <c r="AF245" s="59"/>
      <c r="AG245" s="59"/>
      <c r="AH245" s="59"/>
      <c r="AI245" s="59"/>
      <c r="AJ245" s="59"/>
      <c r="AK245" s="59"/>
      <c r="AL245" s="59" t="s">
        <v>1865</v>
      </c>
      <c r="AM245" s="65" t="s">
        <v>993</v>
      </c>
      <c r="AN245" s="65">
        <v>2017</v>
      </c>
      <c r="AO245" s="65">
        <v>0</v>
      </c>
    </row>
    <row r="246" spans="1:41" ht="120" x14ac:dyDescent="0.25">
      <c r="A246" s="37"/>
      <c r="B246" s="37"/>
      <c r="C246" s="37"/>
      <c r="D246" s="54" t="s">
        <v>982</v>
      </c>
      <c r="E246" s="54" t="s">
        <v>982</v>
      </c>
      <c r="F246" s="54" t="s">
        <v>982</v>
      </c>
      <c r="G246" s="54"/>
      <c r="H246" s="54" t="s">
        <v>982</v>
      </c>
      <c r="I246" s="54" t="s">
        <v>982</v>
      </c>
      <c r="J246" s="54" t="s">
        <v>982</v>
      </c>
      <c r="K246" s="54" t="s">
        <v>982</v>
      </c>
      <c r="L246" s="54" t="s">
        <v>982</v>
      </c>
      <c r="M246" s="54" t="s">
        <v>982</v>
      </c>
      <c r="N246" s="54" t="s">
        <v>982</v>
      </c>
      <c r="O246" s="54" t="s">
        <v>982</v>
      </c>
      <c r="P246" s="54" t="s">
        <v>982</v>
      </c>
      <c r="Q246" s="54">
        <v>1</v>
      </c>
      <c r="R246" s="54"/>
      <c r="S246" s="54"/>
      <c r="T246" s="54"/>
      <c r="U246" s="42"/>
      <c r="V246" s="54">
        <v>244</v>
      </c>
      <c r="W246" s="54"/>
      <c r="X246" s="54" t="s">
        <v>1866</v>
      </c>
      <c r="Y246" s="54" t="s">
        <v>1867</v>
      </c>
      <c r="Z246" s="54" t="s">
        <v>1868</v>
      </c>
      <c r="AA246" s="59"/>
      <c r="AB246" s="59"/>
      <c r="AC246" s="59"/>
      <c r="AD246" s="59"/>
      <c r="AE246" s="59"/>
      <c r="AF246" s="59"/>
      <c r="AG246" s="59"/>
      <c r="AH246" s="59"/>
      <c r="AI246" s="59"/>
      <c r="AJ246" s="59"/>
      <c r="AK246" s="59"/>
      <c r="AL246" s="59" t="s">
        <v>1865</v>
      </c>
      <c r="AM246" s="65" t="s">
        <v>993</v>
      </c>
      <c r="AN246" s="65">
        <v>2017</v>
      </c>
      <c r="AO246" s="65">
        <v>0</v>
      </c>
    </row>
    <row r="247" spans="1:41" ht="195" x14ac:dyDescent="0.25">
      <c r="A247" s="37"/>
      <c r="B247" s="37"/>
      <c r="C247" s="37"/>
      <c r="D247" s="54" t="s">
        <v>982</v>
      </c>
      <c r="E247" s="54" t="s">
        <v>982</v>
      </c>
      <c r="F247" s="54" t="s">
        <v>982</v>
      </c>
      <c r="G247" s="54"/>
      <c r="H247" s="54" t="s">
        <v>982</v>
      </c>
      <c r="I247" s="54" t="s">
        <v>982</v>
      </c>
      <c r="J247" s="54" t="s">
        <v>982</v>
      </c>
      <c r="K247" s="54" t="s">
        <v>982</v>
      </c>
      <c r="L247" s="54" t="s">
        <v>982</v>
      </c>
      <c r="M247" s="54" t="s">
        <v>982</v>
      </c>
      <c r="N247" s="54" t="s">
        <v>982</v>
      </c>
      <c r="O247" s="54" t="s">
        <v>982</v>
      </c>
      <c r="P247" s="54" t="s">
        <v>982</v>
      </c>
      <c r="Q247" s="54">
        <v>1</v>
      </c>
      <c r="R247" s="54"/>
      <c r="S247" s="54"/>
      <c r="T247" s="54"/>
      <c r="U247" s="42"/>
      <c r="V247" s="54">
        <v>245</v>
      </c>
      <c r="W247" s="54"/>
      <c r="X247" s="54" t="s">
        <v>1840</v>
      </c>
      <c r="Y247" s="54" t="s">
        <v>1841</v>
      </c>
      <c r="Z247" s="54" t="s">
        <v>1842</v>
      </c>
      <c r="AA247" s="59"/>
      <c r="AB247" s="59"/>
      <c r="AC247" s="59"/>
      <c r="AD247" s="59"/>
      <c r="AE247" s="59"/>
      <c r="AF247" s="59"/>
      <c r="AG247" s="59"/>
      <c r="AH247" s="59"/>
      <c r="AI247" s="59"/>
      <c r="AJ247" s="59"/>
      <c r="AK247" s="59"/>
      <c r="AL247" s="59" t="s">
        <v>1839</v>
      </c>
      <c r="AM247" s="65" t="s">
        <v>993</v>
      </c>
      <c r="AN247" s="65">
        <v>2017</v>
      </c>
      <c r="AO247" s="65">
        <v>22</v>
      </c>
    </row>
    <row r="248" spans="1:41" ht="150" x14ac:dyDescent="0.25">
      <c r="A248" s="37"/>
      <c r="B248" s="37"/>
      <c r="C248" s="37"/>
      <c r="D248" s="42" t="s">
        <v>982</v>
      </c>
      <c r="E248" s="42" t="s">
        <v>982</v>
      </c>
      <c r="F248" s="42" t="s">
        <v>982</v>
      </c>
      <c r="G248" s="54"/>
      <c r="H248" s="42" t="s">
        <v>982</v>
      </c>
      <c r="I248" s="42" t="s">
        <v>982</v>
      </c>
      <c r="J248" s="42" t="s">
        <v>982</v>
      </c>
      <c r="K248" s="42" t="s">
        <v>982</v>
      </c>
      <c r="L248" s="42" t="s">
        <v>982</v>
      </c>
      <c r="M248" s="42" t="s">
        <v>982</v>
      </c>
      <c r="N248" s="42" t="s">
        <v>982</v>
      </c>
      <c r="O248" s="42" t="s">
        <v>982</v>
      </c>
      <c r="P248" s="42" t="s">
        <v>982</v>
      </c>
      <c r="Q248" s="42">
        <v>3</v>
      </c>
      <c r="R248" s="54"/>
      <c r="S248" s="54"/>
      <c r="T248" s="54"/>
      <c r="U248" s="42"/>
      <c r="V248" s="42">
        <v>246</v>
      </c>
      <c r="W248" s="42"/>
      <c r="X248" s="42" t="s">
        <v>1869</v>
      </c>
      <c r="Y248" s="42" t="s">
        <v>1870</v>
      </c>
      <c r="Z248" s="42" t="s">
        <v>1871</v>
      </c>
      <c r="AA248" s="59"/>
      <c r="AB248" s="59"/>
      <c r="AC248" s="59"/>
      <c r="AD248" s="59"/>
      <c r="AE248" s="59"/>
      <c r="AF248" s="59"/>
      <c r="AG248" s="59"/>
      <c r="AH248" s="59"/>
      <c r="AI248" s="59"/>
      <c r="AJ248" s="59"/>
      <c r="AK248" s="59"/>
      <c r="AL248" s="42" t="s">
        <v>1872</v>
      </c>
      <c r="AM248" s="53" t="s">
        <v>993</v>
      </c>
      <c r="AN248" s="53">
        <v>2016</v>
      </c>
      <c r="AO248" s="53">
        <v>2</v>
      </c>
    </row>
    <row r="249" spans="1:41" ht="255" x14ac:dyDescent="0.25">
      <c r="A249" s="37"/>
      <c r="B249" s="37"/>
      <c r="C249" s="37"/>
      <c r="D249" s="54" t="s">
        <v>982</v>
      </c>
      <c r="E249" s="54" t="s">
        <v>982</v>
      </c>
      <c r="F249" s="54" t="s">
        <v>982</v>
      </c>
      <c r="G249" s="54"/>
      <c r="H249" s="54" t="s">
        <v>982</v>
      </c>
      <c r="I249" s="54" t="s">
        <v>982</v>
      </c>
      <c r="J249" s="54" t="s">
        <v>982</v>
      </c>
      <c r="K249" s="54" t="s">
        <v>982</v>
      </c>
      <c r="L249" s="54" t="s">
        <v>982</v>
      </c>
      <c r="M249" s="54" t="s">
        <v>982</v>
      </c>
      <c r="N249" s="54" t="s">
        <v>982</v>
      </c>
      <c r="O249" s="54" t="s">
        <v>982</v>
      </c>
      <c r="P249" s="54" t="s">
        <v>982</v>
      </c>
      <c r="Q249" s="54">
        <v>1</v>
      </c>
      <c r="R249" s="54"/>
      <c r="S249" s="54"/>
      <c r="T249" s="54"/>
      <c r="U249" s="42"/>
      <c r="V249" s="54">
        <v>247</v>
      </c>
      <c r="W249" s="54"/>
      <c r="X249" s="54" t="s">
        <v>1873</v>
      </c>
      <c r="Y249" s="54" t="s">
        <v>1874</v>
      </c>
      <c r="Z249" s="54" t="s">
        <v>1875</v>
      </c>
      <c r="AA249" s="59"/>
      <c r="AB249" s="59"/>
      <c r="AC249" s="59"/>
      <c r="AD249" s="59"/>
      <c r="AE249" s="59"/>
      <c r="AF249" s="59"/>
      <c r="AG249" s="59"/>
      <c r="AH249" s="59"/>
      <c r="AI249" s="59"/>
      <c r="AJ249" s="59"/>
      <c r="AK249" s="59"/>
      <c r="AL249" s="59" t="s">
        <v>1876</v>
      </c>
      <c r="AM249" s="65" t="s">
        <v>993</v>
      </c>
      <c r="AN249" s="65">
        <v>2016</v>
      </c>
      <c r="AO249" s="65">
        <v>2</v>
      </c>
    </row>
    <row r="250" spans="1:41" ht="240" x14ac:dyDescent="0.25">
      <c r="A250" s="37"/>
      <c r="B250" s="37"/>
      <c r="C250" s="37"/>
      <c r="D250" s="54" t="s">
        <v>982</v>
      </c>
      <c r="E250" s="54" t="s">
        <v>982</v>
      </c>
      <c r="F250" s="54" t="s">
        <v>982</v>
      </c>
      <c r="G250" s="54"/>
      <c r="H250" s="54" t="s">
        <v>982</v>
      </c>
      <c r="I250" s="54" t="s">
        <v>982</v>
      </c>
      <c r="J250" s="54" t="s">
        <v>982</v>
      </c>
      <c r="K250" s="54" t="s">
        <v>982</v>
      </c>
      <c r="L250" s="54" t="s">
        <v>982</v>
      </c>
      <c r="M250" s="54" t="s">
        <v>982</v>
      </c>
      <c r="N250" s="54" t="s">
        <v>982</v>
      </c>
      <c r="O250" s="54" t="s">
        <v>982</v>
      </c>
      <c r="P250" s="54" t="s">
        <v>982</v>
      </c>
      <c r="Q250" s="54">
        <v>1</v>
      </c>
      <c r="R250" s="54"/>
      <c r="S250" s="54"/>
      <c r="T250" s="54"/>
      <c r="U250" s="42"/>
      <c r="V250" s="54">
        <v>248</v>
      </c>
      <c r="W250" s="54"/>
      <c r="X250" s="54" t="s">
        <v>1877</v>
      </c>
      <c r="Y250" s="54" t="s">
        <v>1878</v>
      </c>
      <c r="Z250" s="54" t="s">
        <v>1879</v>
      </c>
      <c r="AA250" s="59"/>
      <c r="AB250" s="59"/>
      <c r="AC250" s="59"/>
      <c r="AD250" s="59"/>
      <c r="AE250" s="59"/>
      <c r="AF250" s="59"/>
      <c r="AG250" s="59"/>
      <c r="AH250" s="59"/>
      <c r="AI250" s="59"/>
      <c r="AJ250" s="59"/>
      <c r="AK250" s="59"/>
      <c r="AL250" s="59" t="s">
        <v>1880</v>
      </c>
      <c r="AM250" s="65" t="s">
        <v>993</v>
      </c>
      <c r="AN250" s="65">
        <v>2016</v>
      </c>
      <c r="AO250" s="65">
        <v>26</v>
      </c>
    </row>
    <row r="251" spans="1:41" ht="180" x14ac:dyDescent="0.25">
      <c r="A251" s="37"/>
      <c r="B251" s="37"/>
      <c r="C251" s="37"/>
      <c r="D251" s="54" t="s">
        <v>982</v>
      </c>
      <c r="E251" s="54" t="s">
        <v>982</v>
      </c>
      <c r="F251" s="54" t="s">
        <v>982</v>
      </c>
      <c r="G251" s="54"/>
      <c r="H251" s="54" t="s">
        <v>982</v>
      </c>
      <c r="I251" s="54" t="s">
        <v>982</v>
      </c>
      <c r="J251" s="54" t="s">
        <v>982</v>
      </c>
      <c r="K251" s="54" t="s">
        <v>982</v>
      </c>
      <c r="L251" s="54" t="s">
        <v>982</v>
      </c>
      <c r="M251" s="54" t="s">
        <v>982</v>
      </c>
      <c r="N251" s="54" t="s">
        <v>982</v>
      </c>
      <c r="O251" s="54" t="s">
        <v>982</v>
      </c>
      <c r="P251" s="54" t="s">
        <v>982</v>
      </c>
      <c r="Q251" s="54">
        <v>1</v>
      </c>
      <c r="R251" s="54"/>
      <c r="S251" s="54"/>
      <c r="T251" s="54"/>
      <c r="U251" s="42"/>
      <c r="V251" s="54">
        <v>249</v>
      </c>
      <c r="W251" s="54"/>
      <c r="X251" s="54" t="s">
        <v>1881</v>
      </c>
      <c r="Y251" s="54" t="s">
        <v>1882</v>
      </c>
      <c r="Z251" s="54" t="s">
        <v>1883</v>
      </c>
      <c r="AA251" s="59"/>
      <c r="AB251" s="59"/>
      <c r="AC251" s="59"/>
      <c r="AD251" s="59"/>
      <c r="AE251" s="59"/>
      <c r="AF251" s="59"/>
      <c r="AG251" s="59"/>
      <c r="AH251" s="59"/>
      <c r="AI251" s="59"/>
      <c r="AJ251" s="59"/>
      <c r="AK251" s="59"/>
      <c r="AL251" s="59" t="s">
        <v>1884</v>
      </c>
      <c r="AM251" s="65" t="s">
        <v>993</v>
      </c>
      <c r="AN251" s="65">
        <v>2016</v>
      </c>
      <c r="AO251" s="65">
        <v>23</v>
      </c>
    </row>
    <row r="252" spans="1:41" ht="195" x14ac:dyDescent="0.25">
      <c r="A252" s="37"/>
      <c r="B252" s="37"/>
      <c r="C252" s="37"/>
      <c r="D252" s="54" t="s">
        <v>982</v>
      </c>
      <c r="E252" s="54" t="s">
        <v>982</v>
      </c>
      <c r="F252" s="54" t="s">
        <v>982</v>
      </c>
      <c r="G252" s="54"/>
      <c r="H252" s="54" t="s">
        <v>982</v>
      </c>
      <c r="I252" s="54" t="s">
        <v>982</v>
      </c>
      <c r="J252" s="54" t="s">
        <v>982</v>
      </c>
      <c r="K252" s="54" t="s">
        <v>982</v>
      </c>
      <c r="L252" s="54" t="s">
        <v>982</v>
      </c>
      <c r="M252" s="54" t="s">
        <v>982</v>
      </c>
      <c r="N252" s="54" t="s">
        <v>982</v>
      </c>
      <c r="O252" s="54" t="s">
        <v>982</v>
      </c>
      <c r="P252" s="54" t="s">
        <v>982</v>
      </c>
      <c r="Q252" s="54">
        <v>1</v>
      </c>
      <c r="R252" s="54"/>
      <c r="S252" s="54"/>
      <c r="T252" s="54"/>
      <c r="U252" s="42"/>
      <c r="V252" s="54">
        <v>250</v>
      </c>
      <c r="W252" s="54"/>
      <c r="X252" s="54" t="s">
        <v>1885</v>
      </c>
      <c r="Y252" s="54" t="s">
        <v>1886</v>
      </c>
      <c r="Z252" s="54" t="s">
        <v>1887</v>
      </c>
      <c r="AA252" s="59"/>
      <c r="AB252" s="59"/>
      <c r="AC252" s="59"/>
      <c r="AD252" s="59"/>
      <c r="AE252" s="59"/>
      <c r="AF252" s="59"/>
      <c r="AG252" s="59"/>
      <c r="AH252" s="59"/>
      <c r="AI252" s="59"/>
      <c r="AJ252" s="59"/>
      <c r="AK252" s="59"/>
      <c r="AL252" s="59" t="s">
        <v>1888</v>
      </c>
      <c r="AM252" s="65" t="s">
        <v>993</v>
      </c>
      <c r="AN252" s="65">
        <v>2015</v>
      </c>
      <c r="AO252" s="65">
        <v>14</v>
      </c>
    </row>
    <row r="253" spans="1:41" ht="165" x14ac:dyDescent="0.25">
      <c r="A253" s="37"/>
      <c r="B253" s="37"/>
      <c r="C253" s="37"/>
      <c r="D253" s="54" t="s">
        <v>982</v>
      </c>
      <c r="E253" s="54" t="s">
        <v>982</v>
      </c>
      <c r="F253" s="54" t="s">
        <v>982</v>
      </c>
      <c r="G253" s="54"/>
      <c r="H253" s="54" t="s">
        <v>982</v>
      </c>
      <c r="I253" s="54" t="s">
        <v>982</v>
      </c>
      <c r="J253" s="54" t="s">
        <v>982</v>
      </c>
      <c r="K253" s="54" t="s">
        <v>982</v>
      </c>
      <c r="L253" s="54" t="s">
        <v>982</v>
      </c>
      <c r="M253" s="54" t="s">
        <v>982</v>
      </c>
      <c r="N253" s="54" t="s">
        <v>982</v>
      </c>
      <c r="O253" s="54" t="s">
        <v>982</v>
      </c>
      <c r="P253" s="54" t="s">
        <v>982</v>
      </c>
      <c r="Q253" s="54">
        <v>1</v>
      </c>
      <c r="R253" s="54"/>
      <c r="S253" s="54"/>
      <c r="T253" s="54"/>
      <c r="U253" s="42"/>
      <c r="V253" s="54">
        <v>251</v>
      </c>
      <c r="W253" s="54"/>
      <c r="X253" s="54" t="s">
        <v>1889</v>
      </c>
      <c r="Y253" s="54" t="s">
        <v>1890</v>
      </c>
      <c r="Z253" s="54" t="s">
        <v>1891</v>
      </c>
      <c r="AA253" s="59"/>
      <c r="AB253" s="59"/>
      <c r="AC253" s="59"/>
      <c r="AD253" s="59"/>
      <c r="AE253" s="59"/>
      <c r="AF253" s="59"/>
      <c r="AG253" s="59"/>
      <c r="AH253" s="59"/>
      <c r="AI253" s="59"/>
      <c r="AJ253" s="59"/>
      <c r="AK253" s="59"/>
      <c r="AL253" s="59" t="s">
        <v>1850</v>
      </c>
      <c r="AM253" s="65" t="s">
        <v>993</v>
      </c>
      <c r="AN253" s="65">
        <v>2014</v>
      </c>
      <c r="AO253" s="65">
        <v>1</v>
      </c>
    </row>
    <row r="254" spans="1:41" ht="240" x14ac:dyDescent="0.25">
      <c r="A254" s="37"/>
      <c r="B254" s="37"/>
      <c r="C254" s="37"/>
      <c r="D254" s="42" t="s">
        <v>982</v>
      </c>
      <c r="E254" s="42" t="s">
        <v>982</v>
      </c>
      <c r="F254" s="42" t="s">
        <v>982</v>
      </c>
      <c r="G254" s="54"/>
      <c r="H254" s="42" t="s">
        <v>982</v>
      </c>
      <c r="I254" s="42" t="s">
        <v>982</v>
      </c>
      <c r="J254" s="42" t="s">
        <v>982</v>
      </c>
      <c r="K254" s="42" t="s">
        <v>982</v>
      </c>
      <c r="L254" s="42" t="s">
        <v>982</v>
      </c>
      <c r="M254" s="42" t="s">
        <v>982</v>
      </c>
      <c r="N254" s="42" t="s">
        <v>982</v>
      </c>
      <c r="O254" s="42" t="s">
        <v>982</v>
      </c>
      <c r="P254" s="42" t="s">
        <v>982</v>
      </c>
      <c r="Q254" s="42">
        <v>2</v>
      </c>
      <c r="R254" s="54"/>
      <c r="S254" s="54"/>
      <c r="T254" s="54"/>
      <c r="U254" s="42"/>
      <c r="V254" s="42">
        <v>252</v>
      </c>
      <c r="W254" s="42"/>
      <c r="X254" s="42" t="s">
        <v>1892</v>
      </c>
      <c r="Y254" s="42" t="s">
        <v>1893</v>
      </c>
      <c r="Z254" s="42" t="s">
        <v>1894</v>
      </c>
      <c r="AA254" s="59"/>
      <c r="AB254" s="59"/>
      <c r="AC254" s="59"/>
      <c r="AD254" s="59"/>
      <c r="AE254" s="59"/>
      <c r="AF254" s="59"/>
      <c r="AG254" s="59"/>
      <c r="AH254" s="59"/>
      <c r="AI254" s="59"/>
      <c r="AJ254" s="59"/>
      <c r="AK254" s="59"/>
      <c r="AL254" s="42" t="s">
        <v>1895</v>
      </c>
      <c r="AM254" s="53" t="s">
        <v>993</v>
      </c>
      <c r="AN254" s="53">
        <v>2012</v>
      </c>
      <c r="AO254" s="53">
        <v>10</v>
      </c>
    </row>
    <row r="255" spans="1:41" ht="105" x14ac:dyDescent="0.25">
      <c r="A255" s="37"/>
      <c r="B255" s="37"/>
      <c r="C255" s="37"/>
      <c r="D255" s="42" t="s">
        <v>982</v>
      </c>
      <c r="E255" s="42" t="s">
        <v>982</v>
      </c>
      <c r="F255" s="42" t="s">
        <v>982</v>
      </c>
      <c r="G255" s="54"/>
      <c r="H255" s="42" t="s">
        <v>982</v>
      </c>
      <c r="I255" s="42" t="s">
        <v>982</v>
      </c>
      <c r="J255" s="42" t="s">
        <v>982</v>
      </c>
      <c r="K255" s="42" t="s">
        <v>982</v>
      </c>
      <c r="L255" s="42" t="s">
        <v>982</v>
      </c>
      <c r="M255" s="42" t="s">
        <v>982</v>
      </c>
      <c r="N255" s="42" t="s">
        <v>982</v>
      </c>
      <c r="O255" s="42" t="s">
        <v>982</v>
      </c>
      <c r="P255" s="42" t="s">
        <v>982</v>
      </c>
      <c r="Q255" s="42">
        <v>3</v>
      </c>
      <c r="R255" s="54"/>
      <c r="S255" s="54"/>
      <c r="T255" s="54"/>
      <c r="U255" s="42"/>
      <c r="V255" s="42">
        <v>253</v>
      </c>
      <c r="W255" s="42"/>
      <c r="X255" s="42" t="s">
        <v>1896</v>
      </c>
      <c r="Y255" s="42"/>
      <c r="Z255" s="42" t="s">
        <v>1897</v>
      </c>
      <c r="AA255" s="59"/>
      <c r="AB255" s="59"/>
      <c r="AC255" s="59"/>
      <c r="AD255" s="59"/>
      <c r="AE255" s="59"/>
      <c r="AF255" s="59"/>
      <c r="AG255" s="59"/>
      <c r="AH255" s="59"/>
      <c r="AI255" s="59"/>
      <c r="AJ255" s="59"/>
      <c r="AK255" s="59"/>
      <c r="AL255" s="42" t="s">
        <v>1898</v>
      </c>
      <c r="AM255" s="53" t="s">
        <v>993</v>
      </c>
      <c r="AN255" s="53">
        <v>2010</v>
      </c>
      <c r="AO255" s="53">
        <v>33</v>
      </c>
    </row>
  </sheetData>
  <mergeCells count="3">
    <mergeCell ref="A1:Q1"/>
    <mergeCell ref="R1:T1"/>
    <mergeCell ref="V1:AO1"/>
  </mergeCells>
  <pageMargins left="0.7" right="0.7" top="0.75" bottom="0.75" header="0.51180555555555496" footer="0.51180555555555496"/>
  <pageSetup firstPageNumber="0" orientation="portrait" horizontalDpi="300" verticalDpi="300"/>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N18"/>
  <sheetViews>
    <sheetView topLeftCell="AK1" zoomScale="75" zoomScaleNormal="75" workbookViewId="0">
      <pane ySplit="2" topLeftCell="A3" activePane="bottomLeft" state="frozen"/>
      <selection activeCell="AK1" sqref="AK1"/>
      <selection pane="bottomLeft" activeCell="AR3" sqref="AR3"/>
    </sheetView>
  </sheetViews>
  <sheetFormatPr baseColWidth="10" defaultColWidth="9.140625" defaultRowHeight="15" x14ac:dyDescent="0.25"/>
  <cols>
    <col min="1" max="1" width="15.7109375" hidden="1" customWidth="1"/>
    <col min="2" max="2" width="17" hidden="1" customWidth="1"/>
    <col min="3" max="3" width="15.85546875" hidden="1" customWidth="1"/>
    <col min="4" max="6" width="14.5703125" customWidth="1"/>
    <col min="7" max="7" width="14.5703125" hidden="1" customWidth="1"/>
    <col min="8" max="16" width="14.5703125" customWidth="1"/>
    <col min="17" max="17" width="10.5703125" customWidth="1"/>
    <col min="18" max="18" width="20.5703125" hidden="1" customWidth="1"/>
    <col min="19" max="19" width="22.140625" hidden="1" customWidth="1"/>
    <col min="20" max="20" width="22.7109375" hidden="1" customWidth="1"/>
    <col min="21" max="21" width="6.28515625" customWidth="1"/>
    <col min="22" max="22" width="19.5703125" customWidth="1"/>
    <col min="23" max="23" width="14.85546875" customWidth="1"/>
    <col min="24" max="24" width="99.140625" customWidth="1"/>
    <col min="25" max="25" width="36.140625" customWidth="1"/>
    <col min="26" max="36" width="36.140625" hidden="1" customWidth="1"/>
    <col min="37" max="37" width="36.140625" customWidth="1"/>
    <col min="38" max="38" width="15.42578125" customWidth="1"/>
    <col min="39" max="39" width="18.42578125" customWidth="1"/>
    <col min="40" max="40" width="18.7109375" style="49" customWidth="1"/>
    <col min="41" max="1025" width="10.5703125" customWidth="1"/>
  </cols>
  <sheetData>
    <row r="1" spans="1:40" x14ac:dyDescent="0.25">
      <c r="A1" s="196" t="s">
        <v>951</v>
      </c>
      <c r="B1" s="196"/>
      <c r="C1" s="196"/>
      <c r="D1" s="196"/>
      <c r="E1" s="196"/>
      <c r="F1" s="196"/>
      <c r="G1" s="196"/>
      <c r="H1" s="196"/>
      <c r="I1" s="196"/>
      <c r="J1" s="196"/>
      <c r="K1" s="196"/>
      <c r="L1" s="196"/>
      <c r="M1" s="196"/>
      <c r="N1" s="196"/>
      <c r="O1" s="196"/>
      <c r="P1" s="196"/>
      <c r="Q1" s="196"/>
      <c r="R1" s="196" t="s">
        <v>952</v>
      </c>
      <c r="S1" s="196"/>
      <c r="T1" s="196"/>
      <c r="U1" s="196" t="s">
        <v>953</v>
      </c>
      <c r="V1" s="196"/>
      <c r="W1" s="196"/>
      <c r="X1" s="196"/>
      <c r="Y1" s="196"/>
      <c r="Z1" s="196"/>
      <c r="AA1" s="196"/>
      <c r="AB1" s="196"/>
      <c r="AC1" s="196"/>
      <c r="AD1" s="196"/>
      <c r="AE1" s="196"/>
      <c r="AF1" s="196"/>
      <c r="AG1" s="196"/>
      <c r="AH1" s="196"/>
      <c r="AI1" s="196"/>
      <c r="AJ1" s="196"/>
      <c r="AK1" s="196"/>
      <c r="AL1" s="196"/>
      <c r="AM1" s="196"/>
      <c r="AN1" s="196"/>
    </row>
    <row r="2" spans="1:40" x14ac:dyDescent="0.25">
      <c r="A2" s="37" t="s">
        <v>954</v>
      </c>
      <c r="B2" s="37" t="s">
        <v>955</v>
      </c>
      <c r="C2" s="37" t="s">
        <v>956</v>
      </c>
      <c r="D2" s="52" t="s">
        <v>957</v>
      </c>
      <c r="E2" s="52" t="s">
        <v>958</v>
      </c>
      <c r="F2" s="52" t="s">
        <v>959</v>
      </c>
      <c r="G2" s="36" t="s">
        <v>960</v>
      </c>
      <c r="H2" s="52" t="s">
        <v>961</v>
      </c>
      <c r="I2" s="52" t="s">
        <v>962</v>
      </c>
      <c r="J2" s="52" t="s">
        <v>963</v>
      </c>
      <c r="K2" s="52" t="s">
        <v>964</v>
      </c>
      <c r="L2" s="52" t="s">
        <v>965</v>
      </c>
      <c r="M2" s="52" t="s">
        <v>966</v>
      </c>
      <c r="N2" s="52" t="s">
        <v>967</v>
      </c>
      <c r="O2" s="52" t="s">
        <v>928</v>
      </c>
      <c r="P2" s="52" t="s">
        <v>968</v>
      </c>
      <c r="Q2" s="36" t="s">
        <v>969</v>
      </c>
      <c r="R2" s="50" t="s">
        <v>970</v>
      </c>
      <c r="S2" s="50" t="s">
        <v>971</v>
      </c>
      <c r="T2" s="50" t="s">
        <v>972</v>
      </c>
      <c r="U2" s="50" t="s">
        <v>974</v>
      </c>
      <c r="V2" s="50" t="s">
        <v>975</v>
      </c>
      <c r="W2" s="50" t="s">
        <v>976</v>
      </c>
      <c r="X2" s="50" t="s">
        <v>977</v>
      </c>
      <c r="Y2" s="50" t="s">
        <v>348</v>
      </c>
      <c r="Z2" s="50"/>
      <c r="AA2" s="50"/>
      <c r="AB2" s="50"/>
      <c r="AC2" s="50"/>
      <c r="AD2" s="50"/>
      <c r="AE2" s="50"/>
      <c r="AF2" s="50"/>
      <c r="AG2" s="50"/>
      <c r="AH2" s="50"/>
      <c r="AI2" s="50"/>
      <c r="AJ2" s="50"/>
      <c r="AK2" s="50" t="s">
        <v>978</v>
      </c>
      <c r="AL2" s="50" t="s">
        <v>979</v>
      </c>
      <c r="AM2" s="50" t="s">
        <v>980</v>
      </c>
      <c r="AN2" s="53" t="s">
        <v>981</v>
      </c>
    </row>
    <row r="3" spans="1:40" x14ac:dyDescent="0.25">
      <c r="W3" s="91" t="s">
        <v>1899</v>
      </c>
      <c r="Y3" s="91" t="s">
        <v>1900</v>
      </c>
      <c r="AK3" s="91" t="s">
        <v>1901</v>
      </c>
    </row>
    <row r="4" spans="1:40" x14ac:dyDescent="0.25">
      <c r="W4" s="91" t="s">
        <v>1902</v>
      </c>
      <c r="Y4" s="91" t="s">
        <v>1903</v>
      </c>
      <c r="AK4" s="91" t="s">
        <v>1901</v>
      </c>
    </row>
    <row r="5" spans="1:40" x14ac:dyDescent="0.25">
      <c r="W5" s="91" t="s">
        <v>1904</v>
      </c>
      <c r="Y5" s="91" t="s">
        <v>1905</v>
      </c>
      <c r="AK5" s="91" t="s">
        <v>1906</v>
      </c>
    </row>
    <row r="6" spans="1:40" x14ac:dyDescent="0.25">
      <c r="W6" s="91" t="s">
        <v>1907</v>
      </c>
      <c r="Y6" s="91" t="s">
        <v>1908</v>
      </c>
      <c r="AK6" s="91" t="s">
        <v>1909</v>
      </c>
    </row>
    <row r="7" spans="1:40" x14ac:dyDescent="0.25">
      <c r="W7" s="91" t="s">
        <v>1910</v>
      </c>
      <c r="Y7" s="91" t="s">
        <v>1911</v>
      </c>
      <c r="AK7" s="91" t="s">
        <v>1909</v>
      </c>
    </row>
    <row r="8" spans="1:40" x14ac:dyDescent="0.25">
      <c r="W8" s="91" t="s">
        <v>1912</v>
      </c>
      <c r="Y8" s="91" t="s">
        <v>1913</v>
      </c>
      <c r="AK8" s="91" t="s">
        <v>1909</v>
      </c>
    </row>
    <row r="9" spans="1:40" x14ac:dyDescent="0.25">
      <c r="W9" s="91" t="s">
        <v>1914</v>
      </c>
      <c r="Y9" s="91" t="s">
        <v>1915</v>
      </c>
      <c r="AK9" s="91" t="s">
        <v>1909</v>
      </c>
    </row>
    <row r="10" spans="1:40" x14ac:dyDescent="0.25">
      <c r="W10" s="91" t="s">
        <v>1916</v>
      </c>
      <c r="Y10" s="91" t="s">
        <v>1917</v>
      </c>
      <c r="AK10" s="91" t="s">
        <v>1901</v>
      </c>
    </row>
    <row r="11" spans="1:40" x14ac:dyDescent="0.25">
      <c r="W11" s="91" t="s">
        <v>1918</v>
      </c>
      <c r="Y11" s="91" t="s">
        <v>1919</v>
      </c>
      <c r="AK11" s="91" t="s">
        <v>1920</v>
      </c>
    </row>
    <row r="12" spans="1:40" x14ac:dyDescent="0.25">
      <c r="W12" s="91" t="s">
        <v>1921</v>
      </c>
      <c r="Y12" s="91" t="s">
        <v>1922</v>
      </c>
      <c r="AK12" s="91" t="s">
        <v>1920</v>
      </c>
    </row>
    <row r="13" spans="1:40" x14ac:dyDescent="0.25">
      <c r="W13" s="91" t="s">
        <v>1923</v>
      </c>
      <c r="Y13" s="91" t="s">
        <v>1924</v>
      </c>
      <c r="AK13" s="91" t="s">
        <v>1920</v>
      </c>
    </row>
    <row r="14" spans="1:40" x14ac:dyDescent="0.25">
      <c r="W14" s="91" t="s">
        <v>1925</v>
      </c>
      <c r="Y14" s="91" t="s">
        <v>1926</v>
      </c>
      <c r="AK14" s="91" t="s">
        <v>1920</v>
      </c>
    </row>
    <row r="15" spans="1:40" x14ac:dyDescent="0.25">
      <c r="W15" s="91" t="s">
        <v>1927</v>
      </c>
      <c r="Y15" s="91" t="s">
        <v>1928</v>
      </c>
      <c r="AK15" s="91" t="s">
        <v>1920</v>
      </c>
    </row>
    <row r="16" spans="1:40" x14ac:dyDescent="0.25">
      <c r="W16" s="91" t="s">
        <v>1929</v>
      </c>
      <c r="Y16" s="91" t="s">
        <v>1930</v>
      </c>
      <c r="AK16" s="91" t="s">
        <v>1909</v>
      </c>
    </row>
    <row r="17" spans="23:37" x14ac:dyDescent="0.25">
      <c r="W17" s="91" t="s">
        <v>1931</v>
      </c>
      <c r="Y17" s="91" t="s">
        <v>1932</v>
      </c>
      <c r="AK17" s="91" t="s">
        <v>1909</v>
      </c>
    </row>
    <row r="18" spans="23:37" x14ac:dyDescent="0.25">
      <c r="W18" s="91" t="s">
        <v>1933</v>
      </c>
      <c r="Y18" s="91" t="s">
        <v>1934</v>
      </c>
      <c r="AK18" s="91" t="s">
        <v>1935</v>
      </c>
    </row>
  </sheetData>
  <autoFilter ref="D2:AN2" xr:uid="{00000000-0009-0000-0000-000007000000}"/>
  <mergeCells count="3">
    <mergeCell ref="A1:Q1"/>
    <mergeCell ref="R1:T1"/>
    <mergeCell ref="U1:AN1"/>
  </mergeCells>
  <pageMargins left="0.7" right="0.7" top="0.75" bottom="0.75" header="0.51180555555555496" footer="0.51180555555555496"/>
  <pageSetup firstPageNumber="0" orientation="portrait" horizontalDpi="300" verticalDpi="300"/>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N13"/>
  <sheetViews>
    <sheetView zoomScale="75" zoomScaleNormal="75" workbookViewId="0">
      <selection activeCell="M8" sqref="M8"/>
    </sheetView>
  </sheetViews>
  <sheetFormatPr baseColWidth="10" defaultColWidth="9.140625" defaultRowHeight="15" x14ac:dyDescent="0.25"/>
  <cols>
    <col min="1" max="1" width="25.85546875" customWidth="1"/>
    <col min="2" max="2" width="10.28515625" customWidth="1"/>
    <col min="3" max="3" width="8.28515625" customWidth="1"/>
    <col min="4" max="4" width="8" customWidth="1"/>
    <col min="5" max="5" width="9.42578125" customWidth="1"/>
    <col min="6" max="6" width="9.5703125" customWidth="1"/>
    <col min="7" max="7" width="12.140625" customWidth="1"/>
    <col min="8" max="8" width="9.5703125" customWidth="1"/>
    <col min="9" max="9" width="12.28515625" customWidth="1"/>
    <col min="10" max="10" width="9.7109375" customWidth="1"/>
    <col min="11" max="11" width="11.28515625" customWidth="1"/>
    <col min="12" max="13" width="9.42578125" customWidth="1"/>
    <col min="14" max="1025" width="10.5703125" customWidth="1"/>
  </cols>
  <sheetData>
    <row r="1" spans="1:14" ht="33.75" x14ac:dyDescent="0.25">
      <c r="A1" s="92" t="s">
        <v>1936</v>
      </c>
      <c r="B1" s="93" t="s">
        <v>1937</v>
      </c>
      <c r="C1" s="94" t="s">
        <v>965</v>
      </c>
      <c r="D1" s="95" t="s">
        <v>1938</v>
      </c>
      <c r="E1" s="96" t="s">
        <v>1939</v>
      </c>
      <c r="F1" s="97" t="s">
        <v>1940</v>
      </c>
      <c r="G1" s="98" t="s">
        <v>1941</v>
      </c>
      <c r="H1" s="99" t="s">
        <v>928</v>
      </c>
      <c r="I1" s="100" t="s">
        <v>1942</v>
      </c>
      <c r="J1" s="101" t="s">
        <v>1943</v>
      </c>
      <c r="K1" s="102" t="s">
        <v>1944</v>
      </c>
      <c r="L1" s="103" t="s">
        <v>1945</v>
      </c>
      <c r="M1" s="104" t="s">
        <v>1946</v>
      </c>
    </row>
    <row r="2" spans="1:14" x14ac:dyDescent="0.25">
      <c r="A2" s="93" t="s">
        <v>1937</v>
      </c>
      <c r="B2" s="105"/>
      <c r="C2" s="50" t="s">
        <v>1947</v>
      </c>
      <c r="D2" s="106" t="s">
        <v>1948</v>
      </c>
      <c r="E2" s="106" t="s">
        <v>1948</v>
      </c>
      <c r="F2" s="50" t="s">
        <v>1947</v>
      </c>
      <c r="G2" s="50" t="s">
        <v>1947</v>
      </c>
      <c r="H2" s="50" t="s">
        <v>1947</v>
      </c>
      <c r="I2" s="50" t="s">
        <v>1947</v>
      </c>
      <c r="J2" s="50" t="s">
        <v>1947</v>
      </c>
      <c r="K2" s="50" t="s">
        <v>1947</v>
      </c>
      <c r="L2" s="50" t="s">
        <v>1947</v>
      </c>
      <c r="M2" s="50" t="s">
        <v>1947</v>
      </c>
      <c r="N2" s="107"/>
    </row>
    <row r="3" spans="1:14" x14ac:dyDescent="0.25">
      <c r="A3" s="94" t="s">
        <v>965</v>
      </c>
      <c r="B3" s="108"/>
      <c r="C3" s="105"/>
      <c r="D3" s="106" t="s">
        <v>1948</v>
      </c>
      <c r="E3" s="106" t="s">
        <v>1948</v>
      </c>
      <c r="F3" s="50" t="s">
        <v>1947</v>
      </c>
      <c r="G3" s="50" t="s">
        <v>1947</v>
      </c>
      <c r="H3" s="50" t="s">
        <v>1947</v>
      </c>
      <c r="I3" s="50" t="s">
        <v>1947</v>
      </c>
      <c r="J3" s="50" t="s">
        <v>1947</v>
      </c>
      <c r="K3" s="50" t="s">
        <v>1947</v>
      </c>
      <c r="L3" s="109" t="s">
        <v>1948</v>
      </c>
      <c r="M3" s="50" t="s">
        <v>1947</v>
      </c>
    </row>
    <row r="4" spans="1:14" x14ac:dyDescent="0.25">
      <c r="A4" s="95" t="s">
        <v>1938</v>
      </c>
      <c r="B4" s="108"/>
      <c r="C4" s="108"/>
      <c r="D4" s="105"/>
      <c r="E4" s="106" t="s">
        <v>1948</v>
      </c>
      <c r="F4" s="50" t="s">
        <v>1947</v>
      </c>
      <c r="G4" s="50" t="s">
        <v>1947</v>
      </c>
      <c r="H4" s="50" t="s">
        <v>1947</v>
      </c>
      <c r="I4" s="109" t="s">
        <v>1948</v>
      </c>
      <c r="J4" s="50" t="s">
        <v>1947</v>
      </c>
      <c r="K4" s="50" t="s">
        <v>1947</v>
      </c>
      <c r="L4" s="109" t="s">
        <v>1948</v>
      </c>
      <c r="M4" s="50" t="s">
        <v>1947</v>
      </c>
    </row>
    <row r="5" spans="1:14" x14ac:dyDescent="0.25">
      <c r="A5" s="96" t="s">
        <v>1939</v>
      </c>
      <c r="B5" s="108"/>
      <c r="C5" s="110"/>
      <c r="D5" s="108"/>
      <c r="E5" s="105"/>
      <c r="F5" s="50" t="s">
        <v>1947</v>
      </c>
      <c r="G5" s="109" t="s">
        <v>1948</v>
      </c>
      <c r="H5" s="50" t="s">
        <v>1947</v>
      </c>
      <c r="I5" s="109" t="s">
        <v>1948</v>
      </c>
      <c r="J5" s="50" t="s">
        <v>1947</v>
      </c>
      <c r="K5" s="50" t="s">
        <v>1947</v>
      </c>
      <c r="L5" s="50" t="s">
        <v>1947</v>
      </c>
      <c r="M5" s="50" t="s">
        <v>1947</v>
      </c>
    </row>
    <row r="6" spans="1:14" x14ac:dyDescent="0.25">
      <c r="A6" s="97" t="s">
        <v>1940</v>
      </c>
      <c r="B6" s="110"/>
      <c r="C6" s="110"/>
      <c r="D6" s="110"/>
      <c r="E6" s="110"/>
      <c r="F6" s="105"/>
      <c r="G6" s="50" t="s">
        <v>1947</v>
      </c>
      <c r="H6" s="50" t="s">
        <v>1947</v>
      </c>
      <c r="I6" s="50" t="s">
        <v>1947</v>
      </c>
      <c r="J6" s="50" t="s">
        <v>1947</v>
      </c>
      <c r="K6" s="50" t="s">
        <v>1947</v>
      </c>
      <c r="L6" s="50" t="s">
        <v>1947</v>
      </c>
      <c r="M6" s="50" t="s">
        <v>1947</v>
      </c>
    </row>
    <row r="7" spans="1:14" x14ac:dyDescent="0.25">
      <c r="A7" s="98" t="s">
        <v>1941</v>
      </c>
      <c r="B7" s="108"/>
      <c r="C7" s="108"/>
      <c r="D7" s="108"/>
      <c r="E7" s="110"/>
      <c r="F7" s="110"/>
      <c r="G7" s="105"/>
      <c r="H7" s="50" t="s">
        <v>1947</v>
      </c>
      <c r="I7" s="50" t="s">
        <v>1947</v>
      </c>
      <c r="J7" s="50" t="s">
        <v>1947</v>
      </c>
      <c r="K7" s="109" t="s">
        <v>1948</v>
      </c>
      <c r="L7" s="109" t="s">
        <v>1948</v>
      </c>
      <c r="M7" s="50" t="s">
        <v>1947</v>
      </c>
    </row>
    <row r="8" spans="1:14" x14ac:dyDescent="0.25">
      <c r="A8" s="99" t="s">
        <v>928</v>
      </c>
      <c r="B8" s="110"/>
      <c r="C8" s="110"/>
      <c r="D8" s="110"/>
      <c r="E8" s="110"/>
      <c r="F8" s="110"/>
      <c r="G8" s="110"/>
      <c r="H8" s="105"/>
      <c r="I8" s="50" t="s">
        <v>1947</v>
      </c>
      <c r="J8" s="50" t="s">
        <v>1947</v>
      </c>
      <c r="K8" s="50" t="s">
        <v>1947</v>
      </c>
      <c r="L8" s="50" t="s">
        <v>1947</v>
      </c>
      <c r="M8" s="50" t="s">
        <v>1947</v>
      </c>
    </row>
    <row r="9" spans="1:14" x14ac:dyDescent="0.25">
      <c r="A9" s="100" t="s">
        <v>1942</v>
      </c>
      <c r="B9" s="110"/>
      <c r="C9" s="110"/>
      <c r="D9" s="110"/>
      <c r="E9" s="110"/>
      <c r="F9" s="110"/>
      <c r="G9" s="110"/>
      <c r="H9" s="110"/>
      <c r="I9" s="105"/>
      <c r="J9" s="50" t="s">
        <v>1947</v>
      </c>
      <c r="K9" s="50" t="s">
        <v>1947</v>
      </c>
      <c r="L9" s="50" t="s">
        <v>1948</v>
      </c>
      <c r="M9" s="50" t="s">
        <v>1947</v>
      </c>
    </row>
    <row r="10" spans="1:14" x14ac:dyDescent="0.25">
      <c r="A10" s="101" t="s">
        <v>1943</v>
      </c>
      <c r="B10" s="110"/>
      <c r="C10" s="110"/>
      <c r="D10" s="110"/>
      <c r="E10" s="110"/>
      <c r="F10" s="110"/>
      <c r="G10" s="110"/>
      <c r="H10" s="110"/>
      <c r="I10" s="110"/>
      <c r="J10" s="105"/>
      <c r="K10" s="50" t="s">
        <v>1947</v>
      </c>
      <c r="L10" s="50" t="s">
        <v>1947</v>
      </c>
      <c r="M10" s="50" t="s">
        <v>1947</v>
      </c>
    </row>
    <row r="11" spans="1:14" x14ac:dyDescent="0.25">
      <c r="A11" s="102" t="s">
        <v>1944</v>
      </c>
      <c r="B11" s="110"/>
      <c r="C11" s="110"/>
      <c r="D11" s="110"/>
      <c r="E11" s="110"/>
      <c r="F11" s="110"/>
      <c r="G11" s="110"/>
      <c r="H11" s="110"/>
      <c r="I11" s="110"/>
      <c r="J11" s="111"/>
      <c r="K11" s="105"/>
      <c r="L11" s="50" t="s">
        <v>1947</v>
      </c>
      <c r="M11" s="109" t="s">
        <v>1948</v>
      </c>
    </row>
    <row r="12" spans="1:14" x14ac:dyDescent="0.25">
      <c r="A12" s="103" t="s">
        <v>1945</v>
      </c>
      <c r="B12" s="110"/>
      <c r="C12" s="110"/>
      <c r="D12" s="110"/>
      <c r="E12" s="110"/>
      <c r="F12" s="110"/>
      <c r="G12" s="110"/>
      <c r="H12" s="110"/>
      <c r="I12" s="110"/>
      <c r="J12" s="110"/>
      <c r="K12" s="110"/>
      <c r="L12" s="105"/>
      <c r="M12" s="109" t="s">
        <v>1948</v>
      </c>
    </row>
    <row r="13" spans="1:14" x14ac:dyDescent="0.25">
      <c r="A13" s="112" t="s">
        <v>1946</v>
      </c>
      <c r="B13" s="110"/>
      <c r="C13" s="110"/>
      <c r="D13" s="110"/>
      <c r="E13" s="110"/>
      <c r="F13" s="110"/>
      <c r="G13" s="110"/>
      <c r="H13" s="110"/>
      <c r="I13" s="110"/>
      <c r="J13" s="110"/>
      <c r="K13" s="110"/>
      <c r="L13" s="110"/>
      <c r="M13" s="105"/>
    </row>
  </sheetData>
  <pageMargins left="0.7" right="0.7" top="0.75" bottom="0.75" header="0.51180555555555496" footer="0.51180555555555496"/>
  <pageSetup firstPageNumber="0"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M99"/>
  <sheetViews>
    <sheetView topLeftCell="A13" zoomScale="75" zoomScaleNormal="75" workbookViewId="0">
      <selection activeCell="E11" sqref="E11"/>
    </sheetView>
  </sheetViews>
  <sheetFormatPr baseColWidth="10" defaultColWidth="9.140625" defaultRowHeight="15" x14ac:dyDescent="0.25"/>
  <cols>
    <col min="1" max="1" width="22.140625" customWidth="1"/>
    <col min="2" max="3" width="16.42578125" customWidth="1"/>
    <col min="4" max="4" width="16.5703125" customWidth="1"/>
    <col min="5" max="5" width="16.85546875" customWidth="1"/>
    <col min="6" max="6" width="18.7109375" customWidth="1"/>
    <col min="7" max="7" width="1.5703125" customWidth="1"/>
    <col min="8" max="8" width="35.7109375" customWidth="1"/>
    <col min="9" max="9" width="46.5703125" customWidth="1"/>
    <col min="10" max="13" width="10.5703125" customWidth="1"/>
    <col min="14" max="14" width="2.42578125" customWidth="1"/>
    <col min="15" max="1025" width="10.5703125" customWidth="1"/>
  </cols>
  <sheetData>
    <row r="1" spans="1:13" x14ac:dyDescent="0.25">
      <c r="A1" t="s">
        <v>1949</v>
      </c>
      <c r="G1" s="113"/>
    </row>
    <row r="2" spans="1:13" x14ac:dyDescent="0.25">
      <c r="A2" t="s">
        <v>1950</v>
      </c>
      <c r="G2" s="113"/>
    </row>
    <row r="3" spans="1:13" ht="75" x14ac:dyDescent="0.25">
      <c r="A3" s="114" t="s">
        <v>1951</v>
      </c>
      <c r="B3" s="115" t="s">
        <v>1952</v>
      </c>
      <c r="C3" s="115" t="s">
        <v>1953</v>
      </c>
      <c r="D3" s="115" t="s">
        <v>1954</v>
      </c>
      <c r="E3" s="115" t="s">
        <v>1955</v>
      </c>
      <c r="F3" s="115" t="s">
        <v>1956</v>
      </c>
      <c r="G3" s="113"/>
      <c r="H3" s="114" t="s">
        <v>1951</v>
      </c>
      <c r="I3" s="115" t="s">
        <v>1952</v>
      </c>
      <c r="J3" s="115" t="s">
        <v>1953</v>
      </c>
      <c r="K3" s="115" t="s">
        <v>1954</v>
      </c>
      <c r="L3" s="115" t="s">
        <v>1955</v>
      </c>
      <c r="M3" s="115" t="s">
        <v>1956</v>
      </c>
    </row>
    <row r="4" spans="1:13" x14ac:dyDescent="0.25">
      <c r="A4" s="116" t="s">
        <v>105</v>
      </c>
      <c r="B4" s="50" t="s">
        <v>1947</v>
      </c>
      <c r="C4" s="50" t="s">
        <v>1947</v>
      </c>
      <c r="D4" s="50" t="s">
        <v>1947</v>
      </c>
      <c r="E4" s="50" t="s">
        <v>1947</v>
      </c>
      <c r="F4" s="50" t="s">
        <v>1947</v>
      </c>
      <c r="G4" s="113"/>
      <c r="H4" s="116" t="s">
        <v>105</v>
      </c>
      <c r="I4" s="50" t="str">
        <f t="shared" ref="I4:M8" si="0">IF(B4="SI",CONCATENATE($H4," + ",I$3),"NA")</f>
        <v>NA</v>
      </c>
      <c r="J4" s="50" t="str">
        <f t="shared" si="0"/>
        <v>NA</v>
      </c>
      <c r="K4" s="50" t="str">
        <f t="shared" si="0"/>
        <v>NA</v>
      </c>
      <c r="L4" s="50" t="str">
        <f t="shared" si="0"/>
        <v>NA</v>
      </c>
      <c r="M4" s="50" t="str">
        <f t="shared" si="0"/>
        <v>NA</v>
      </c>
    </row>
    <row r="5" spans="1:13" x14ac:dyDescent="0.25">
      <c r="A5" s="116" t="s">
        <v>1957</v>
      </c>
      <c r="B5" s="50" t="s">
        <v>1948</v>
      </c>
      <c r="C5" s="50" t="s">
        <v>1947</v>
      </c>
      <c r="D5" s="50" t="s">
        <v>1948</v>
      </c>
      <c r="E5" s="50" t="s">
        <v>1947</v>
      </c>
      <c r="F5" s="50" t="s">
        <v>1947</v>
      </c>
      <c r="G5" s="113"/>
      <c r="H5" s="116" t="s">
        <v>1957</v>
      </c>
      <c r="I5" s="50" t="str">
        <f t="shared" si="0"/>
        <v>Smart Offices + Identificación y acceso</v>
      </c>
      <c r="J5" s="50" t="str">
        <f t="shared" si="0"/>
        <v>NA</v>
      </c>
      <c r="K5" s="50" t="str">
        <f t="shared" si="0"/>
        <v>Smart Offices + Detección de comportamientos</v>
      </c>
      <c r="L5" s="50" t="str">
        <f t="shared" si="0"/>
        <v>NA</v>
      </c>
      <c r="M5" s="50" t="str">
        <f t="shared" si="0"/>
        <v>NA</v>
      </c>
    </row>
    <row r="6" spans="1:13" x14ac:dyDescent="0.25">
      <c r="A6" s="116" t="s">
        <v>103</v>
      </c>
      <c r="B6" s="50" t="s">
        <v>1948</v>
      </c>
      <c r="C6" s="50" t="s">
        <v>1948</v>
      </c>
      <c r="D6" s="50" t="s">
        <v>1948</v>
      </c>
      <c r="E6" s="50" t="s">
        <v>1947</v>
      </c>
      <c r="F6" s="50" t="s">
        <v>1947</v>
      </c>
      <c r="G6" s="113"/>
      <c r="H6" s="116" t="s">
        <v>103</v>
      </c>
      <c r="I6" s="50" t="str">
        <f t="shared" si="0"/>
        <v>Smart Campus + Identificación y acceso</v>
      </c>
      <c r="J6" s="50" t="str">
        <f t="shared" si="0"/>
        <v>Smart Campus + Rastreo y conteo de múltiples objetos</v>
      </c>
      <c r="K6" s="50" t="str">
        <f t="shared" si="0"/>
        <v>Smart Campus + Detección de comportamientos</v>
      </c>
      <c r="L6" s="50" t="str">
        <f t="shared" si="0"/>
        <v>NA</v>
      </c>
      <c r="M6" s="50" t="str">
        <f t="shared" si="0"/>
        <v>NA</v>
      </c>
    </row>
    <row r="7" spans="1:13" x14ac:dyDescent="0.25">
      <c r="A7" s="116" t="s">
        <v>107</v>
      </c>
      <c r="B7" s="50" t="s">
        <v>1947</v>
      </c>
      <c r="C7" s="50" t="s">
        <v>1947</v>
      </c>
      <c r="D7" s="50" t="s">
        <v>1947</v>
      </c>
      <c r="E7" s="50" t="s">
        <v>1947</v>
      </c>
      <c r="F7" s="50" t="s">
        <v>1947</v>
      </c>
      <c r="G7" s="113"/>
      <c r="H7" s="116" t="s">
        <v>107</v>
      </c>
      <c r="I7" s="50" t="str">
        <f t="shared" si="0"/>
        <v>NA</v>
      </c>
      <c r="J7" s="50" t="str">
        <f t="shared" si="0"/>
        <v>NA</v>
      </c>
      <c r="K7" s="50" t="str">
        <f t="shared" si="0"/>
        <v>NA</v>
      </c>
      <c r="L7" s="50" t="str">
        <f t="shared" si="0"/>
        <v>NA</v>
      </c>
      <c r="M7" s="50" t="str">
        <f t="shared" si="0"/>
        <v>NA</v>
      </c>
    </row>
    <row r="8" spans="1:13" x14ac:dyDescent="0.25">
      <c r="A8" s="116" t="s">
        <v>109</v>
      </c>
      <c r="B8" s="50" t="s">
        <v>1947</v>
      </c>
      <c r="C8" s="50" t="s">
        <v>1947</v>
      </c>
      <c r="D8" s="50" t="s">
        <v>1947</v>
      </c>
      <c r="E8" s="50" t="s">
        <v>1947</v>
      </c>
      <c r="F8" s="50" t="s">
        <v>1947</v>
      </c>
      <c r="G8" s="113"/>
      <c r="H8" s="116" t="s">
        <v>109</v>
      </c>
      <c r="I8" s="50" t="str">
        <f t="shared" si="0"/>
        <v>NA</v>
      </c>
      <c r="J8" s="50" t="str">
        <f t="shared" si="0"/>
        <v>NA</v>
      </c>
      <c r="K8" s="50" t="str">
        <f t="shared" si="0"/>
        <v>NA</v>
      </c>
      <c r="L8" s="50" t="str">
        <f t="shared" si="0"/>
        <v>NA</v>
      </c>
      <c r="M8" s="50" t="str">
        <f t="shared" si="0"/>
        <v>NA</v>
      </c>
    </row>
    <row r="9" spans="1:13" x14ac:dyDescent="0.25">
      <c r="G9" s="113"/>
    </row>
    <row r="10" spans="1:13" x14ac:dyDescent="0.25">
      <c r="G10" s="113"/>
    </row>
    <row r="11" spans="1:13" ht="45" x14ac:dyDescent="0.25">
      <c r="A11" s="114" t="s">
        <v>1958</v>
      </c>
      <c r="B11" s="117" t="s">
        <v>984</v>
      </c>
      <c r="C11" s="117" t="s">
        <v>1017</v>
      </c>
      <c r="D11" s="117" t="s">
        <v>1204</v>
      </c>
      <c r="E11" s="117" t="s">
        <v>1959</v>
      </c>
      <c r="G11" s="113"/>
      <c r="H11" s="114" t="s">
        <v>1958</v>
      </c>
      <c r="I11" s="117" t="s">
        <v>984</v>
      </c>
      <c r="J11" s="117" t="s">
        <v>1017</v>
      </c>
      <c r="K11" s="117" t="s">
        <v>1204</v>
      </c>
      <c r="L11" s="117" t="s">
        <v>1959</v>
      </c>
    </row>
    <row r="12" spans="1:13" x14ac:dyDescent="0.25">
      <c r="A12" s="116" t="s">
        <v>105</v>
      </c>
      <c r="B12" s="50" t="s">
        <v>1947</v>
      </c>
      <c r="C12" s="50" t="s">
        <v>1947</v>
      </c>
      <c r="D12" s="50" t="s">
        <v>1947</v>
      </c>
      <c r="E12" s="50" t="s">
        <v>1947</v>
      </c>
      <c r="G12" s="113"/>
      <c r="H12" s="116" t="s">
        <v>105</v>
      </c>
      <c r="I12" s="50" t="str">
        <f t="shared" ref="I12:L16" si="1">IF(B12="SI",CONCATENATE($H12," + ",I$11),"NA")</f>
        <v>NA</v>
      </c>
      <c r="J12" s="50" t="str">
        <f t="shared" si="1"/>
        <v>NA</v>
      </c>
      <c r="K12" s="50" t="str">
        <f t="shared" si="1"/>
        <v>NA</v>
      </c>
      <c r="L12" s="50" t="str">
        <f t="shared" si="1"/>
        <v>NA</v>
      </c>
    </row>
    <row r="13" spans="1:13" x14ac:dyDescent="0.25">
      <c r="A13" s="116" t="s">
        <v>1957</v>
      </c>
      <c r="B13" s="50" t="s">
        <v>1948</v>
      </c>
      <c r="C13" s="50" t="s">
        <v>1947</v>
      </c>
      <c r="D13" s="50" t="s">
        <v>1947</v>
      </c>
      <c r="E13" s="50" t="s">
        <v>1947</v>
      </c>
      <c r="G13" s="113"/>
      <c r="H13" s="116" t="s">
        <v>1957</v>
      </c>
      <c r="I13" s="50" t="str">
        <f t="shared" si="1"/>
        <v>Smart Offices + Bienestar y salud</v>
      </c>
      <c r="J13" s="50" t="str">
        <f t="shared" si="1"/>
        <v>NA</v>
      </c>
      <c r="K13" s="50" t="str">
        <f t="shared" si="1"/>
        <v>NA</v>
      </c>
      <c r="L13" s="50" t="str">
        <f t="shared" si="1"/>
        <v>NA</v>
      </c>
    </row>
    <row r="14" spans="1:13" x14ac:dyDescent="0.25">
      <c r="A14" s="116" t="s">
        <v>103</v>
      </c>
      <c r="B14" s="50" t="s">
        <v>1948</v>
      </c>
      <c r="C14" s="50" t="s">
        <v>1948</v>
      </c>
      <c r="D14" s="50" t="s">
        <v>1948</v>
      </c>
      <c r="E14" s="50" t="s">
        <v>1948</v>
      </c>
      <c r="G14" s="113"/>
      <c r="H14" s="116" t="s">
        <v>103</v>
      </c>
      <c r="I14" s="50" t="str">
        <f t="shared" si="1"/>
        <v>Smart Campus + Bienestar y salud</v>
      </c>
      <c r="J14" s="50" t="str">
        <f t="shared" si="1"/>
        <v>Smart Campus + Seguridad</v>
      </c>
      <c r="K14" s="50" t="str">
        <f t="shared" si="1"/>
        <v>Smart Campus + Modelamiento espacial</v>
      </c>
      <c r="L14" s="50" t="str">
        <f t="shared" si="1"/>
        <v>Smart Campus + Negocios</v>
      </c>
    </row>
    <row r="15" spans="1:13" x14ac:dyDescent="0.25">
      <c r="A15" s="116" t="s">
        <v>107</v>
      </c>
      <c r="B15" s="50" t="s">
        <v>1947</v>
      </c>
      <c r="C15" s="50" t="s">
        <v>1947</v>
      </c>
      <c r="D15" s="50" t="s">
        <v>1947</v>
      </c>
      <c r="E15" s="50" t="s">
        <v>1947</v>
      </c>
      <c r="G15" s="113"/>
      <c r="H15" s="116" t="s">
        <v>107</v>
      </c>
      <c r="I15" s="50" t="str">
        <f t="shared" si="1"/>
        <v>NA</v>
      </c>
      <c r="J15" s="50" t="str">
        <f t="shared" si="1"/>
        <v>NA</v>
      </c>
      <c r="K15" s="50" t="str">
        <f t="shared" si="1"/>
        <v>NA</v>
      </c>
      <c r="L15" s="50" t="str">
        <f t="shared" si="1"/>
        <v>NA</v>
      </c>
    </row>
    <row r="16" spans="1:13" x14ac:dyDescent="0.25">
      <c r="A16" s="116" t="s">
        <v>109</v>
      </c>
      <c r="B16" s="50" t="s">
        <v>1947</v>
      </c>
      <c r="C16" s="50" t="s">
        <v>1947</v>
      </c>
      <c r="D16" s="50" t="s">
        <v>1947</v>
      </c>
      <c r="E16" s="50" t="s">
        <v>1947</v>
      </c>
      <c r="G16" s="113"/>
      <c r="H16" s="116" t="s">
        <v>109</v>
      </c>
      <c r="I16" s="50" t="str">
        <f t="shared" si="1"/>
        <v>NA</v>
      </c>
      <c r="J16" s="50" t="str">
        <f t="shared" si="1"/>
        <v>NA</v>
      </c>
      <c r="K16" s="50" t="str">
        <f t="shared" si="1"/>
        <v>NA</v>
      </c>
      <c r="L16" s="50" t="str">
        <f t="shared" si="1"/>
        <v>NA</v>
      </c>
    </row>
    <row r="17" spans="1:13" x14ac:dyDescent="0.25">
      <c r="G17" s="113"/>
    </row>
    <row r="18" spans="1:13" x14ac:dyDescent="0.25">
      <c r="G18" s="113"/>
    </row>
    <row r="19" spans="1:13" ht="66.75" customHeight="1" x14ac:dyDescent="0.25">
      <c r="A19" s="114" t="s">
        <v>1960</v>
      </c>
      <c r="B19" s="115" t="s">
        <v>1952</v>
      </c>
      <c r="C19" s="115" t="s">
        <v>1953</v>
      </c>
      <c r="D19" s="115" t="s">
        <v>1954</v>
      </c>
      <c r="E19" s="115" t="s">
        <v>1955</v>
      </c>
      <c r="F19" s="115" t="s">
        <v>1956</v>
      </c>
      <c r="G19" s="113"/>
      <c r="H19" s="114" t="s">
        <v>1960</v>
      </c>
      <c r="I19" s="115" t="s">
        <v>1952</v>
      </c>
      <c r="J19" s="115" t="s">
        <v>1953</v>
      </c>
      <c r="K19" s="115" t="s">
        <v>1954</v>
      </c>
      <c r="L19" s="115" t="s">
        <v>1955</v>
      </c>
      <c r="M19" s="115" t="s">
        <v>1956</v>
      </c>
    </row>
    <row r="20" spans="1:13" x14ac:dyDescent="0.25">
      <c r="A20" s="118" t="s">
        <v>1961</v>
      </c>
      <c r="B20" s="50" t="s">
        <v>1947</v>
      </c>
      <c r="C20" s="50" t="s">
        <v>1948</v>
      </c>
      <c r="D20" s="50" t="s">
        <v>1948</v>
      </c>
      <c r="E20" s="50" t="s">
        <v>1947</v>
      </c>
      <c r="F20" s="50" t="s">
        <v>1947</v>
      </c>
      <c r="G20" s="113"/>
      <c r="H20" s="118" t="s">
        <v>1961</v>
      </c>
      <c r="I20" s="50" t="str">
        <f t="shared" ref="I20:M21" si="2">IF(B20="SI",CONCATENATE($H20," + ",I$19),"NA")</f>
        <v>NA</v>
      </c>
      <c r="J20" s="50" t="str">
        <f t="shared" si="2"/>
        <v>Entorno Abierto + Rastreo y conteo de múltiples objetos</v>
      </c>
      <c r="K20" s="50" t="str">
        <f t="shared" si="2"/>
        <v>Entorno Abierto + Detección de comportamientos</v>
      </c>
      <c r="L20" s="50" t="str">
        <f t="shared" si="2"/>
        <v>NA</v>
      </c>
      <c r="M20" s="50" t="str">
        <f t="shared" si="2"/>
        <v>NA</v>
      </c>
    </row>
    <row r="21" spans="1:13" x14ac:dyDescent="0.25">
      <c r="A21" s="118" t="s">
        <v>1962</v>
      </c>
      <c r="B21" s="50" t="s">
        <v>1948</v>
      </c>
      <c r="C21" s="50" t="s">
        <v>1948</v>
      </c>
      <c r="D21" s="50" t="s">
        <v>1948</v>
      </c>
      <c r="E21" s="50" t="s">
        <v>1947</v>
      </c>
      <c r="F21" s="50" t="s">
        <v>1948</v>
      </c>
      <c r="G21" s="113"/>
      <c r="H21" s="118" t="s">
        <v>1962</v>
      </c>
      <c r="I21" s="50" t="str">
        <f t="shared" si="2"/>
        <v>Entorno Cerrado + Identificación y acceso</v>
      </c>
      <c r="J21" s="50" t="str">
        <f t="shared" si="2"/>
        <v>Entorno Cerrado + Rastreo y conteo de múltiples objetos</v>
      </c>
      <c r="K21" s="50" t="str">
        <f t="shared" si="2"/>
        <v>Entorno Cerrado + Detección de comportamientos</v>
      </c>
      <c r="L21" s="50" t="str">
        <f t="shared" si="2"/>
        <v>NA</v>
      </c>
      <c r="M21" s="50" t="str">
        <f t="shared" si="2"/>
        <v>Entorno Cerrado + Minería y análisis</v>
      </c>
    </row>
    <row r="22" spans="1:13" x14ac:dyDescent="0.25">
      <c r="G22" s="113"/>
    </row>
    <row r="23" spans="1:13" x14ac:dyDescent="0.25">
      <c r="G23" s="113"/>
    </row>
    <row r="24" spans="1:13" ht="45" x14ac:dyDescent="0.25">
      <c r="A24" s="114" t="s">
        <v>1963</v>
      </c>
      <c r="B24" s="117" t="s">
        <v>984</v>
      </c>
      <c r="C24" s="117" t="s">
        <v>1017</v>
      </c>
      <c r="D24" s="117" t="s">
        <v>1204</v>
      </c>
      <c r="E24" s="117" t="s">
        <v>1959</v>
      </c>
      <c r="G24" s="113"/>
      <c r="H24" s="114" t="s">
        <v>1963</v>
      </c>
      <c r="I24" s="117" t="s">
        <v>984</v>
      </c>
      <c r="J24" s="117" t="s">
        <v>1017</v>
      </c>
      <c r="K24" s="117" t="s">
        <v>1204</v>
      </c>
      <c r="L24" s="117" t="s">
        <v>1959</v>
      </c>
    </row>
    <row r="25" spans="1:13" x14ac:dyDescent="0.25">
      <c r="A25" s="118" t="s">
        <v>1961</v>
      </c>
      <c r="B25" s="50" t="s">
        <v>1947</v>
      </c>
      <c r="C25" s="50" t="s">
        <v>1948</v>
      </c>
      <c r="D25" s="50" t="s">
        <v>1947</v>
      </c>
      <c r="E25" s="50" t="s">
        <v>1947</v>
      </c>
      <c r="G25" s="113"/>
      <c r="H25" s="118" t="s">
        <v>1961</v>
      </c>
      <c r="I25" s="50" t="str">
        <f t="shared" ref="I25:L26" si="3">IF(B25="SI",CONCATENATE($H25," + ",I$24),"NA")</f>
        <v>NA</v>
      </c>
      <c r="J25" s="50" t="str">
        <f t="shared" si="3"/>
        <v>Entorno Abierto + Seguridad</v>
      </c>
      <c r="K25" s="50" t="str">
        <f t="shared" si="3"/>
        <v>NA</v>
      </c>
      <c r="L25" s="50" t="str">
        <f t="shared" si="3"/>
        <v>NA</v>
      </c>
    </row>
    <row r="26" spans="1:13" x14ac:dyDescent="0.25">
      <c r="A26" s="118" t="s">
        <v>1962</v>
      </c>
      <c r="B26" s="50" t="s">
        <v>1948</v>
      </c>
      <c r="C26" s="50" t="s">
        <v>1948</v>
      </c>
      <c r="D26" s="50" t="s">
        <v>1947</v>
      </c>
      <c r="E26" s="50" t="s">
        <v>1948</v>
      </c>
      <c r="G26" s="113"/>
      <c r="H26" s="118" t="s">
        <v>1962</v>
      </c>
      <c r="I26" s="50" t="str">
        <f t="shared" si="3"/>
        <v>Entorno Cerrado + Bienestar y salud</v>
      </c>
      <c r="J26" s="50" t="str">
        <f t="shared" si="3"/>
        <v>Entorno Cerrado + Seguridad</v>
      </c>
      <c r="K26" s="50" t="str">
        <f t="shared" si="3"/>
        <v>NA</v>
      </c>
      <c r="L26" s="50" t="str">
        <f t="shared" si="3"/>
        <v>Entorno Cerrado + Negocios</v>
      </c>
    </row>
    <row r="27" spans="1:13" x14ac:dyDescent="0.25">
      <c r="G27" s="113"/>
    </row>
    <row r="28" spans="1:13" x14ac:dyDescent="0.25">
      <c r="G28" s="113"/>
    </row>
    <row r="29" spans="1:13" ht="45" x14ac:dyDescent="0.25">
      <c r="A29" s="114" t="s">
        <v>1964</v>
      </c>
      <c r="B29" s="117" t="s">
        <v>984</v>
      </c>
      <c r="C29" s="117" t="s">
        <v>1017</v>
      </c>
      <c r="D29" s="117" t="s">
        <v>1204</v>
      </c>
      <c r="E29" s="117" t="s">
        <v>1959</v>
      </c>
      <c r="G29" s="113"/>
      <c r="H29" s="114" t="s">
        <v>1964</v>
      </c>
      <c r="I29" s="117" t="s">
        <v>984</v>
      </c>
      <c r="J29" s="117" t="s">
        <v>1017</v>
      </c>
      <c r="K29" s="117" t="s">
        <v>1204</v>
      </c>
      <c r="L29" s="117" t="s">
        <v>1959</v>
      </c>
    </row>
    <row r="30" spans="1:13" ht="30.75" customHeight="1" x14ac:dyDescent="0.25">
      <c r="A30" s="115" t="s">
        <v>1952</v>
      </c>
      <c r="B30" s="50" t="s">
        <v>1947</v>
      </c>
      <c r="C30" s="50" t="s">
        <v>1947</v>
      </c>
      <c r="D30" s="50" t="s">
        <v>1947</v>
      </c>
      <c r="E30" s="50" t="s">
        <v>1947</v>
      </c>
      <c r="G30" s="113"/>
      <c r="H30" s="115" t="s">
        <v>1952</v>
      </c>
      <c r="I30" s="50" t="str">
        <f t="shared" ref="I30:L34" si="4">IF(B30="SI",CONCATENATE($H30," + ",I$29),"NA")</f>
        <v>NA</v>
      </c>
      <c r="J30" s="50" t="str">
        <f t="shared" si="4"/>
        <v>NA</v>
      </c>
      <c r="K30" s="50" t="str">
        <f t="shared" si="4"/>
        <v>NA</v>
      </c>
      <c r="L30" s="50" t="str">
        <f t="shared" si="4"/>
        <v>NA</v>
      </c>
    </row>
    <row r="31" spans="1:13" ht="30.75" customHeight="1" x14ac:dyDescent="0.25">
      <c r="A31" s="115" t="s">
        <v>1953</v>
      </c>
      <c r="B31" s="50" t="s">
        <v>1947</v>
      </c>
      <c r="C31" s="50" t="s">
        <v>1948</v>
      </c>
      <c r="D31" s="50" t="s">
        <v>1947</v>
      </c>
      <c r="E31" s="50" t="s">
        <v>1947</v>
      </c>
      <c r="G31" s="113"/>
      <c r="H31" s="115" t="s">
        <v>1953</v>
      </c>
      <c r="I31" s="50" t="str">
        <f t="shared" si="4"/>
        <v>NA</v>
      </c>
      <c r="J31" s="50" t="str">
        <f t="shared" si="4"/>
        <v>Rastreo y conteo de múltiples objetos + Seguridad</v>
      </c>
      <c r="K31" s="50" t="str">
        <f t="shared" si="4"/>
        <v>NA</v>
      </c>
      <c r="L31" s="50" t="str">
        <f t="shared" si="4"/>
        <v>NA</v>
      </c>
    </row>
    <row r="32" spans="1:13" ht="30.75" customHeight="1" x14ac:dyDescent="0.25">
      <c r="A32" s="115" t="s">
        <v>1954</v>
      </c>
      <c r="B32" s="50" t="s">
        <v>1948</v>
      </c>
      <c r="C32" s="50" t="s">
        <v>1948</v>
      </c>
      <c r="D32" s="50" t="s">
        <v>1947</v>
      </c>
      <c r="E32" s="50" t="s">
        <v>1948</v>
      </c>
      <c r="G32" s="113"/>
      <c r="H32" s="115" t="s">
        <v>1954</v>
      </c>
      <c r="I32" s="50" t="str">
        <f t="shared" si="4"/>
        <v>Detección de comportamientos + Bienestar y salud</v>
      </c>
      <c r="J32" s="50" t="str">
        <f t="shared" si="4"/>
        <v>Detección de comportamientos + Seguridad</v>
      </c>
      <c r="K32" s="50" t="str">
        <f t="shared" si="4"/>
        <v>NA</v>
      </c>
      <c r="L32" s="50" t="str">
        <f t="shared" si="4"/>
        <v>Detección de comportamientos + Negocios</v>
      </c>
    </row>
    <row r="33" spans="1:12" ht="30.75" customHeight="1" x14ac:dyDescent="0.25">
      <c r="A33" s="115" t="s">
        <v>1955</v>
      </c>
      <c r="B33" s="50" t="s">
        <v>1947</v>
      </c>
      <c r="C33" s="50" t="s">
        <v>1947</v>
      </c>
      <c r="D33" s="50" t="s">
        <v>1947</v>
      </c>
      <c r="E33" s="50" t="s">
        <v>1947</v>
      </c>
      <c r="G33" s="113"/>
      <c r="H33" s="115" t="s">
        <v>1955</v>
      </c>
      <c r="I33" s="50" t="str">
        <f t="shared" si="4"/>
        <v>NA</v>
      </c>
      <c r="J33" s="50" t="str">
        <f t="shared" si="4"/>
        <v>NA</v>
      </c>
      <c r="K33" s="50" t="str">
        <f t="shared" si="4"/>
        <v>NA</v>
      </c>
      <c r="L33" s="50" t="str">
        <f t="shared" si="4"/>
        <v>NA</v>
      </c>
    </row>
    <row r="34" spans="1:12" ht="30.75" customHeight="1" x14ac:dyDescent="0.25">
      <c r="A34" s="115" t="s">
        <v>1956</v>
      </c>
      <c r="B34" s="50" t="s">
        <v>1948</v>
      </c>
      <c r="C34" s="50" t="s">
        <v>1948</v>
      </c>
      <c r="D34" s="50" t="s">
        <v>1947</v>
      </c>
      <c r="E34" s="50" t="s">
        <v>1948</v>
      </c>
      <c r="G34" s="113"/>
      <c r="H34" s="115" t="s">
        <v>1956</v>
      </c>
      <c r="I34" s="50" t="str">
        <f t="shared" si="4"/>
        <v>Minería y análisis + Bienestar y salud</v>
      </c>
      <c r="J34" s="50" t="str">
        <f t="shared" si="4"/>
        <v>Minería y análisis + Seguridad</v>
      </c>
      <c r="K34" s="50" t="str">
        <f t="shared" si="4"/>
        <v>NA</v>
      </c>
      <c r="L34" s="50" t="str">
        <f t="shared" si="4"/>
        <v>Minería y análisis + Negocios</v>
      </c>
    </row>
    <row r="35" spans="1:12" x14ac:dyDescent="0.25">
      <c r="G35" s="113"/>
    </row>
    <row r="36" spans="1:12" x14ac:dyDescent="0.25">
      <c r="G36" s="113"/>
    </row>
    <row r="37" spans="1:12" ht="45" x14ac:dyDescent="0.25">
      <c r="A37" s="114" t="s">
        <v>1965</v>
      </c>
      <c r="B37" s="117" t="s">
        <v>984</v>
      </c>
      <c r="C37" s="117" t="s">
        <v>1017</v>
      </c>
      <c r="D37" s="117" t="s">
        <v>1204</v>
      </c>
      <c r="E37" s="117" t="s">
        <v>1959</v>
      </c>
      <c r="G37" s="113"/>
      <c r="H37" s="114" t="s">
        <v>1965</v>
      </c>
      <c r="I37" s="117" t="s">
        <v>984</v>
      </c>
      <c r="J37" s="117" t="s">
        <v>1017</v>
      </c>
      <c r="K37" s="117" t="s">
        <v>1204</v>
      </c>
      <c r="L37" s="117" t="s">
        <v>1959</v>
      </c>
    </row>
    <row r="38" spans="1:12" x14ac:dyDescent="0.25">
      <c r="A38" s="119" t="s">
        <v>1966</v>
      </c>
      <c r="B38" s="50" t="s">
        <v>1947</v>
      </c>
      <c r="C38" s="50" t="s">
        <v>1947</v>
      </c>
      <c r="D38" s="50" t="s">
        <v>1947</v>
      </c>
      <c r="E38" s="50" t="s">
        <v>1947</v>
      </c>
      <c r="G38" s="113"/>
      <c r="H38" s="119" t="s">
        <v>1966</v>
      </c>
      <c r="I38" s="50" t="str">
        <f t="shared" ref="I38:L41" si="5">IF(B38="SI",CONCATENATE($H38," + ",I$37),"NA")</f>
        <v>NA</v>
      </c>
      <c r="J38" s="50" t="str">
        <f t="shared" si="5"/>
        <v>NA</v>
      </c>
      <c r="K38" s="50" t="str">
        <f t="shared" si="5"/>
        <v>NA</v>
      </c>
      <c r="L38" s="50" t="str">
        <f t="shared" si="5"/>
        <v>NA</v>
      </c>
    </row>
    <row r="39" spans="1:12" x14ac:dyDescent="0.25">
      <c r="A39" s="119" t="s">
        <v>1967</v>
      </c>
      <c r="B39" s="50" t="s">
        <v>1948</v>
      </c>
      <c r="C39" s="50" t="s">
        <v>1948</v>
      </c>
      <c r="D39" s="50" t="s">
        <v>1947</v>
      </c>
      <c r="E39" s="50" t="s">
        <v>1947</v>
      </c>
      <c r="G39" s="113"/>
      <c r="H39" s="119" t="s">
        <v>1967</v>
      </c>
      <c r="I39" s="50" t="str">
        <f t="shared" si="5"/>
        <v>Fog + Bienestar y salud</v>
      </c>
      <c r="J39" s="50" t="str">
        <f t="shared" si="5"/>
        <v>Fog + Seguridad</v>
      </c>
      <c r="K39" s="50" t="str">
        <f t="shared" si="5"/>
        <v>NA</v>
      </c>
      <c r="L39" s="50" t="str">
        <f t="shared" si="5"/>
        <v>NA</v>
      </c>
    </row>
    <row r="40" spans="1:12" x14ac:dyDescent="0.25">
      <c r="A40" s="119" t="s">
        <v>1968</v>
      </c>
      <c r="B40" s="50" t="s">
        <v>1947</v>
      </c>
      <c r="C40" s="50" t="s">
        <v>1947</v>
      </c>
      <c r="D40" s="50" t="s">
        <v>1947</v>
      </c>
      <c r="E40" s="50" t="s">
        <v>1947</v>
      </c>
      <c r="G40" s="113"/>
      <c r="H40" s="119" t="s">
        <v>1968</v>
      </c>
      <c r="I40" s="50" t="str">
        <f t="shared" si="5"/>
        <v>NA</v>
      </c>
      <c r="J40" s="50" t="str">
        <f t="shared" si="5"/>
        <v>NA</v>
      </c>
      <c r="K40" s="50" t="str">
        <f t="shared" si="5"/>
        <v>NA</v>
      </c>
      <c r="L40" s="50" t="str">
        <f t="shared" si="5"/>
        <v>NA</v>
      </c>
    </row>
    <row r="41" spans="1:12" x14ac:dyDescent="0.25">
      <c r="A41" s="119" t="s">
        <v>1969</v>
      </c>
      <c r="B41" s="50" t="s">
        <v>1948</v>
      </c>
      <c r="C41" s="50" t="s">
        <v>1948</v>
      </c>
      <c r="D41" s="50" t="s">
        <v>1947</v>
      </c>
      <c r="E41" s="50" t="s">
        <v>1947</v>
      </c>
      <c r="G41" s="113"/>
      <c r="H41" s="119" t="s">
        <v>1969</v>
      </c>
      <c r="I41" s="50" t="str">
        <f t="shared" si="5"/>
        <v>On Premise + Bienestar y salud</v>
      </c>
      <c r="J41" s="50" t="str">
        <f t="shared" si="5"/>
        <v>On Premise + Seguridad</v>
      </c>
      <c r="K41" s="50" t="str">
        <f t="shared" si="5"/>
        <v>NA</v>
      </c>
      <c r="L41" s="50" t="str">
        <f t="shared" si="5"/>
        <v>NA</v>
      </c>
    </row>
    <row r="42" spans="1:12" x14ac:dyDescent="0.25">
      <c r="G42" s="113"/>
    </row>
    <row r="43" spans="1:12" x14ac:dyDescent="0.25">
      <c r="G43" s="113"/>
    </row>
    <row r="44" spans="1:12" ht="45" x14ac:dyDescent="0.25">
      <c r="A44" s="114" t="s">
        <v>1970</v>
      </c>
      <c r="B44" s="120" t="s">
        <v>1971</v>
      </c>
      <c r="C44" s="120" t="s">
        <v>1972</v>
      </c>
      <c r="D44" s="120" t="s">
        <v>1973</v>
      </c>
      <c r="E44" s="120" t="s">
        <v>1974</v>
      </c>
      <c r="G44" s="113"/>
      <c r="H44" s="114" t="s">
        <v>1970</v>
      </c>
      <c r="I44" s="120" t="s">
        <v>1971</v>
      </c>
      <c r="J44" s="120" t="s">
        <v>1972</v>
      </c>
      <c r="K44" s="120" t="s">
        <v>1973</v>
      </c>
      <c r="L44" s="120" t="s">
        <v>1974</v>
      </c>
    </row>
    <row r="45" spans="1:12" x14ac:dyDescent="0.25">
      <c r="A45" s="119" t="s">
        <v>1966</v>
      </c>
      <c r="B45" s="50" t="s">
        <v>1947</v>
      </c>
      <c r="C45" s="50" t="s">
        <v>1947</v>
      </c>
      <c r="D45" s="50" t="s">
        <v>1947</v>
      </c>
      <c r="E45" s="50" t="s">
        <v>1947</v>
      </c>
      <c r="G45" s="113"/>
      <c r="H45" s="119" t="s">
        <v>1966</v>
      </c>
      <c r="I45" s="50" t="str">
        <f t="shared" ref="I45:L48" si="6">IF(B45="SI",CONCATENATE($H45," + ",I$44),"NA")</f>
        <v>NA</v>
      </c>
      <c r="J45" s="50" t="str">
        <f t="shared" si="6"/>
        <v>NA</v>
      </c>
      <c r="K45" s="50" t="str">
        <f t="shared" si="6"/>
        <v>NA</v>
      </c>
      <c r="L45" s="50" t="str">
        <f t="shared" si="6"/>
        <v>NA</v>
      </c>
    </row>
    <row r="46" spans="1:12" x14ac:dyDescent="0.25">
      <c r="A46" s="119" t="s">
        <v>1967</v>
      </c>
      <c r="B46" s="50" t="s">
        <v>1947</v>
      </c>
      <c r="C46" s="50" t="s">
        <v>1947</v>
      </c>
      <c r="D46" s="50" t="s">
        <v>1947</v>
      </c>
      <c r="E46" s="50" t="s">
        <v>1947</v>
      </c>
      <c r="G46" s="113"/>
      <c r="H46" s="119" t="s">
        <v>1967</v>
      </c>
      <c r="I46" s="50" t="str">
        <f t="shared" si="6"/>
        <v>NA</v>
      </c>
      <c r="J46" s="50" t="str">
        <f t="shared" si="6"/>
        <v>NA</v>
      </c>
      <c r="K46" s="50" t="str">
        <f t="shared" si="6"/>
        <v>NA</v>
      </c>
      <c r="L46" s="50" t="str">
        <f t="shared" si="6"/>
        <v>NA</v>
      </c>
    </row>
    <row r="47" spans="1:12" x14ac:dyDescent="0.25">
      <c r="A47" s="119" t="s">
        <v>1968</v>
      </c>
      <c r="B47" s="50" t="s">
        <v>1947</v>
      </c>
      <c r="C47" s="50" t="s">
        <v>1947</v>
      </c>
      <c r="D47" s="50" t="s">
        <v>1947</v>
      </c>
      <c r="E47" s="50" t="s">
        <v>1947</v>
      </c>
      <c r="G47" s="113"/>
      <c r="H47" s="119" t="s">
        <v>1968</v>
      </c>
      <c r="I47" s="50" t="str">
        <f t="shared" si="6"/>
        <v>NA</v>
      </c>
      <c r="J47" s="50" t="str">
        <f t="shared" si="6"/>
        <v>NA</v>
      </c>
      <c r="K47" s="50" t="str">
        <f t="shared" si="6"/>
        <v>NA</v>
      </c>
      <c r="L47" s="50" t="str">
        <f t="shared" si="6"/>
        <v>NA</v>
      </c>
    </row>
    <row r="48" spans="1:12" x14ac:dyDescent="0.25">
      <c r="A48" s="119" t="s">
        <v>1969</v>
      </c>
      <c r="B48" s="50" t="s">
        <v>1947</v>
      </c>
      <c r="C48" s="50" t="s">
        <v>1947</v>
      </c>
      <c r="D48" s="50" t="s">
        <v>1947</v>
      </c>
      <c r="E48" s="50" t="s">
        <v>1947</v>
      </c>
      <c r="G48" s="113"/>
      <c r="H48" s="119" t="s">
        <v>1969</v>
      </c>
      <c r="I48" s="50" t="str">
        <f t="shared" si="6"/>
        <v>NA</v>
      </c>
      <c r="J48" s="50" t="str">
        <f t="shared" si="6"/>
        <v>NA</v>
      </c>
      <c r="K48" s="50" t="str">
        <f t="shared" si="6"/>
        <v>NA</v>
      </c>
      <c r="L48" s="50" t="str">
        <f t="shared" si="6"/>
        <v>NA</v>
      </c>
    </row>
    <row r="49" spans="1:13" x14ac:dyDescent="0.25">
      <c r="G49" s="113"/>
    </row>
    <row r="50" spans="1:13" x14ac:dyDescent="0.25">
      <c r="G50" s="113"/>
    </row>
    <row r="51" spans="1:13" ht="105" x14ac:dyDescent="0.25">
      <c r="A51" s="114" t="s">
        <v>1975</v>
      </c>
      <c r="B51" s="121" t="s">
        <v>1976</v>
      </c>
      <c r="C51" s="121" t="s">
        <v>1977</v>
      </c>
      <c r="G51" s="113"/>
      <c r="H51" s="114" t="s">
        <v>1975</v>
      </c>
      <c r="I51" s="121" t="s">
        <v>1976</v>
      </c>
      <c r="J51" s="121" t="s">
        <v>1977</v>
      </c>
    </row>
    <row r="52" spans="1:13" x14ac:dyDescent="0.25">
      <c r="A52" s="119" t="s">
        <v>1966</v>
      </c>
      <c r="B52" s="50" t="s">
        <v>1947</v>
      </c>
      <c r="C52" s="50" t="s">
        <v>1947</v>
      </c>
      <c r="G52" s="113"/>
      <c r="H52" s="119" t="s">
        <v>1966</v>
      </c>
      <c r="I52" s="50" t="str">
        <f t="shared" ref="I52:J55" si="7">IF(B52="SI",CONCATENATE($H52," + ",I$51),"NA")</f>
        <v>NA</v>
      </c>
      <c r="J52" s="50" t="str">
        <f t="shared" si="7"/>
        <v>NA</v>
      </c>
    </row>
    <row r="53" spans="1:13" x14ac:dyDescent="0.25">
      <c r="A53" s="119" t="s">
        <v>1967</v>
      </c>
      <c r="B53" s="50" t="s">
        <v>1948</v>
      </c>
      <c r="C53" s="50" t="s">
        <v>1948</v>
      </c>
      <c r="G53" s="113"/>
      <c r="H53" s="119" t="s">
        <v>1967</v>
      </c>
      <c r="I53" s="50" t="str">
        <f t="shared" si="7"/>
        <v>Fog + Extracción de características biométricas</v>
      </c>
      <c r="J53" s="50" t="str">
        <f t="shared" si="7"/>
        <v>Fog + Extracción de Características Espacio temporales</v>
      </c>
    </row>
    <row r="54" spans="1:13" x14ac:dyDescent="0.25">
      <c r="A54" s="119" t="s">
        <v>1968</v>
      </c>
      <c r="B54" s="50" t="s">
        <v>1947</v>
      </c>
      <c r="C54" s="50" t="s">
        <v>1947</v>
      </c>
      <c r="G54" s="113"/>
      <c r="H54" s="119" t="s">
        <v>1968</v>
      </c>
      <c r="I54" s="50" t="str">
        <f t="shared" si="7"/>
        <v>NA</v>
      </c>
      <c r="J54" s="50" t="str">
        <f t="shared" si="7"/>
        <v>NA</v>
      </c>
    </row>
    <row r="55" spans="1:13" x14ac:dyDescent="0.25">
      <c r="A55" s="119" t="s">
        <v>1969</v>
      </c>
      <c r="B55" s="50" t="s">
        <v>1947</v>
      </c>
      <c r="C55" s="50" t="s">
        <v>1947</v>
      </c>
      <c r="G55" s="113"/>
      <c r="H55" s="119" t="s">
        <v>1969</v>
      </c>
      <c r="I55" s="50" t="str">
        <f t="shared" si="7"/>
        <v>NA</v>
      </c>
      <c r="J55" s="50" t="str">
        <f t="shared" si="7"/>
        <v>NA</v>
      </c>
    </row>
    <row r="56" spans="1:13" x14ac:dyDescent="0.25">
      <c r="G56" s="113"/>
    </row>
    <row r="57" spans="1:13" x14ac:dyDescent="0.25">
      <c r="G57" s="113"/>
    </row>
    <row r="58" spans="1:13" ht="90" x14ac:dyDescent="0.25">
      <c r="A58" s="114" t="s">
        <v>1978</v>
      </c>
      <c r="B58" s="122" t="s">
        <v>1979</v>
      </c>
      <c r="C58" s="122" t="s">
        <v>1980</v>
      </c>
      <c r="D58" s="122" t="s">
        <v>983</v>
      </c>
      <c r="E58" s="122" t="s">
        <v>1981</v>
      </c>
      <c r="F58" s="122" t="s">
        <v>1982</v>
      </c>
      <c r="G58" s="113"/>
      <c r="H58" s="114" t="s">
        <v>1978</v>
      </c>
      <c r="I58" s="122" t="s">
        <v>1979</v>
      </c>
      <c r="J58" s="122" t="s">
        <v>1980</v>
      </c>
      <c r="K58" s="122" t="s">
        <v>983</v>
      </c>
      <c r="L58" s="122" t="s">
        <v>1981</v>
      </c>
      <c r="M58" s="122" t="s">
        <v>1982</v>
      </c>
    </row>
    <row r="59" spans="1:13" x14ac:dyDescent="0.25">
      <c r="A59" s="119" t="s">
        <v>1966</v>
      </c>
      <c r="B59" s="50" t="s">
        <v>1947</v>
      </c>
      <c r="C59" s="50" t="s">
        <v>1947</v>
      </c>
      <c r="D59" s="50" t="s">
        <v>1947</v>
      </c>
      <c r="E59" s="50" t="s">
        <v>1947</v>
      </c>
      <c r="F59" s="50" t="s">
        <v>1947</v>
      </c>
      <c r="G59" s="113"/>
      <c r="H59" s="119" t="s">
        <v>1966</v>
      </c>
      <c r="I59" s="50" t="str">
        <f t="shared" ref="I59:M62" si="8">IF(B59="SI",CONCATENATE($H59," + ",I$58),"NA")</f>
        <v>NA</v>
      </c>
      <c r="J59" s="50" t="str">
        <f t="shared" si="8"/>
        <v>NA</v>
      </c>
      <c r="K59" s="50" t="str">
        <f t="shared" si="8"/>
        <v>NA</v>
      </c>
      <c r="L59" s="50" t="str">
        <f t="shared" si="8"/>
        <v>NA</v>
      </c>
      <c r="M59" s="50" t="str">
        <f t="shared" si="8"/>
        <v>NA</v>
      </c>
    </row>
    <row r="60" spans="1:13" x14ac:dyDescent="0.25">
      <c r="A60" s="119" t="s">
        <v>1967</v>
      </c>
      <c r="B60" s="50" t="s">
        <v>1948</v>
      </c>
      <c r="C60" s="50" t="s">
        <v>1948</v>
      </c>
      <c r="D60" s="50" t="s">
        <v>1948</v>
      </c>
      <c r="E60" s="50" t="s">
        <v>1948</v>
      </c>
      <c r="F60" s="50" t="s">
        <v>1948</v>
      </c>
      <c r="G60" s="113"/>
      <c r="H60" s="119" t="s">
        <v>1967</v>
      </c>
      <c r="I60" s="50" t="str">
        <f t="shared" si="8"/>
        <v>Fog + Detección de regiones o puntos de interés</v>
      </c>
      <c r="J60" s="50" t="str">
        <f t="shared" si="8"/>
        <v>Fog + Reconocimiento de objetos</v>
      </c>
      <c r="K60" s="50" t="str">
        <f t="shared" si="8"/>
        <v>Fog + Detección de patrones de movimiento</v>
      </c>
      <c r="L60" s="50" t="str">
        <f t="shared" si="8"/>
        <v>Fog + Detección de Anomalías</v>
      </c>
      <c r="M60" s="50" t="str">
        <f t="shared" si="8"/>
        <v>Fog + Reconocimiento de poses</v>
      </c>
    </row>
    <row r="61" spans="1:13" x14ac:dyDescent="0.25">
      <c r="A61" s="119" t="s">
        <v>1968</v>
      </c>
      <c r="B61" s="50" t="s">
        <v>1947</v>
      </c>
      <c r="C61" s="50" t="s">
        <v>1947</v>
      </c>
      <c r="D61" s="50" t="s">
        <v>1947</v>
      </c>
      <c r="E61" s="50" t="s">
        <v>1947</v>
      </c>
      <c r="F61" s="50" t="s">
        <v>1947</v>
      </c>
      <c r="G61" s="113"/>
      <c r="H61" s="119" t="s">
        <v>1968</v>
      </c>
      <c r="I61" s="50" t="str">
        <f t="shared" si="8"/>
        <v>NA</v>
      </c>
      <c r="J61" s="50" t="str">
        <f t="shared" si="8"/>
        <v>NA</v>
      </c>
      <c r="K61" s="50" t="str">
        <f t="shared" si="8"/>
        <v>NA</v>
      </c>
      <c r="L61" s="50" t="str">
        <f t="shared" si="8"/>
        <v>NA</v>
      </c>
      <c r="M61" s="50" t="str">
        <f t="shared" si="8"/>
        <v>NA</v>
      </c>
    </row>
    <row r="62" spans="1:13" x14ac:dyDescent="0.25">
      <c r="A62" s="119" t="s">
        <v>1969</v>
      </c>
      <c r="B62" s="50" t="s">
        <v>1947</v>
      </c>
      <c r="C62" s="50" t="s">
        <v>1947</v>
      </c>
      <c r="D62" s="50" t="s">
        <v>1947</v>
      </c>
      <c r="E62" s="50" t="s">
        <v>1947</v>
      </c>
      <c r="F62" s="50" t="s">
        <v>1947</v>
      </c>
      <c r="G62" s="113"/>
      <c r="H62" s="119" t="s">
        <v>1969</v>
      </c>
      <c r="I62" s="50" t="str">
        <f t="shared" si="8"/>
        <v>NA</v>
      </c>
      <c r="J62" s="50" t="str">
        <f t="shared" si="8"/>
        <v>NA</v>
      </c>
      <c r="K62" s="50" t="str">
        <f t="shared" si="8"/>
        <v>NA</v>
      </c>
      <c r="L62" s="50" t="str">
        <f t="shared" si="8"/>
        <v>NA</v>
      </c>
      <c r="M62" s="50" t="str">
        <f t="shared" si="8"/>
        <v>NA</v>
      </c>
    </row>
    <row r="63" spans="1:13" x14ac:dyDescent="0.25">
      <c r="G63" s="113"/>
    </row>
    <row r="64" spans="1:13" x14ac:dyDescent="0.25">
      <c r="G64" s="113"/>
    </row>
    <row r="65" spans="1:13" ht="45" x14ac:dyDescent="0.25">
      <c r="A65" s="114" t="s">
        <v>1983</v>
      </c>
      <c r="B65" s="117" t="s">
        <v>984</v>
      </c>
      <c r="C65" s="117" t="s">
        <v>1017</v>
      </c>
      <c r="D65" s="117" t="s">
        <v>1204</v>
      </c>
      <c r="E65" s="117" t="s">
        <v>1959</v>
      </c>
      <c r="G65" s="113"/>
      <c r="H65" s="114" t="s">
        <v>1983</v>
      </c>
      <c r="I65" s="117" t="s">
        <v>984</v>
      </c>
      <c r="J65" s="117" t="s">
        <v>1017</v>
      </c>
      <c r="K65" s="117" t="s">
        <v>1204</v>
      </c>
      <c r="L65" s="117" t="s">
        <v>1959</v>
      </c>
    </row>
    <row r="66" spans="1:13" ht="36" customHeight="1" x14ac:dyDescent="0.25">
      <c r="A66" s="123" t="s">
        <v>1984</v>
      </c>
      <c r="B66" s="50" t="s">
        <v>1948</v>
      </c>
      <c r="C66" s="50" t="s">
        <v>1948</v>
      </c>
      <c r="D66" s="50" t="s">
        <v>1947</v>
      </c>
      <c r="E66" s="50" t="s">
        <v>1948</v>
      </c>
      <c r="G66" s="113"/>
      <c r="H66" s="123" t="s">
        <v>1984</v>
      </c>
      <c r="I66" s="50" t="str">
        <f t="shared" ref="I66:L67" si="9">IF(B66="SI",CONCATENATE($H66," + ",I$65),"NA")</f>
        <v>Protección de identidad + Bienestar y salud</v>
      </c>
      <c r="J66" s="50" t="str">
        <f t="shared" si="9"/>
        <v>Protección de identidad + Seguridad</v>
      </c>
      <c r="K66" s="50" t="str">
        <f t="shared" si="9"/>
        <v>NA</v>
      </c>
      <c r="L66" s="50" t="str">
        <f t="shared" si="9"/>
        <v>Protección de identidad + Negocios</v>
      </c>
    </row>
    <row r="67" spans="1:13" ht="36" customHeight="1" x14ac:dyDescent="0.25">
      <c r="A67" s="123" t="s">
        <v>1985</v>
      </c>
      <c r="B67" s="50" t="s">
        <v>1948</v>
      </c>
      <c r="C67" s="50" t="s">
        <v>1948</v>
      </c>
      <c r="D67" s="50" t="s">
        <v>1947</v>
      </c>
      <c r="E67" s="50" t="s">
        <v>1948</v>
      </c>
      <c r="G67" s="113"/>
      <c r="H67" s="123" t="s">
        <v>1985</v>
      </c>
      <c r="I67" s="50" t="str">
        <f t="shared" si="9"/>
        <v>Protección de datos personales + Bienestar y salud</v>
      </c>
      <c r="J67" s="50" t="str">
        <f t="shared" si="9"/>
        <v>Protección de datos personales + Seguridad</v>
      </c>
      <c r="K67" s="50" t="str">
        <f t="shared" si="9"/>
        <v>NA</v>
      </c>
      <c r="L67" s="50" t="str">
        <f t="shared" si="9"/>
        <v>Protección de datos personales + Negocios</v>
      </c>
    </row>
    <row r="68" spans="1:13" x14ac:dyDescent="0.25">
      <c r="G68" s="113"/>
    </row>
    <row r="69" spans="1:13" x14ac:dyDescent="0.25">
      <c r="G69" s="113"/>
    </row>
    <row r="70" spans="1:13" ht="75" x14ac:dyDescent="0.25">
      <c r="A70" s="114" t="s">
        <v>1986</v>
      </c>
      <c r="B70" s="115" t="s">
        <v>1952</v>
      </c>
      <c r="C70" s="115" t="s">
        <v>1953</v>
      </c>
      <c r="D70" s="115" t="s">
        <v>1954</v>
      </c>
      <c r="E70" s="115" t="s">
        <v>1955</v>
      </c>
      <c r="F70" s="115" t="s">
        <v>1956</v>
      </c>
      <c r="G70" s="113"/>
      <c r="H70" s="114" t="s">
        <v>1986</v>
      </c>
      <c r="I70" s="115" t="s">
        <v>1952</v>
      </c>
      <c r="J70" s="115" t="s">
        <v>1953</v>
      </c>
      <c r="K70" s="115" t="s">
        <v>1954</v>
      </c>
      <c r="L70" s="115" t="s">
        <v>1955</v>
      </c>
      <c r="M70" s="115" t="s">
        <v>1956</v>
      </c>
    </row>
    <row r="71" spans="1:13" ht="36" customHeight="1" x14ac:dyDescent="0.25">
      <c r="A71" s="123" t="s">
        <v>1984</v>
      </c>
      <c r="B71" s="50" t="s">
        <v>1948</v>
      </c>
      <c r="C71" s="50" t="s">
        <v>1947</v>
      </c>
      <c r="D71" s="50" t="s">
        <v>1948</v>
      </c>
      <c r="E71" s="50" t="s">
        <v>1947</v>
      </c>
      <c r="F71" s="50" t="s">
        <v>1948</v>
      </c>
      <c r="G71" s="113"/>
      <c r="H71" s="123" t="s">
        <v>1984</v>
      </c>
      <c r="I71" s="50" t="str">
        <f t="shared" ref="I71:M72" si="10">IF(B71="SI",CONCATENATE($H71," + ",I$70),"NA")</f>
        <v>Protección de identidad + Identificación y acceso</v>
      </c>
      <c r="J71" s="50" t="str">
        <f t="shared" si="10"/>
        <v>NA</v>
      </c>
      <c r="K71" s="50" t="str">
        <f t="shared" si="10"/>
        <v>Protección de identidad + Detección de comportamientos</v>
      </c>
      <c r="L71" s="50" t="str">
        <f t="shared" si="10"/>
        <v>NA</v>
      </c>
      <c r="M71" s="50" t="str">
        <f t="shared" si="10"/>
        <v>Protección de identidad + Minería y análisis</v>
      </c>
    </row>
    <row r="72" spans="1:13" ht="36" customHeight="1" x14ac:dyDescent="0.25">
      <c r="A72" s="123" t="s">
        <v>1985</v>
      </c>
      <c r="B72" s="50" t="s">
        <v>1948</v>
      </c>
      <c r="C72" s="50" t="s">
        <v>1947</v>
      </c>
      <c r="D72" s="50" t="s">
        <v>1948</v>
      </c>
      <c r="E72" s="50" t="s">
        <v>1947</v>
      </c>
      <c r="F72" s="50" t="s">
        <v>1948</v>
      </c>
      <c r="G72" s="113"/>
      <c r="H72" s="123" t="s">
        <v>1985</v>
      </c>
      <c r="I72" s="50" t="str">
        <f t="shared" si="10"/>
        <v>Protección de datos personales + Identificación y acceso</v>
      </c>
      <c r="J72" s="50" t="str">
        <f t="shared" si="10"/>
        <v>NA</v>
      </c>
      <c r="K72" s="50" t="str">
        <f t="shared" si="10"/>
        <v>Protección de datos personales + Detección de comportamientos</v>
      </c>
      <c r="L72" s="50" t="str">
        <f t="shared" si="10"/>
        <v>NA</v>
      </c>
      <c r="M72" s="50" t="str">
        <f t="shared" si="10"/>
        <v>Protección de datos personales + Minería y análisis</v>
      </c>
    </row>
    <row r="73" spans="1:13" x14ac:dyDescent="0.25">
      <c r="G73" s="113"/>
    </row>
    <row r="74" spans="1:13" x14ac:dyDescent="0.25">
      <c r="G74" s="113"/>
    </row>
    <row r="75" spans="1:13" ht="90" x14ac:dyDescent="0.25">
      <c r="A75" s="114" t="s">
        <v>1987</v>
      </c>
      <c r="B75" s="122" t="s">
        <v>1979</v>
      </c>
      <c r="C75" s="122" t="s">
        <v>1980</v>
      </c>
      <c r="D75" s="122" t="s">
        <v>983</v>
      </c>
      <c r="E75" s="122" t="s">
        <v>1981</v>
      </c>
      <c r="F75" s="122" t="s">
        <v>1982</v>
      </c>
      <c r="G75" s="113"/>
      <c r="H75" s="114" t="s">
        <v>1987</v>
      </c>
      <c r="I75" s="122" t="s">
        <v>1979</v>
      </c>
      <c r="J75" s="122" t="s">
        <v>1980</v>
      </c>
      <c r="K75" s="122" t="s">
        <v>983</v>
      </c>
      <c r="L75" s="122" t="s">
        <v>1981</v>
      </c>
      <c r="M75" s="122" t="s">
        <v>1982</v>
      </c>
    </row>
    <row r="76" spans="1:13" x14ac:dyDescent="0.25">
      <c r="A76" s="118" t="s">
        <v>1961</v>
      </c>
      <c r="B76" s="50" t="s">
        <v>1948</v>
      </c>
      <c r="C76" s="50" t="s">
        <v>1948</v>
      </c>
      <c r="D76" s="50" t="s">
        <v>1948</v>
      </c>
      <c r="E76" s="50" t="s">
        <v>1948</v>
      </c>
      <c r="F76" s="50" t="s">
        <v>1948</v>
      </c>
      <c r="G76" s="113"/>
      <c r="H76" s="118" t="s">
        <v>1961</v>
      </c>
      <c r="I76" s="50" t="str">
        <f t="shared" ref="I76:M77" si="11">IF(B76="SI",CONCATENATE($H76," + ",I$75),"NA")</f>
        <v>Entorno Abierto + Detección de regiones o puntos de interés</v>
      </c>
      <c r="J76" s="50" t="str">
        <f t="shared" si="11"/>
        <v>Entorno Abierto + Reconocimiento de objetos</v>
      </c>
      <c r="K76" s="50" t="str">
        <f t="shared" si="11"/>
        <v>Entorno Abierto + Detección de patrones de movimiento</v>
      </c>
      <c r="L76" s="50" t="str">
        <f t="shared" si="11"/>
        <v>Entorno Abierto + Detección de Anomalías</v>
      </c>
      <c r="M76" s="50" t="str">
        <f t="shared" si="11"/>
        <v>Entorno Abierto + Reconocimiento de poses</v>
      </c>
    </row>
    <row r="77" spans="1:13" x14ac:dyDescent="0.25">
      <c r="A77" s="118" t="s">
        <v>1962</v>
      </c>
      <c r="B77" s="50" t="s">
        <v>1948</v>
      </c>
      <c r="C77" s="50" t="s">
        <v>1948</v>
      </c>
      <c r="D77" s="50" t="s">
        <v>1948</v>
      </c>
      <c r="E77" s="50" t="s">
        <v>1948</v>
      </c>
      <c r="F77" s="50" t="s">
        <v>1948</v>
      </c>
      <c r="G77" s="113"/>
      <c r="H77" s="118" t="s">
        <v>1962</v>
      </c>
      <c r="I77" s="50" t="str">
        <f t="shared" si="11"/>
        <v>Entorno Cerrado + Detección de regiones o puntos de interés</v>
      </c>
      <c r="J77" s="50" t="str">
        <f t="shared" si="11"/>
        <v>Entorno Cerrado + Reconocimiento de objetos</v>
      </c>
      <c r="K77" s="50" t="str">
        <f t="shared" si="11"/>
        <v>Entorno Cerrado + Detección de patrones de movimiento</v>
      </c>
      <c r="L77" s="50" t="str">
        <f t="shared" si="11"/>
        <v>Entorno Cerrado + Detección de Anomalías</v>
      </c>
      <c r="M77" s="50" t="str">
        <f t="shared" si="11"/>
        <v>Entorno Cerrado + Reconocimiento de poses</v>
      </c>
    </row>
    <row r="78" spans="1:13" x14ac:dyDescent="0.25">
      <c r="G78" s="113"/>
    </row>
    <row r="79" spans="1:13" x14ac:dyDescent="0.25">
      <c r="G79" s="113"/>
    </row>
    <row r="80" spans="1:13" ht="90" x14ac:dyDescent="0.25">
      <c r="A80" s="114" t="s">
        <v>1987</v>
      </c>
      <c r="B80" s="122" t="s">
        <v>1979</v>
      </c>
      <c r="C80" s="122" t="s">
        <v>1980</v>
      </c>
      <c r="D80" s="122" t="s">
        <v>983</v>
      </c>
      <c r="E80" s="122" t="s">
        <v>1981</v>
      </c>
      <c r="F80" s="122" t="s">
        <v>1982</v>
      </c>
      <c r="G80" s="113"/>
      <c r="H80" s="114" t="s">
        <v>1987</v>
      </c>
      <c r="I80" s="122" t="s">
        <v>1979</v>
      </c>
      <c r="J80" s="122" t="s">
        <v>1980</v>
      </c>
      <c r="K80" s="122" t="s">
        <v>983</v>
      </c>
      <c r="L80" s="122" t="s">
        <v>1981</v>
      </c>
      <c r="M80" s="122" t="s">
        <v>1982</v>
      </c>
    </row>
    <row r="81" spans="1:13" ht="34.5" customHeight="1" x14ac:dyDescent="0.25">
      <c r="A81" s="115" t="s">
        <v>1952</v>
      </c>
      <c r="B81" s="50" t="s">
        <v>1948</v>
      </c>
      <c r="C81" s="50" t="s">
        <v>1947</v>
      </c>
      <c r="D81" s="50" t="s">
        <v>1947</v>
      </c>
      <c r="E81" s="50" t="s">
        <v>1948</v>
      </c>
      <c r="F81" s="50" t="s">
        <v>1947</v>
      </c>
      <c r="G81" s="113"/>
      <c r="H81" s="115" t="s">
        <v>1952</v>
      </c>
      <c r="I81" s="50" t="str">
        <f t="shared" ref="I81:M85" si="12">IF(B81="SI",CONCATENATE($H81," + ",I$80),"NA")</f>
        <v>Identificación y acceso + Detección de regiones o puntos de interés</v>
      </c>
      <c r="J81" s="50" t="str">
        <f t="shared" si="12"/>
        <v>NA</v>
      </c>
      <c r="K81" s="50" t="str">
        <f t="shared" si="12"/>
        <v>NA</v>
      </c>
      <c r="L81" s="50" t="str">
        <f t="shared" si="12"/>
        <v>Identificación y acceso + Detección de Anomalías</v>
      </c>
      <c r="M81" s="50" t="str">
        <f t="shared" si="12"/>
        <v>NA</v>
      </c>
    </row>
    <row r="82" spans="1:13" ht="34.5" customHeight="1" x14ac:dyDescent="0.25">
      <c r="A82" s="115" t="s">
        <v>1953</v>
      </c>
      <c r="B82" s="50" t="s">
        <v>1948</v>
      </c>
      <c r="C82" s="50" t="s">
        <v>1948</v>
      </c>
      <c r="D82" s="50" t="s">
        <v>1947</v>
      </c>
      <c r="E82" s="50" t="s">
        <v>1948</v>
      </c>
      <c r="F82" s="50" t="s">
        <v>1947</v>
      </c>
      <c r="G82" s="113"/>
      <c r="H82" s="115" t="s">
        <v>1953</v>
      </c>
      <c r="I82" s="50" t="str">
        <f t="shared" si="12"/>
        <v>Rastreo y conteo de múltiples objetos + Detección de regiones o puntos de interés</v>
      </c>
      <c r="J82" s="50" t="str">
        <f t="shared" si="12"/>
        <v>Rastreo y conteo de múltiples objetos + Reconocimiento de objetos</v>
      </c>
      <c r="K82" s="50" t="str">
        <f t="shared" si="12"/>
        <v>NA</v>
      </c>
      <c r="L82" s="50" t="str">
        <f t="shared" si="12"/>
        <v>Rastreo y conteo de múltiples objetos + Detección de Anomalías</v>
      </c>
      <c r="M82" s="50" t="str">
        <f t="shared" si="12"/>
        <v>NA</v>
      </c>
    </row>
    <row r="83" spans="1:13" ht="34.5" customHeight="1" x14ac:dyDescent="0.25">
      <c r="A83" s="115" t="s">
        <v>1954</v>
      </c>
      <c r="B83" s="50" t="s">
        <v>1948</v>
      </c>
      <c r="C83" s="50" t="s">
        <v>1947</v>
      </c>
      <c r="D83" s="50" t="s">
        <v>1948</v>
      </c>
      <c r="E83" s="50" t="s">
        <v>1948</v>
      </c>
      <c r="F83" s="50" t="s">
        <v>1948</v>
      </c>
      <c r="G83" s="113"/>
      <c r="H83" s="115" t="s">
        <v>1954</v>
      </c>
      <c r="I83" s="50" t="str">
        <f t="shared" si="12"/>
        <v>Detección de comportamientos + Detección de regiones o puntos de interés</v>
      </c>
      <c r="J83" s="50" t="str">
        <f t="shared" si="12"/>
        <v>NA</v>
      </c>
      <c r="K83" s="50" t="str">
        <f t="shared" si="12"/>
        <v>Detección de comportamientos + Detección de patrones de movimiento</v>
      </c>
      <c r="L83" s="50" t="str">
        <f t="shared" si="12"/>
        <v>Detección de comportamientos + Detección de Anomalías</v>
      </c>
      <c r="M83" s="50" t="str">
        <f t="shared" si="12"/>
        <v>Detección de comportamientos + Reconocimiento de poses</v>
      </c>
    </row>
    <row r="84" spans="1:13" ht="34.5" customHeight="1" x14ac:dyDescent="0.25">
      <c r="A84" s="115" t="s">
        <v>1955</v>
      </c>
      <c r="B84" s="50" t="s">
        <v>1947</v>
      </c>
      <c r="C84" s="50" t="s">
        <v>1947</v>
      </c>
      <c r="D84" s="50" t="s">
        <v>1947</v>
      </c>
      <c r="E84" s="50" t="s">
        <v>1947</v>
      </c>
      <c r="F84" s="50" t="s">
        <v>1947</v>
      </c>
      <c r="G84" s="113"/>
      <c r="H84" s="115" t="s">
        <v>1955</v>
      </c>
      <c r="I84" s="50" t="str">
        <f t="shared" si="12"/>
        <v>NA</v>
      </c>
      <c r="J84" s="50" t="str">
        <f t="shared" si="12"/>
        <v>NA</v>
      </c>
      <c r="K84" s="50" t="str">
        <f t="shared" si="12"/>
        <v>NA</v>
      </c>
      <c r="L84" s="50" t="str">
        <f t="shared" si="12"/>
        <v>NA</v>
      </c>
      <c r="M84" s="50" t="str">
        <f t="shared" si="12"/>
        <v>NA</v>
      </c>
    </row>
    <row r="85" spans="1:13" ht="34.5" customHeight="1" x14ac:dyDescent="0.25">
      <c r="A85" s="115" t="s">
        <v>1956</v>
      </c>
      <c r="B85" s="50" t="s">
        <v>1948</v>
      </c>
      <c r="C85" s="50" t="s">
        <v>1947</v>
      </c>
      <c r="D85" s="50" t="s">
        <v>1948</v>
      </c>
      <c r="E85" s="50" t="s">
        <v>1948</v>
      </c>
      <c r="F85" s="50" t="s">
        <v>1948</v>
      </c>
      <c r="G85" s="113"/>
      <c r="H85" s="115" t="s">
        <v>1956</v>
      </c>
      <c r="I85" s="50" t="str">
        <f t="shared" si="12"/>
        <v>Minería y análisis + Detección de regiones o puntos de interés</v>
      </c>
      <c r="J85" s="50" t="str">
        <f t="shared" si="12"/>
        <v>NA</v>
      </c>
      <c r="K85" s="50" t="str">
        <f t="shared" si="12"/>
        <v>Minería y análisis + Detección de patrones de movimiento</v>
      </c>
      <c r="L85" s="50" t="str">
        <f t="shared" si="12"/>
        <v>Minería y análisis + Detección de Anomalías</v>
      </c>
      <c r="M85" s="50" t="str">
        <f t="shared" si="12"/>
        <v>Minería y análisis + Reconocimiento de poses</v>
      </c>
    </row>
    <row r="86" spans="1:13" x14ac:dyDescent="0.25">
      <c r="G86" s="113"/>
    </row>
    <row r="87" spans="1:13" x14ac:dyDescent="0.25">
      <c r="G87" s="113"/>
    </row>
    <row r="88" spans="1:13" ht="45" x14ac:dyDescent="0.25">
      <c r="A88" s="114" t="s">
        <v>1988</v>
      </c>
      <c r="B88" s="124" t="s">
        <v>1989</v>
      </c>
      <c r="C88" s="124" t="s">
        <v>1990</v>
      </c>
      <c r="D88" s="124" t="s">
        <v>1991</v>
      </c>
      <c r="E88" s="124" t="s">
        <v>1992</v>
      </c>
      <c r="F88" s="124" t="s">
        <v>1993</v>
      </c>
      <c r="G88" s="113"/>
      <c r="H88" s="114" t="s">
        <v>1988</v>
      </c>
      <c r="I88" s="124" t="s">
        <v>1989</v>
      </c>
      <c r="J88" s="124" t="s">
        <v>1990</v>
      </c>
      <c r="K88" s="124" t="s">
        <v>1991</v>
      </c>
      <c r="L88" s="124" t="s">
        <v>1992</v>
      </c>
      <c r="M88" s="124" t="s">
        <v>1993</v>
      </c>
    </row>
    <row r="89" spans="1:13" ht="47.25" customHeight="1" x14ac:dyDescent="0.25">
      <c r="A89" s="121" t="s">
        <v>1976</v>
      </c>
      <c r="B89" s="50" t="s">
        <v>1947</v>
      </c>
      <c r="C89" s="50" t="s">
        <v>1947</v>
      </c>
      <c r="D89" s="50" t="s">
        <v>1947</v>
      </c>
      <c r="E89" s="50" t="s">
        <v>1947</v>
      </c>
      <c r="F89" s="50" t="s">
        <v>1948</v>
      </c>
      <c r="G89" s="113"/>
      <c r="H89" s="121" t="s">
        <v>1976</v>
      </c>
      <c r="I89" s="50" t="str">
        <f t="shared" ref="I89:M91" si="13">IF(B89="SI",CONCATENATE($H89," + ",I$88),"NA")</f>
        <v>NA</v>
      </c>
      <c r="J89" s="50" t="str">
        <f t="shared" si="13"/>
        <v>NA</v>
      </c>
      <c r="K89" s="50" t="str">
        <f t="shared" si="13"/>
        <v>NA</v>
      </c>
      <c r="L89" s="50" t="str">
        <f t="shared" si="13"/>
        <v>NA</v>
      </c>
      <c r="M89" s="50" t="str">
        <f t="shared" si="13"/>
        <v>Extracción de características biométricas + Híbridos</v>
      </c>
    </row>
    <row r="90" spans="1:13" ht="47.25" customHeight="1" x14ac:dyDescent="0.25">
      <c r="A90" s="121" t="s">
        <v>1977</v>
      </c>
      <c r="B90" s="50" t="s">
        <v>1947</v>
      </c>
      <c r="C90" s="50" t="s">
        <v>1947</v>
      </c>
      <c r="D90" s="50" t="s">
        <v>1947</v>
      </c>
      <c r="E90" s="50" t="s">
        <v>1947</v>
      </c>
      <c r="F90" s="50" t="s">
        <v>1948</v>
      </c>
      <c r="G90" s="113"/>
      <c r="H90" s="121" t="s">
        <v>1977</v>
      </c>
      <c r="I90" s="50" t="str">
        <f t="shared" si="13"/>
        <v>NA</v>
      </c>
      <c r="J90" s="50" t="str">
        <f t="shared" si="13"/>
        <v>NA</v>
      </c>
      <c r="K90" s="50" t="str">
        <f t="shared" si="13"/>
        <v>NA</v>
      </c>
      <c r="L90" s="50" t="str">
        <f t="shared" si="13"/>
        <v>NA</v>
      </c>
      <c r="M90" s="50" t="str">
        <f t="shared" si="13"/>
        <v>Extracción de Características Espacio temporales + Híbridos</v>
      </c>
    </row>
    <row r="91" spans="1:13" ht="47.25" customHeight="1" x14ac:dyDescent="0.25">
      <c r="A91" s="121" t="s">
        <v>1994</v>
      </c>
      <c r="B91" s="50" t="s">
        <v>1947</v>
      </c>
      <c r="C91" s="50" t="s">
        <v>1947</v>
      </c>
      <c r="D91" s="50" t="s">
        <v>1947</v>
      </c>
      <c r="E91" s="50" t="s">
        <v>1947</v>
      </c>
      <c r="F91" s="50" t="s">
        <v>1948</v>
      </c>
      <c r="G91" s="113"/>
      <c r="H91" s="121" t="s">
        <v>1994</v>
      </c>
      <c r="I91" s="50" t="str">
        <f t="shared" si="13"/>
        <v>NA</v>
      </c>
      <c r="J91" s="50" t="str">
        <f t="shared" si="13"/>
        <v>NA</v>
      </c>
      <c r="K91" s="50" t="str">
        <f t="shared" si="13"/>
        <v>NA</v>
      </c>
      <c r="L91" s="50" t="str">
        <f t="shared" si="13"/>
        <v>NA</v>
      </c>
      <c r="M91" s="50" t="str">
        <f t="shared" si="13"/>
        <v>Extracción de regiones o puntos de interés + Híbridos</v>
      </c>
    </row>
    <row r="92" spans="1:13" x14ac:dyDescent="0.25">
      <c r="G92" s="113"/>
    </row>
    <row r="93" spans="1:13" x14ac:dyDescent="0.25">
      <c r="G93" s="113"/>
    </row>
    <row r="94" spans="1:13" ht="45" x14ac:dyDescent="0.25">
      <c r="A94" s="114" t="s">
        <v>1995</v>
      </c>
      <c r="B94" s="124" t="s">
        <v>1989</v>
      </c>
      <c r="C94" s="124" t="s">
        <v>1990</v>
      </c>
      <c r="D94" s="124" t="s">
        <v>1991</v>
      </c>
      <c r="E94" s="124" t="s">
        <v>1992</v>
      </c>
      <c r="F94" s="124" t="s">
        <v>1993</v>
      </c>
      <c r="G94" s="113"/>
      <c r="H94" s="114" t="s">
        <v>1995</v>
      </c>
      <c r="I94" s="124" t="s">
        <v>1989</v>
      </c>
      <c r="J94" s="124" t="s">
        <v>1990</v>
      </c>
      <c r="K94" s="124" t="s">
        <v>1991</v>
      </c>
      <c r="L94" s="124" t="s">
        <v>1992</v>
      </c>
      <c r="M94" s="124" t="s">
        <v>1993</v>
      </c>
    </row>
    <row r="95" spans="1:13" ht="35.25" customHeight="1" x14ac:dyDescent="0.25">
      <c r="A95" s="122" t="s">
        <v>1979</v>
      </c>
      <c r="B95" s="50" t="s">
        <v>1947</v>
      </c>
      <c r="C95" s="50" t="s">
        <v>1947</v>
      </c>
      <c r="D95" s="50" t="s">
        <v>1947</v>
      </c>
      <c r="E95" s="50" t="s">
        <v>1947</v>
      </c>
      <c r="F95" s="50" t="s">
        <v>1948</v>
      </c>
      <c r="G95" s="113"/>
      <c r="H95" s="122" t="s">
        <v>1979</v>
      </c>
      <c r="I95" s="50" t="str">
        <f t="shared" ref="I95:M99" si="14">IF(B95="SI",CONCATENATE($H95," + ",I$94),"NA")</f>
        <v>NA</v>
      </c>
      <c r="J95" s="50" t="str">
        <f t="shared" si="14"/>
        <v>NA</v>
      </c>
      <c r="K95" s="50" t="str">
        <f t="shared" si="14"/>
        <v>NA</v>
      </c>
      <c r="L95" s="50" t="str">
        <f t="shared" si="14"/>
        <v>NA</v>
      </c>
      <c r="M95" s="50" t="str">
        <f t="shared" si="14"/>
        <v>Detección de regiones o puntos de interés + Híbridos</v>
      </c>
    </row>
    <row r="96" spans="1:13" ht="35.25" customHeight="1" x14ac:dyDescent="0.25">
      <c r="A96" s="122" t="s">
        <v>1980</v>
      </c>
      <c r="B96" s="50" t="s">
        <v>1947</v>
      </c>
      <c r="C96" s="50" t="s">
        <v>1947</v>
      </c>
      <c r="D96" s="50" t="s">
        <v>1947</v>
      </c>
      <c r="E96" s="50" t="s">
        <v>1947</v>
      </c>
      <c r="F96" s="50" t="s">
        <v>1948</v>
      </c>
      <c r="G96" s="113"/>
      <c r="H96" s="122" t="s">
        <v>1980</v>
      </c>
      <c r="I96" s="50" t="str">
        <f t="shared" si="14"/>
        <v>NA</v>
      </c>
      <c r="J96" s="50" t="str">
        <f t="shared" si="14"/>
        <v>NA</v>
      </c>
      <c r="K96" s="50" t="str">
        <f t="shared" si="14"/>
        <v>NA</v>
      </c>
      <c r="L96" s="50" t="str">
        <f t="shared" si="14"/>
        <v>NA</v>
      </c>
      <c r="M96" s="50" t="str">
        <f t="shared" si="14"/>
        <v>Reconocimiento de objetos + Híbridos</v>
      </c>
    </row>
    <row r="97" spans="1:13" ht="35.25" customHeight="1" x14ac:dyDescent="0.25">
      <c r="A97" s="122" t="s">
        <v>983</v>
      </c>
      <c r="B97" s="50" t="s">
        <v>1947</v>
      </c>
      <c r="C97" s="50" t="s">
        <v>1947</v>
      </c>
      <c r="D97" s="50" t="s">
        <v>1947</v>
      </c>
      <c r="E97" s="50" t="s">
        <v>1947</v>
      </c>
      <c r="F97" s="50" t="s">
        <v>1948</v>
      </c>
      <c r="G97" s="113"/>
      <c r="H97" s="122" t="s">
        <v>983</v>
      </c>
      <c r="I97" s="50" t="str">
        <f t="shared" si="14"/>
        <v>NA</v>
      </c>
      <c r="J97" s="50" t="str">
        <f t="shared" si="14"/>
        <v>NA</v>
      </c>
      <c r="K97" s="50" t="str">
        <f t="shared" si="14"/>
        <v>NA</v>
      </c>
      <c r="L97" s="50" t="str">
        <f t="shared" si="14"/>
        <v>NA</v>
      </c>
      <c r="M97" s="50" t="str">
        <f t="shared" si="14"/>
        <v>Detección de patrones de movimiento + Híbridos</v>
      </c>
    </row>
    <row r="98" spans="1:13" ht="35.25" customHeight="1" x14ac:dyDescent="0.25">
      <c r="A98" s="122" t="s">
        <v>1981</v>
      </c>
      <c r="B98" s="50" t="s">
        <v>1947</v>
      </c>
      <c r="C98" s="50" t="s">
        <v>1947</v>
      </c>
      <c r="D98" s="50" t="s">
        <v>1947</v>
      </c>
      <c r="E98" s="50" t="s">
        <v>1947</v>
      </c>
      <c r="F98" s="50" t="s">
        <v>1948</v>
      </c>
      <c r="G98" s="113"/>
      <c r="H98" s="122" t="s">
        <v>1981</v>
      </c>
      <c r="I98" s="50" t="str">
        <f t="shared" si="14"/>
        <v>NA</v>
      </c>
      <c r="J98" s="50" t="str">
        <f t="shared" si="14"/>
        <v>NA</v>
      </c>
      <c r="K98" s="50" t="str">
        <f t="shared" si="14"/>
        <v>NA</v>
      </c>
      <c r="L98" s="50" t="str">
        <f t="shared" si="14"/>
        <v>NA</v>
      </c>
      <c r="M98" s="50" t="str">
        <f t="shared" si="14"/>
        <v>Detección de Anomalías + Híbridos</v>
      </c>
    </row>
    <row r="99" spans="1:13" ht="35.25" customHeight="1" x14ac:dyDescent="0.25">
      <c r="A99" s="122" t="s">
        <v>1982</v>
      </c>
      <c r="B99" s="50" t="s">
        <v>1947</v>
      </c>
      <c r="C99" s="50" t="s">
        <v>1947</v>
      </c>
      <c r="D99" s="50" t="s">
        <v>1947</v>
      </c>
      <c r="E99" s="50" t="s">
        <v>1947</v>
      </c>
      <c r="F99" s="50" t="s">
        <v>1948</v>
      </c>
      <c r="G99" s="113"/>
      <c r="H99" s="122" t="s">
        <v>1982</v>
      </c>
      <c r="I99" s="50" t="str">
        <f t="shared" si="14"/>
        <v>NA</v>
      </c>
      <c r="J99" s="50" t="str">
        <f t="shared" si="14"/>
        <v>NA</v>
      </c>
      <c r="K99" s="50" t="str">
        <f t="shared" si="14"/>
        <v>NA</v>
      </c>
      <c r="L99" s="50" t="str">
        <f t="shared" si="14"/>
        <v>NA</v>
      </c>
      <c r="M99" s="50" t="str">
        <f t="shared" si="14"/>
        <v>Reconocimiento de poses + Híbridos</v>
      </c>
    </row>
  </sheetData>
  <pageMargins left="0.7" right="0.7" top="0.75" bottom="0.75" header="0.51180555555555496" footer="0.51180555555555496"/>
  <pageSetup firstPageNumber="0"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3:O38"/>
  <sheetViews>
    <sheetView showGridLines="0" topLeftCell="A33" zoomScale="75" zoomScaleNormal="75" workbookViewId="0">
      <selection activeCell="L38" sqref="L38"/>
    </sheetView>
  </sheetViews>
  <sheetFormatPr baseColWidth="10" defaultColWidth="9.140625" defaultRowHeight="15" x14ac:dyDescent="0.25"/>
  <cols>
    <col min="1" max="1" width="11.42578125" style="125"/>
    <col min="2" max="2" width="53.5703125" style="125" customWidth="1"/>
    <col min="3" max="3" width="32.5703125" style="126" customWidth="1"/>
    <col min="4" max="4" width="34.85546875" style="127" customWidth="1"/>
    <col min="5" max="5" width="24" style="49" customWidth="1"/>
    <col min="6" max="6" width="57.7109375" style="49" customWidth="1"/>
    <col min="7" max="7" width="27.42578125" style="126" customWidth="1"/>
    <col min="8" max="8" width="15.85546875" style="49" customWidth="1"/>
    <col min="9" max="9" width="28.42578125" style="49" customWidth="1"/>
    <col min="10" max="10" width="21.5703125" style="125" customWidth="1"/>
    <col min="11" max="11" width="19.42578125" style="49" customWidth="1"/>
    <col min="12" max="12" width="27.42578125" style="125" customWidth="1"/>
    <col min="13" max="13" width="50.7109375" style="125" customWidth="1"/>
    <col min="14" max="14" width="11.42578125"/>
    <col min="15" max="15" width="32" customWidth="1"/>
    <col min="16" max="1025" width="11.42578125"/>
  </cols>
  <sheetData>
    <row r="3" spans="1:15" s="125" customFormat="1" ht="52.5" customHeight="1" x14ac:dyDescent="0.25">
      <c r="A3" s="128" t="s">
        <v>1996</v>
      </c>
      <c r="B3" s="128" t="s">
        <v>1997</v>
      </c>
      <c r="C3" s="128" t="s">
        <v>1998</v>
      </c>
      <c r="D3" s="128" t="s">
        <v>931</v>
      </c>
      <c r="E3" s="128" t="s">
        <v>1999</v>
      </c>
      <c r="F3" s="128" t="s">
        <v>2000</v>
      </c>
      <c r="G3" s="128" t="s">
        <v>2001</v>
      </c>
      <c r="H3" s="128" t="s">
        <v>2002</v>
      </c>
      <c r="I3" s="128" t="s">
        <v>2003</v>
      </c>
      <c r="J3" s="128" t="s">
        <v>2004</v>
      </c>
      <c r="K3" s="128" t="s">
        <v>2005</v>
      </c>
      <c r="L3" s="128" t="s">
        <v>2006</v>
      </c>
      <c r="N3"/>
      <c r="O3"/>
    </row>
    <row r="4" spans="1:15" s="125" customFormat="1" ht="121.5" customHeight="1" x14ac:dyDescent="0.25">
      <c r="A4" s="197" t="s">
        <v>2007</v>
      </c>
      <c r="B4" s="198" t="s">
        <v>2008</v>
      </c>
      <c r="C4" s="199" t="s">
        <v>2009</v>
      </c>
      <c r="D4" s="130" t="s">
        <v>2010</v>
      </c>
      <c r="E4" s="131" t="s">
        <v>2011</v>
      </c>
      <c r="F4" s="132" t="s">
        <v>2012</v>
      </c>
      <c r="G4" s="133" t="s">
        <v>2013</v>
      </c>
      <c r="H4" s="200" t="s">
        <v>1948</v>
      </c>
      <c r="I4" s="200" t="s">
        <v>2014</v>
      </c>
      <c r="J4" s="202" t="s">
        <v>2015</v>
      </c>
      <c r="K4" s="203">
        <v>0.1</v>
      </c>
      <c r="L4" s="204" t="s">
        <v>2016</v>
      </c>
      <c r="N4"/>
    </row>
    <row r="5" spans="1:15" s="125" customFormat="1" ht="116.25" customHeight="1" x14ac:dyDescent="0.25">
      <c r="A5" s="197"/>
      <c r="B5" s="198"/>
      <c r="C5" s="199"/>
      <c r="D5" s="130" t="s">
        <v>2017</v>
      </c>
      <c r="E5" s="131" t="s">
        <v>2011</v>
      </c>
      <c r="F5" s="132" t="s">
        <v>2018</v>
      </c>
      <c r="G5" s="133" t="s">
        <v>2013</v>
      </c>
      <c r="H5" s="200"/>
      <c r="I5" s="200"/>
      <c r="J5" s="202"/>
      <c r="K5" s="203"/>
      <c r="L5" s="204"/>
      <c r="N5"/>
    </row>
    <row r="6" spans="1:15" s="125" customFormat="1" ht="130.5" customHeight="1" x14ac:dyDescent="0.25">
      <c r="A6" s="197"/>
      <c r="B6" s="198"/>
      <c r="C6" s="199"/>
      <c r="D6" s="130" t="s">
        <v>2019</v>
      </c>
      <c r="E6" s="131" t="s">
        <v>2020</v>
      </c>
      <c r="F6" s="132" t="s">
        <v>2021</v>
      </c>
      <c r="G6" s="133" t="s">
        <v>2013</v>
      </c>
      <c r="H6" s="200"/>
      <c r="I6" s="200"/>
      <c r="J6" s="202"/>
      <c r="K6" s="203"/>
      <c r="L6" s="204"/>
      <c r="N6"/>
    </row>
    <row r="7" spans="1:15" s="125" customFormat="1" ht="139.5" customHeight="1" x14ac:dyDescent="0.25">
      <c r="A7" s="197"/>
      <c r="B7" s="198"/>
      <c r="C7" s="199"/>
      <c r="D7" s="130" t="s">
        <v>2022</v>
      </c>
      <c r="E7" s="131" t="s">
        <v>2020</v>
      </c>
      <c r="F7" s="132" t="s">
        <v>2023</v>
      </c>
      <c r="G7" s="133" t="s">
        <v>2024</v>
      </c>
      <c r="H7" s="200" t="s">
        <v>2025</v>
      </c>
      <c r="I7" s="200" t="s">
        <v>2026</v>
      </c>
      <c r="J7" s="202"/>
      <c r="K7" s="203"/>
      <c r="L7" s="204"/>
      <c r="N7"/>
      <c r="O7"/>
    </row>
    <row r="8" spans="1:15" s="125" customFormat="1" ht="126" customHeight="1" x14ac:dyDescent="0.25">
      <c r="A8" s="197"/>
      <c r="B8" s="198"/>
      <c r="C8" s="199"/>
      <c r="D8" s="130" t="s">
        <v>2027</v>
      </c>
      <c r="E8" s="131" t="s">
        <v>2020</v>
      </c>
      <c r="F8" s="132" t="s">
        <v>2028</v>
      </c>
      <c r="G8" s="133" t="s">
        <v>2024</v>
      </c>
      <c r="H8" s="200"/>
      <c r="I8" s="200"/>
      <c r="J8" s="202"/>
      <c r="K8" s="203"/>
      <c r="L8" s="204"/>
      <c r="N8"/>
      <c r="O8"/>
    </row>
    <row r="9" spans="1:15" s="125" customFormat="1" ht="102.75" customHeight="1" x14ac:dyDescent="0.25">
      <c r="A9" s="197"/>
      <c r="B9" s="198"/>
      <c r="C9" s="199"/>
      <c r="D9" s="130" t="s">
        <v>2029</v>
      </c>
      <c r="E9" s="131" t="s">
        <v>2011</v>
      </c>
      <c r="F9" s="132" t="s">
        <v>2030</v>
      </c>
      <c r="G9" s="133" t="s">
        <v>2013</v>
      </c>
      <c r="H9" s="53" t="s">
        <v>1948</v>
      </c>
      <c r="I9" s="200"/>
      <c r="J9" s="202"/>
      <c r="K9" s="203"/>
      <c r="L9" s="204"/>
      <c r="N9"/>
    </row>
    <row r="10" spans="1:15" s="125" customFormat="1" ht="186.75" customHeight="1" x14ac:dyDescent="0.25">
      <c r="A10" s="197"/>
      <c r="B10" s="198" t="s">
        <v>2031</v>
      </c>
      <c r="C10" s="199" t="s">
        <v>2032</v>
      </c>
      <c r="D10" s="130" t="s">
        <v>2033</v>
      </c>
      <c r="E10" s="131" t="s">
        <v>2011</v>
      </c>
      <c r="F10" s="132" t="s">
        <v>2034</v>
      </c>
      <c r="G10" s="201" t="s">
        <v>2013</v>
      </c>
      <c r="H10" s="200" t="s">
        <v>1948</v>
      </c>
      <c r="I10" s="200">
        <f>2</f>
        <v>2</v>
      </c>
      <c r="J10" s="202" t="s">
        <v>2015</v>
      </c>
      <c r="K10" s="203">
        <v>0.1</v>
      </c>
      <c r="L10" s="204" t="s">
        <v>2016</v>
      </c>
      <c r="N10"/>
    </row>
    <row r="11" spans="1:15" s="125" customFormat="1" ht="192" customHeight="1" x14ac:dyDescent="0.25">
      <c r="A11" s="197"/>
      <c r="B11" s="198"/>
      <c r="C11" s="199"/>
      <c r="D11" s="130" t="s">
        <v>2035</v>
      </c>
      <c r="E11" s="131" t="s">
        <v>2011</v>
      </c>
      <c r="F11" s="132" t="s">
        <v>2036</v>
      </c>
      <c r="G11" s="201"/>
      <c r="H11" s="200"/>
      <c r="I11" s="200"/>
      <c r="J11" s="202"/>
      <c r="K11" s="203"/>
      <c r="L11" s="204"/>
      <c r="N11"/>
    </row>
    <row r="12" spans="1:15" s="125" customFormat="1" ht="116.25" customHeight="1" x14ac:dyDescent="0.25">
      <c r="A12" s="197"/>
      <c r="B12" s="198" t="s">
        <v>2037</v>
      </c>
      <c r="C12" s="199" t="s">
        <v>2038</v>
      </c>
      <c r="D12" s="42" t="s">
        <v>2039</v>
      </c>
      <c r="E12" s="131" t="s">
        <v>2011</v>
      </c>
      <c r="F12" s="132" t="s">
        <v>2040</v>
      </c>
      <c r="G12" s="205" t="s">
        <v>2013</v>
      </c>
      <c r="H12" s="206" t="s">
        <v>1947</v>
      </c>
      <c r="I12" s="200" t="s">
        <v>2026</v>
      </c>
      <c r="J12" s="207" t="s">
        <v>2015</v>
      </c>
      <c r="K12" s="208">
        <v>0.1</v>
      </c>
      <c r="L12" s="204" t="s">
        <v>2016</v>
      </c>
      <c r="N12"/>
    </row>
    <row r="13" spans="1:15" s="125" customFormat="1" ht="136.5" customHeight="1" x14ac:dyDescent="0.25">
      <c r="A13" s="197"/>
      <c r="B13" s="198"/>
      <c r="C13" s="199"/>
      <c r="D13" s="42" t="s">
        <v>2041</v>
      </c>
      <c r="E13" s="131" t="s">
        <v>2011</v>
      </c>
      <c r="F13" s="132" t="s">
        <v>2042</v>
      </c>
      <c r="G13" s="205"/>
      <c r="H13" s="206"/>
      <c r="I13" s="206"/>
      <c r="J13" s="207"/>
      <c r="K13" s="208"/>
      <c r="L13" s="204"/>
      <c r="N13"/>
    </row>
    <row r="14" spans="1:15" s="125" customFormat="1" ht="96.75" customHeight="1" x14ac:dyDescent="0.25">
      <c r="A14" s="197"/>
      <c r="B14" s="198"/>
      <c r="C14" s="199"/>
      <c r="D14" s="42" t="s">
        <v>2043</v>
      </c>
      <c r="E14" s="131" t="s">
        <v>2011</v>
      </c>
      <c r="F14" s="132" t="s">
        <v>2044</v>
      </c>
      <c r="G14" s="205"/>
      <c r="H14" s="206"/>
      <c r="I14" s="206"/>
      <c r="J14" s="207"/>
      <c r="K14" s="208"/>
      <c r="L14" s="204"/>
      <c r="N14"/>
    </row>
    <row r="15" spans="1:15" s="125" customFormat="1" ht="123" customHeight="1" x14ac:dyDescent="0.25">
      <c r="A15" s="197"/>
      <c r="B15" s="198"/>
      <c r="C15" s="199"/>
      <c r="D15" s="42" t="s">
        <v>2045</v>
      </c>
      <c r="E15" s="131" t="s">
        <v>2011</v>
      </c>
      <c r="F15" s="132" t="s">
        <v>2046</v>
      </c>
      <c r="G15" s="205"/>
      <c r="H15" s="206"/>
      <c r="I15" s="206"/>
      <c r="J15" s="207"/>
      <c r="K15" s="208"/>
      <c r="L15" s="204"/>
      <c r="N15"/>
    </row>
    <row r="16" spans="1:15" s="125" customFormat="1" ht="108.75" customHeight="1" x14ac:dyDescent="0.25">
      <c r="A16" s="197"/>
      <c r="B16" s="198"/>
      <c r="C16" s="199"/>
      <c r="D16" s="42" t="s">
        <v>2047</v>
      </c>
      <c r="E16" s="131" t="s">
        <v>2011</v>
      </c>
      <c r="F16" s="132" t="s">
        <v>2048</v>
      </c>
      <c r="G16" s="205"/>
      <c r="H16" s="206"/>
      <c r="I16" s="200"/>
      <c r="J16" s="207"/>
      <c r="K16" s="208"/>
      <c r="L16" s="204"/>
      <c r="N16"/>
    </row>
    <row r="17" spans="1:15" s="125" customFormat="1" ht="109.5" customHeight="1" x14ac:dyDescent="0.25">
      <c r="A17" s="197"/>
      <c r="B17" s="198" t="s">
        <v>2049</v>
      </c>
      <c r="C17" s="199" t="s">
        <v>2050</v>
      </c>
      <c r="D17" s="130" t="s">
        <v>2051</v>
      </c>
      <c r="E17" s="131" t="s">
        <v>2011</v>
      </c>
      <c r="F17" s="132" t="s">
        <v>2052</v>
      </c>
      <c r="G17" s="130" t="s">
        <v>2013</v>
      </c>
      <c r="H17" s="53" t="s">
        <v>1948</v>
      </c>
      <c r="I17" s="200" t="s">
        <v>2053</v>
      </c>
      <c r="J17" s="209" t="s">
        <v>2054</v>
      </c>
      <c r="K17" s="203">
        <v>0.1</v>
      </c>
      <c r="L17" s="204" t="s">
        <v>2016</v>
      </c>
      <c r="N17"/>
    </row>
    <row r="18" spans="1:15" s="125" customFormat="1" ht="105" x14ac:dyDescent="0.25">
      <c r="A18" s="197"/>
      <c r="B18" s="198"/>
      <c r="C18" s="199"/>
      <c r="D18" s="130" t="s">
        <v>2055</v>
      </c>
      <c r="E18" s="131" t="s">
        <v>2011</v>
      </c>
      <c r="F18" s="132" t="s">
        <v>2056</v>
      </c>
      <c r="G18" s="130" t="s">
        <v>2013</v>
      </c>
      <c r="H18" s="53" t="s">
        <v>1948</v>
      </c>
      <c r="I18" s="200"/>
      <c r="J18" s="209"/>
      <c r="K18" s="203"/>
      <c r="L18" s="204"/>
      <c r="N18"/>
    </row>
    <row r="19" spans="1:15" s="125" customFormat="1" ht="108.75" customHeight="1" x14ac:dyDescent="0.25">
      <c r="A19" s="197"/>
      <c r="B19" s="198"/>
      <c r="C19" s="199"/>
      <c r="D19" s="130" t="s">
        <v>2057</v>
      </c>
      <c r="E19" s="131" t="s">
        <v>2011</v>
      </c>
      <c r="F19" s="132" t="s">
        <v>2058</v>
      </c>
      <c r="G19" s="130" t="s">
        <v>2013</v>
      </c>
      <c r="H19" s="53" t="s">
        <v>1948</v>
      </c>
      <c r="I19" s="200"/>
      <c r="J19" s="209"/>
      <c r="K19" s="203"/>
      <c r="L19" s="204"/>
      <c r="N19"/>
      <c r="O19" s="130" t="s">
        <v>2059</v>
      </c>
    </row>
    <row r="20" spans="1:15" ht="47.25" x14ac:dyDescent="0.25">
      <c r="A20" s="128" t="s">
        <v>1996</v>
      </c>
      <c r="B20" s="128" t="s">
        <v>1997</v>
      </c>
      <c r="C20" s="128" t="s">
        <v>1998</v>
      </c>
      <c r="D20" s="128" t="s">
        <v>931</v>
      </c>
      <c r="E20" s="128" t="s">
        <v>1999</v>
      </c>
      <c r="F20" s="128" t="s">
        <v>2000</v>
      </c>
      <c r="G20" s="128" t="s">
        <v>2001</v>
      </c>
      <c r="H20" s="128" t="s">
        <v>2002</v>
      </c>
      <c r="I20" s="128" t="s">
        <v>2003</v>
      </c>
      <c r="J20" s="128" t="s">
        <v>2004</v>
      </c>
      <c r="K20" s="128" t="s">
        <v>2005</v>
      </c>
      <c r="L20" s="128" t="s">
        <v>2006</v>
      </c>
    </row>
    <row r="21" spans="1:15" s="125" customFormat="1" ht="173.25" customHeight="1" x14ac:dyDescent="0.25">
      <c r="A21" s="210" t="s">
        <v>2060</v>
      </c>
      <c r="B21" s="198" t="s">
        <v>2061</v>
      </c>
      <c r="C21" s="198" t="s">
        <v>2062</v>
      </c>
      <c r="D21" s="130" t="s">
        <v>2063</v>
      </c>
      <c r="E21" s="131" t="s">
        <v>2064</v>
      </c>
      <c r="F21" s="135" t="s">
        <v>2065</v>
      </c>
      <c r="G21" s="130" t="s">
        <v>2066</v>
      </c>
      <c r="H21" s="131" t="s">
        <v>2067</v>
      </c>
      <c r="I21" s="53" t="s">
        <v>2026</v>
      </c>
      <c r="J21" s="209" t="s">
        <v>982</v>
      </c>
      <c r="K21" s="203">
        <v>0.2</v>
      </c>
      <c r="L21" s="199" t="s">
        <v>2016</v>
      </c>
      <c r="N21"/>
    </row>
    <row r="22" spans="1:15" s="125" customFormat="1" ht="198" customHeight="1" x14ac:dyDescent="0.25">
      <c r="A22" s="210"/>
      <c r="B22" s="198"/>
      <c r="C22" s="198"/>
      <c r="D22" s="130" t="s">
        <v>2068</v>
      </c>
      <c r="E22" s="131" t="s">
        <v>2064</v>
      </c>
      <c r="F22" s="135" t="s">
        <v>2069</v>
      </c>
      <c r="G22" s="130" t="s">
        <v>2070</v>
      </c>
      <c r="H22" s="131" t="s">
        <v>2067</v>
      </c>
      <c r="I22" s="53" t="s">
        <v>2071</v>
      </c>
      <c r="J22" s="209"/>
      <c r="K22" s="203"/>
      <c r="L22" s="199"/>
      <c r="N22"/>
    </row>
    <row r="23" spans="1:15" ht="163.5" customHeight="1" x14ac:dyDescent="0.25">
      <c r="A23" s="210"/>
      <c r="B23" s="198"/>
      <c r="C23" s="198"/>
      <c r="D23" s="130" t="s">
        <v>2072</v>
      </c>
      <c r="E23" s="131" t="s">
        <v>2064</v>
      </c>
      <c r="F23" s="135" t="s">
        <v>2073</v>
      </c>
      <c r="G23" s="130" t="s">
        <v>2070</v>
      </c>
      <c r="H23" s="131" t="s">
        <v>2067</v>
      </c>
      <c r="I23" s="53" t="s">
        <v>2071</v>
      </c>
      <c r="J23" s="209"/>
      <c r="K23" s="203"/>
      <c r="L23" s="199"/>
    </row>
    <row r="24" spans="1:15" ht="165" x14ac:dyDescent="0.25">
      <c r="A24" s="210"/>
      <c r="B24" s="198"/>
      <c r="C24" s="198"/>
      <c r="D24" s="130" t="s">
        <v>2074</v>
      </c>
      <c r="E24" s="131" t="s">
        <v>2064</v>
      </c>
      <c r="F24" s="135" t="s">
        <v>2075</v>
      </c>
      <c r="G24" s="130" t="s">
        <v>2070</v>
      </c>
      <c r="H24" s="131" t="s">
        <v>2067</v>
      </c>
      <c r="I24" s="53" t="s">
        <v>2071</v>
      </c>
      <c r="J24" s="209"/>
      <c r="K24" s="203"/>
      <c r="L24" s="199"/>
    </row>
    <row r="25" spans="1:15" s="125" customFormat="1" ht="60" customHeight="1" x14ac:dyDescent="0.25">
      <c r="A25" s="210"/>
      <c r="B25" s="198"/>
      <c r="C25" s="198" t="s">
        <v>2076</v>
      </c>
      <c r="D25" s="130" t="s">
        <v>2077</v>
      </c>
      <c r="E25" s="131" t="s">
        <v>2064</v>
      </c>
      <c r="F25" s="135" t="s">
        <v>2078</v>
      </c>
      <c r="G25" s="130" t="s">
        <v>2079</v>
      </c>
      <c r="H25" s="131" t="s">
        <v>2080</v>
      </c>
      <c r="I25" s="53" t="s">
        <v>2081</v>
      </c>
      <c r="J25" s="211" t="s">
        <v>982</v>
      </c>
      <c r="K25" s="212">
        <v>0.1</v>
      </c>
      <c r="L25" s="199" t="s">
        <v>2016</v>
      </c>
      <c r="N25"/>
    </row>
    <row r="26" spans="1:15" s="125" customFormat="1" ht="141" customHeight="1" x14ac:dyDescent="0.25">
      <c r="A26" s="210"/>
      <c r="B26" s="198"/>
      <c r="C26" s="198"/>
      <c r="D26" s="130" t="s">
        <v>2082</v>
      </c>
      <c r="E26" s="131" t="s">
        <v>2064</v>
      </c>
      <c r="F26" s="135" t="s">
        <v>2083</v>
      </c>
      <c r="G26" s="130" t="s">
        <v>2084</v>
      </c>
      <c r="H26" s="131" t="s">
        <v>2080</v>
      </c>
      <c r="I26" s="53" t="s">
        <v>2085</v>
      </c>
      <c r="J26" s="211"/>
      <c r="K26" s="212"/>
      <c r="L26" s="199"/>
      <c r="N26"/>
    </row>
    <row r="27" spans="1:15" s="125" customFormat="1" ht="129" customHeight="1" x14ac:dyDescent="0.25">
      <c r="A27" s="210"/>
      <c r="B27" s="198"/>
      <c r="C27" s="198"/>
      <c r="D27" s="130" t="s">
        <v>2086</v>
      </c>
      <c r="E27" s="131" t="s">
        <v>2064</v>
      </c>
      <c r="F27" s="135" t="s">
        <v>2087</v>
      </c>
      <c r="G27" s="130" t="s">
        <v>2084</v>
      </c>
      <c r="H27" s="131" t="s">
        <v>2080</v>
      </c>
      <c r="I27" s="53" t="s">
        <v>2085</v>
      </c>
      <c r="J27" s="211"/>
      <c r="K27" s="212"/>
      <c r="L27" s="199"/>
      <c r="N27"/>
    </row>
    <row r="28" spans="1:15" s="125" customFormat="1" ht="194.25" customHeight="1" x14ac:dyDescent="0.25">
      <c r="A28" s="210"/>
      <c r="B28" s="198"/>
      <c r="C28" s="198" t="s">
        <v>2088</v>
      </c>
      <c r="D28" s="130" t="s">
        <v>2089</v>
      </c>
      <c r="E28" s="131" t="s">
        <v>2090</v>
      </c>
      <c r="F28" s="135" t="s">
        <v>2091</v>
      </c>
      <c r="G28" s="130" t="s">
        <v>2092</v>
      </c>
      <c r="H28" s="42" t="s">
        <v>2067</v>
      </c>
      <c r="I28" s="199" t="s">
        <v>2081</v>
      </c>
      <c r="J28" s="209" t="s">
        <v>982</v>
      </c>
      <c r="K28" s="213">
        <v>0.2</v>
      </c>
      <c r="L28" s="199" t="s">
        <v>2016</v>
      </c>
      <c r="N28"/>
    </row>
    <row r="29" spans="1:15" s="125" customFormat="1" ht="135" x14ac:dyDescent="0.25">
      <c r="A29" s="210"/>
      <c r="B29" s="198"/>
      <c r="C29" s="198"/>
      <c r="D29" s="130" t="s">
        <v>2093</v>
      </c>
      <c r="E29" s="131" t="s">
        <v>2094</v>
      </c>
      <c r="F29" s="135" t="s">
        <v>2095</v>
      </c>
      <c r="G29" s="130" t="s">
        <v>2096</v>
      </c>
      <c r="H29" s="42" t="s">
        <v>2067</v>
      </c>
      <c r="I29" s="199"/>
      <c r="J29" s="209"/>
      <c r="K29" s="213"/>
      <c r="L29" s="199"/>
      <c r="N29"/>
    </row>
    <row r="30" spans="1:15" s="125" customFormat="1" ht="135" customHeight="1" x14ac:dyDescent="0.25">
      <c r="A30" s="210"/>
      <c r="B30" s="198"/>
      <c r="C30" s="198"/>
      <c r="D30" s="130" t="s">
        <v>2097</v>
      </c>
      <c r="E30" s="131" t="s">
        <v>2090</v>
      </c>
      <c r="F30" s="135" t="s">
        <v>2098</v>
      </c>
      <c r="G30" s="130" t="s">
        <v>2066</v>
      </c>
      <c r="H30" s="42" t="s">
        <v>2067</v>
      </c>
      <c r="I30" s="199" t="s">
        <v>2081</v>
      </c>
      <c r="J30" s="209"/>
      <c r="K30" s="213"/>
      <c r="L30" s="199"/>
      <c r="N30"/>
    </row>
    <row r="31" spans="1:15" s="125" customFormat="1" ht="135" x14ac:dyDescent="0.25">
      <c r="A31" s="210"/>
      <c r="B31" s="198"/>
      <c r="C31" s="198"/>
      <c r="D31" s="130" t="s">
        <v>2099</v>
      </c>
      <c r="E31" s="131" t="s">
        <v>2094</v>
      </c>
      <c r="F31" s="135" t="s">
        <v>2100</v>
      </c>
      <c r="G31" s="130" t="s">
        <v>2096</v>
      </c>
      <c r="H31" s="42" t="s">
        <v>2067</v>
      </c>
      <c r="I31" s="199"/>
      <c r="J31" s="209"/>
      <c r="K31" s="213"/>
      <c r="L31" s="199"/>
      <c r="N31"/>
    </row>
    <row r="32" spans="1:15" s="125" customFormat="1" ht="153" customHeight="1" x14ac:dyDescent="0.25">
      <c r="A32" s="210"/>
      <c r="B32" s="198"/>
      <c r="C32" s="198"/>
      <c r="D32" s="130" t="s">
        <v>2101</v>
      </c>
      <c r="E32" s="131" t="s">
        <v>2090</v>
      </c>
      <c r="F32" s="135" t="s">
        <v>2102</v>
      </c>
      <c r="G32" s="130" t="s">
        <v>2066</v>
      </c>
      <c r="H32" s="42" t="s">
        <v>2067</v>
      </c>
      <c r="I32" s="199" t="s">
        <v>2081</v>
      </c>
      <c r="J32" s="209"/>
      <c r="K32" s="213"/>
      <c r="L32" s="199"/>
      <c r="N32"/>
    </row>
    <row r="33" spans="1:15" s="125" customFormat="1" ht="135" x14ac:dyDescent="0.25">
      <c r="A33" s="210"/>
      <c r="B33" s="198"/>
      <c r="C33" s="198"/>
      <c r="D33" s="130" t="s">
        <v>2103</v>
      </c>
      <c r="E33" s="131" t="s">
        <v>2094</v>
      </c>
      <c r="F33" s="135" t="s">
        <v>2100</v>
      </c>
      <c r="G33" s="130" t="s">
        <v>2096</v>
      </c>
      <c r="H33" s="42" t="s">
        <v>2067</v>
      </c>
      <c r="I33" s="199"/>
      <c r="J33" s="209"/>
      <c r="K33" s="213"/>
      <c r="L33" s="199"/>
      <c r="N33"/>
    </row>
    <row r="34" spans="1:15" ht="47.25" x14ac:dyDescent="0.25">
      <c r="A34" s="128" t="s">
        <v>1996</v>
      </c>
      <c r="B34" s="128" t="s">
        <v>1997</v>
      </c>
      <c r="C34" s="128" t="s">
        <v>1998</v>
      </c>
      <c r="D34" s="128" t="s">
        <v>931</v>
      </c>
      <c r="E34" s="128" t="s">
        <v>1999</v>
      </c>
      <c r="F34" s="128" t="s">
        <v>2000</v>
      </c>
      <c r="G34" s="128" t="s">
        <v>2001</v>
      </c>
      <c r="H34" s="128" t="s">
        <v>2002</v>
      </c>
      <c r="I34" s="128" t="s">
        <v>2003</v>
      </c>
      <c r="J34" s="128" t="s">
        <v>2004</v>
      </c>
      <c r="K34" s="128" t="s">
        <v>2005</v>
      </c>
      <c r="L34" s="128" t="s">
        <v>2006</v>
      </c>
    </row>
    <row r="35" spans="1:15" s="125" customFormat="1" ht="174.75" customHeight="1" x14ac:dyDescent="0.25">
      <c r="A35" s="214" t="s">
        <v>2104</v>
      </c>
      <c r="B35" s="198" t="s">
        <v>2105</v>
      </c>
      <c r="C35" s="199" t="s">
        <v>2106</v>
      </c>
      <c r="D35" s="130" t="s">
        <v>2107</v>
      </c>
      <c r="E35" s="131" t="s">
        <v>2108</v>
      </c>
      <c r="F35" s="42" t="s">
        <v>2109</v>
      </c>
      <c r="G35" s="130" t="s">
        <v>2110</v>
      </c>
      <c r="H35" s="131" t="s">
        <v>2111</v>
      </c>
      <c r="I35" s="200" t="s">
        <v>2112</v>
      </c>
      <c r="J35" s="209" t="s">
        <v>982</v>
      </c>
      <c r="K35" s="203">
        <v>0.05</v>
      </c>
      <c r="L35" s="204" t="s">
        <v>2016</v>
      </c>
      <c r="N35"/>
      <c r="O35" s="127"/>
    </row>
    <row r="36" spans="1:15" s="125" customFormat="1" ht="199.5" customHeight="1" x14ac:dyDescent="0.25">
      <c r="A36" s="214"/>
      <c r="B36" s="198"/>
      <c r="C36" s="199"/>
      <c r="D36" s="130" t="s">
        <v>2113</v>
      </c>
      <c r="E36" s="131" t="s">
        <v>2108</v>
      </c>
      <c r="F36" s="42" t="s">
        <v>2114</v>
      </c>
      <c r="G36" s="130" t="s">
        <v>2110</v>
      </c>
      <c r="H36" s="131" t="s">
        <v>2111</v>
      </c>
      <c r="I36" s="200"/>
      <c r="J36" s="209"/>
      <c r="K36" s="203"/>
      <c r="L36" s="204"/>
      <c r="N36"/>
      <c r="O36" s="127"/>
    </row>
    <row r="37" spans="1:15" s="125" customFormat="1" ht="165" customHeight="1" x14ac:dyDescent="0.25">
      <c r="A37" s="214"/>
      <c r="B37" s="198"/>
      <c r="C37" s="199"/>
      <c r="D37" s="130" t="s">
        <v>2115</v>
      </c>
      <c r="E37" s="131" t="s">
        <v>2108</v>
      </c>
      <c r="F37" s="42" t="s">
        <v>2116</v>
      </c>
      <c r="G37" s="130" t="s">
        <v>2110</v>
      </c>
      <c r="H37" s="131" t="s">
        <v>2111</v>
      </c>
      <c r="I37" s="200"/>
      <c r="J37" s="209"/>
      <c r="K37" s="203"/>
      <c r="L37" s="204"/>
      <c r="N37"/>
      <c r="O37" s="125" t="s">
        <v>2117</v>
      </c>
    </row>
    <row r="38" spans="1:15" s="125" customFormat="1" ht="124.5" customHeight="1" x14ac:dyDescent="0.25">
      <c r="A38" s="214"/>
      <c r="B38" s="129" t="s">
        <v>2118</v>
      </c>
      <c r="C38" s="136"/>
      <c r="D38" s="130" t="s">
        <v>2119</v>
      </c>
      <c r="E38" s="131" t="s">
        <v>2064</v>
      </c>
      <c r="F38" s="135" t="s">
        <v>2120</v>
      </c>
      <c r="G38" s="130" t="s">
        <v>2066</v>
      </c>
      <c r="H38" s="131" t="s">
        <v>2067</v>
      </c>
      <c r="I38" s="53" t="s">
        <v>2053</v>
      </c>
      <c r="J38" s="68" t="s">
        <v>2121</v>
      </c>
      <c r="K38" s="134">
        <v>0.05</v>
      </c>
      <c r="L38" s="62" t="s">
        <v>2016</v>
      </c>
      <c r="N38"/>
    </row>
  </sheetData>
  <mergeCells count="56">
    <mergeCell ref="K28:K33"/>
    <mergeCell ref="L28:L33"/>
    <mergeCell ref="I30:I31"/>
    <mergeCell ref="I32:I33"/>
    <mergeCell ref="A35:A38"/>
    <mergeCell ref="B35:B37"/>
    <mergeCell ref="C35:C37"/>
    <mergeCell ref="I35:I37"/>
    <mergeCell ref="J35:J37"/>
    <mergeCell ref="K35:K37"/>
    <mergeCell ref="L35:L37"/>
    <mergeCell ref="J17:J19"/>
    <mergeCell ref="K17:K19"/>
    <mergeCell ref="L17:L19"/>
    <mergeCell ref="A21:A33"/>
    <mergeCell ref="B21:B33"/>
    <mergeCell ref="C21:C24"/>
    <mergeCell ref="J21:J24"/>
    <mergeCell ref="K21:K24"/>
    <mergeCell ref="L21:L24"/>
    <mergeCell ref="C25:C27"/>
    <mergeCell ref="J25:J27"/>
    <mergeCell ref="K25:K27"/>
    <mergeCell ref="L25:L27"/>
    <mergeCell ref="C28:C33"/>
    <mergeCell ref="I28:I29"/>
    <mergeCell ref="J28:J33"/>
    <mergeCell ref="J10:J11"/>
    <mergeCell ref="K10:K11"/>
    <mergeCell ref="L10:L11"/>
    <mergeCell ref="B12:B16"/>
    <mergeCell ref="C12:C16"/>
    <mergeCell ref="G12:G16"/>
    <mergeCell ref="H12:H16"/>
    <mergeCell ref="I12:I16"/>
    <mergeCell ref="J12:J16"/>
    <mergeCell ref="K12:K16"/>
    <mergeCell ref="L12:L16"/>
    <mergeCell ref="J4:J9"/>
    <mergeCell ref="K4:K9"/>
    <mergeCell ref="L4:L9"/>
    <mergeCell ref="H7:H8"/>
    <mergeCell ref="I7:I9"/>
    <mergeCell ref="A4:A19"/>
    <mergeCell ref="B4:B9"/>
    <mergeCell ref="C4:C9"/>
    <mergeCell ref="H4:H6"/>
    <mergeCell ref="I4:I6"/>
    <mergeCell ref="B10:B11"/>
    <mergeCell ref="C10:C11"/>
    <mergeCell ref="G10:G11"/>
    <mergeCell ref="H10:H11"/>
    <mergeCell ref="I10:I11"/>
    <mergeCell ref="B17:B19"/>
    <mergeCell ref="C17:C19"/>
    <mergeCell ref="I17:I19"/>
  </mergeCells>
  <pageMargins left="0.7" right="0.7" top="0.75" bottom="0.75" header="0.51180555555555496" footer="0.51180555555555496"/>
  <pageSetup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CZ85"/>
  <sheetViews>
    <sheetView zoomScale="75" zoomScaleNormal="75" workbookViewId="0">
      <pane xSplit="1" ySplit="3" topLeftCell="B4" activePane="bottomRight" state="frozen"/>
      <selection pane="topRight" activeCell="B1" sqref="B1"/>
      <selection pane="bottomLeft" activeCell="A4" sqref="A4"/>
      <selection pane="bottomRight" activeCell="A5" sqref="A5"/>
    </sheetView>
  </sheetViews>
  <sheetFormatPr baseColWidth="10" defaultColWidth="9.140625" defaultRowHeight="15" x14ac:dyDescent="0.25"/>
  <cols>
    <col min="1" max="1" width="66.85546875" customWidth="1"/>
    <col min="2" max="2" width="21.42578125" customWidth="1"/>
    <col min="3" max="3" width="19.42578125" customWidth="1"/>
    <col min="4" max="4" width="20.42578125" customWidth="1"/>
    <col min="5" max="7" width="2" hidden="1" customWidth="1"/>
    <col min="8" max="8" width="14.85546875" hidden="1" customWidth="1"/>
    <col min="9" max="11" width="21.5703125" customWidth="1"/>
    <col min="12" max="14" width="2" hidden="1" customWidth="1"/>
    <col min="15" max="15" width="15.5703125" hidden="1" customWidth="1"/>
    <col min="16" max="16" width="14.85546875" customWidth="1"/>
    <col min="17" max="18" width="21.5703125" customWidth="1"/>
    <col min="19" max="20" width="2" hidden="1" customWidth="1"/>
    <col min="21" max="21" width="14.85546875" hidden="1" customWidth="1"/>
    <col min="22" max="22" width="21.5703125" customWidth="1"/>
    <col min="23" max="27" width="22.5703125" customWidth="1"/>
    <col min="28" max="32" width="2" hidden="1" customWidth="1"/>
    <col min="33" max="33" width="14.85546875" hidden="1" customWidth="1"/>
    <col min="34" max="34" width="14.85546875" customWidth="1"/>
    <col min="35" max="35" width="18.140625" customWidth="1"/>
    <col min="36" max="38" width="22.5703125" customWidth="1"/>
    <col min="39" max="41" width="2" hidden="1" customWidth="1"/>
    <col min="42" max="42" width="14.85546875" hidden="1" customWidth="1"/>
    <col min="43" max="43" width="14.85546875" customWidth="1"/>
    <col min="44" max="46" width="17.140625" customWidth="1"/>
    <col min="47" max="49" width="2" hidden="1" customWidth="1"/>
    <col min="50" max="50" width="14.85546875" hidden="1" customWidth="1"/>
    <col min="51" max="53" width="17.140625" customWidth="1"/>
    <col min="54" max="54" width="2" hidden="1" customWidth="1"/>
    <col min="55" max="55" width="5" hidden="1" customWidth="1"/>
    <col min="56" max="57" width="17.140625" hidden="1" customWidth="1"/>
    <col min="58" max="59" width="17.140625" customWidth="1"/>
    <col min="60" max="63" width="17.140625" hidden="1" customWidth="1"/>
    <col min="64" max="65" width="17.140625" customWidth="1"/>
    <col min="66" max="69" width="17.140625" hidden="1" customWidth="1"/>
    <col min="70" max="71" width="17.140625" customWidth="1"/>
    <col min="72" max="74" width="16.5703125" customWidth="1"/>
    <col min="75" max="81" width="16.5703125" hidden="1" customWidth="1"/>
    <col min="82" max="86" width="16.5703125" customWidth="1"/>
    <col min="87" max="92" width="16.5703125" hidden="1" customWidth="1"/>
    <col min="93" max="94" width="16.5703125" customWidth="1"/>
    <col min="95" max="103" width="16.5703125" hidden="1" customWidth="1"/>
    <col min="104" max="104" width="18.7109375" customWidth="1"/>
    <col min="105" max="1025" width="10.5703125" customWidth="1"/>
  </cols>
  <sheetData>
    <row r="1" spans="1:104" x14ac:dyDescent="0.25">
      <c r="A1" s="220"/>
      <c r="B1" s="221" t="s">
        <v>2122</v>
      </c>
      <c r="C1" s="221"/>
      <c r="D1" s="221"/>
      <c r="E1" s="221"/>
      <c r="F1" s="221"/>
      <c r="G1" s="221"/>
      <c r="H1" s="221"/>
      <c r="I1" s="221"/>
      <c r="J1" s="221"/>
      <c r="K1" s="221"/>
      <c r="L1" s="221"/>
      <c r="M1" s="221"/>
      <c r="N1" s="221"/>
      <c r="O1" s="221"/>
      <c r="P1" s="221"/>
      <c r="Q1" s="221"/>
      <c r="R1" s="221"/>
      <c r="S1" s="221"/>
      <c r="T1" s="221"/>
      <c r="U1" s="221"/>
      <c r="V1" s="221"/>
      <c r="W1" s="221"/>
      <c r="X1" s="221"/>
      <c r="Y1" s="221"/>
      <c r="Z1" s="221"/>
      <c r="AA1" s="221"/>
      <c r="AB1" s="221"/>
      <c r="AC1" s="221"/>
      <c r="AD1" s="221"/>
      <c r="AE1" s="221"/>
      <c r="AF1" s="221"/>
      <c r="AG1" s="221"/>
      <c r="AH1" s="221"/>
      <c r="AI1" s="221"/>
      <c r="AJ1" s="221"/>
      <c r="AK1" s="221"/>
      <c r="AL1" s="221"/>
      <c r="AM1" s="221"/>
      <c r="AN1" s="221"/>
      <c r="AO1" s="221"/>
      <c r="AP1" s="221"/>
      <c r="AQ1" s="221"/>
      <c r="AR1" s="222" t="s">
        <v>2123</v>
      </c>
      <c r="AS1" s="222"/>
      <c r="AT1" s="222"/>
      <c r="AU1" s="222"/>
      <c r="AV1" s="222"/>
      <c r="AW1" s="222"/>
      <c r="AX1" s="222"/>
      <c r="AY1" s="222"/>
      <c r="AZ1" s="222"/>
      <c r="BA1" s="222"/>
      <c r="BB1" s="222"/>
      <c r="BC1" s="222"/>
      <c r="BD1" s="222"/>
      <c r="BE1" s="222"/>
      <c r="BF1" s="222"/>
      <c r="BG1" s="222"/>
      <c r="BH1" s="222"/>
      <c r="BI1" s="222"/>
      <c r="BJ1" s="222"/>
      <c r="BK1" s="222"/>
      <c r="BL1" s="222"/>
      <c r="BM1" s="222"/>
      <c r="BN1" s="222"/>
      <c r="BO1" s="222"/>
      <c r="BP1" s="222"/>
      <c r="BQ1" s="222"/>
      <c r="BR1" s="222"/>
      <c r="BS1" s="223" t="s">
        <v>2124</v>
      </c>
      <c r="BT1" s="223"/>
      <c r="BU1" s="223"/>
      <c r="BV1" s="223"/>
      <c r="BW1" s="223"/>
      <c r="BX1" s="223"/>
      <c r="BY1" s="223"/>
      <c r="BZ1" s="223"/>
      <c r="CA1" s="223"/>
      <c r="CB1" s="223"/>
      <c r="CC1" s="223"/>
      <c r="CD1" s="223"/>
      <c r="CE1" s="223"/>
      <c r="CF1" s="223"/>
      <c r="CG1" s="223"/>
      <c r="CH1" s="223"/>
      <c r="CI1" s="223"/>
      <c r="CJ1" s="223"/>
      <c r="CK1" s="223"/>
      <c r="CL1" s="223"/>
      <c r="CM1" s="223"/>
      <c r="CN1" s="223"/>
      <c r="CO1" s="223"/>
      <c r="CP1" s="223"/>
      <c r="CQ1" s="137"/>
      <c r="CR1" s="137"/>
      <c r="CS1" s="137"/>
      <c r="CT1" s="137"/>
      <c r="CU1" s="137"/>
      <c r="CV1" s="137"/>
      <c r="CW1" s="137"/>
      <c r="CX1" s="137"/>
      <c r="CY1" s="137"/>
    </row>
    <row r="2" spans="1:104" x14ac:dyDescent="0.25">
      <c r="A2" s="220"/>
      <c r="B2" s="224" t="s">
        <v>2125</v>
      </c>
      <c r="C2" s="224"/>
      <c r="D2" s="224"/>
      <c r="E2" s="224"/>
      <c r="F2" s="224"/>
      <c r="G2" s="224"/>
      <c r="H2" s="224"/>
      <c r="I2" s="224"/>
      <c r="J2" s="224"/>
      <c r="K2" s="224"/>
      <c r="L2" s="224"/>
      <c r="M2" s="224"/>
      <c r="N2" s="224"/>
      <c r="O2" s="224"/>
      <c r="P2" s="224"/>
      <c r="Q2" s="224" t="s">
        <v>2126</v>
      </c>
      <c r="R2" s="224"/>
      <c r="S2" s="224"/>
      <c r="T2" s="224"/>
      <c r="U2" s="224"/>
      <c r="V2" s="224"/>
      <c r="W2" s="225" t="s">
        <v>2127</v>
      </c>
      <c r="X2" s="225"/>
      <c r="Y2" s="225"/>
      <c r="Z2" s="225"/>
      <c r="AA2" s="225"/>
      <c r="AB2" s="225"/>
      <c r="AC2" s="225"/>
      <c r="AD2" s="225"/>
      <c r="AE2" s="225"/>
      <c r="AF2" s="225"/>
      <c r="AG2" s="225"/>
      <c r="AH2" s="225"/>
      <c r="AI2" s="138"/>
      <c r="AJ2" s="224" t="s">
        <v>2128</v>
      </c>
      <c r="AK2" s="224"/>
      <c r="AL2" s="224"/>
      <c r="AM2" s="224"/>
      <c r="AN2" s="224"/>
      <c r="AO2" s="224"/>
      <c r="AP2" s="224"/>
      <c r="AQ2" s="224"/>
      <c r="AR2" s="224" t="s">
        <v>2129</v>
      </c>
      <c r="AS2" s="224"/>
      <c r="AT2" s="224"/>
      <c r="AU2" s="224"/>
      <c r="AV2" s="224"/>
      <c r="AW2" s="224"/>
      <c r="AX2" s="224"/>
      <c r="AY2" s="224"/>
      <c r="AZ2" s="224" t="s">
        <v>2130</v>
      </c>
      <c r="BA2" s="224"/>
      <c r="BB2" s="224"/>
      <c r="BC2" s="224"/>
      <c r="BD2" s="224"/>
      <c r="BE2" s="224"/>
      <c r="BF2" s="224"/>
      <c r="BG2" s="224"/>
      <c r="BH2" s="224"/>
      <c r="BI2" s="224"/>
      <c r="BJ2" s="224"/>
      <c r="BK2" s="224"/>
      <c r="BL2" s="224"/>
      <c r="BM2" s="224"/>
      <c r="BN2" s="224"/>
      <c r="BO2" s="224"/>
      <c r="BP2" s="224"/>
      <c r="BQ2" s="224"/>
      <c r="BR2" s="224"/>
      <c r="BS2" s="224" t="s">
        <v>2131</v>
      </c>
      <c r="BT2" s="224"/>
      <c r="BU2" s="224"/>
      <c r="BV2" s="224"/>
      <c r="BW2" s="224"/>
      <c r="BX2" s="224"/>
      <c r="BY2" s="224"/>
      <c r="BZ2" s="224"/>
      <c r="CA2" s="224"/>
      <c r="CB2" s="224"/>
      <c r="CC2" s="224"/>
      <c r="CD2" s="224"/>
      <c r="CE2" s="224" t="s">
        <v>2132</v>
      </c>
      <c r="CF2" s="224"/>
      <c r="CG2" s="224"/>
      <c r="CH2" s="224"/>
      <c r="CI2" s="224"/>
      <c r="CJ2" s="224"/>
      <c r="CK2" s="224"/>
      <c r="CL2" s="224"/>
      <c r="CM2" s="224"/>
      <c r="CN2" s="224"/>
      <c r="CO2" s="224"/>
      <c r="CP2" s="224"/>
      <c r="CQ2" s="139" t="s">
        <v>2133</v>
      </c>
      <c r="CR2" s="139" t="s">
        <v>2134</v>
      </c>
      <c r="CS2" s="139" t="s">
        <v>2135</v>
      </c>
      <c r="CT2" s="139" t="s">
        <v>2136</v>
      </c>
      <c r="CU2" s="139" t="s">
        <v>2137</v>
      </c>
      <c r="CV2" s="139" t="s">
        <v>2138</v>
      </c>
      <c r="CW2" s="139" t="s">
        <v>2139</v>
      </c>
      <c r="CX2" s="139" t="s">
        <v>2140</v>
      </c>
      <c r="CY2" s="139" t="s">
        <v>2121</v>
      </c>
    </row>
    <row r="3" spans="1:104" x14ac:dyDescent="0.25">
      <c r="A3" s="220"/>
      <c r="B3" s="215" t="s">
        <v>2015</v>
      </c>
      <c r="C3" s="215"/>
      <c r="D3" s="215"/>
      <c r="E3" s="215"/>
      <c r="F3" s="215"/>
      <c r="G3" s="215"/>
      <c r="H3" s="215"/>
      <c r="I3" s="215"/>
      <c r="J3" s="215"/>
      <c r="K3" s="215"/>
      <c r="L3" s="215"/>
      <c r="M3" s="215"/>
      <c r="N3" s="215"/>
      <c r="O3" s="215"/>
      <c r="P3" s="215"/>
      <c r="Q3" s="215" t="s">
        <v>2015</v>
      </c>
      <c r="R3" s="215"/>
      <c r="S3" s="215"/>
      <c r="T3" s="215"/>
      <c r="U3" s="215"/>
      <c r="V3" s="215"/>
      <c r="W3" s="216" t="s">
        <v>2015</v>
      </c>
      <c r="X3" s="216"/>
      <c r="Y3" s="216"/>
      <c r="Z3" s="216"/>
      <c r="AA3" s="216"/>
      <c r="AB3" s="216"/>
      <c r="AC3" s="216"/>
      <c r="AD3" s="216"/>
      <c r="AE3" s="216"/>
      <c r="AF3" s="216"/>
      <c r="AG3" s="216"/>
      <c r="AH3" s="216"/>
      <c r="AI3" s="140"/>
      <c r="AJ3" s="217" t="s">
        <v>2054</v>
      </c>
      <c r="AK3" s="217"/>
      <c r="AL3" s="217"/>
      <c r="AM3" s="217"/>
      <c r="AN3" s="217"/>
      <c r="AO3" s="217"/>
      <c r="AP3" s="217"/>
      <c r="AQ3" s="217"/>
      <c r="AR3" s="218" t="s">
        <v>982</v>
      </c>
      <c r="AS3" s="218"/>
      <c r="AT3" s="218"/>
      <c r="AU3" s="218"/>
      <c r="AV3" s="218"/>
      <c r="AW3" s="218"/>
      <c r="AX3" s="218"/>
      <c r="AY3" s="218"/>
      <c r="AZ3" s="218" t="s">
        <v>982</v>
      </c>
      <c r="BA3" s="218"/>
      <c r="BB3" s="218"/>
      <c r="BC3" s="218"/>
      <c r="BD3" s="218"/>
      <c r="BE3" s="218"/>
      <c r="BF3" s="218"/>
      <c r="BG3" s="218"/>
      <c r="BH3" s="218"/>
      <c r="BI3" s="218"/>
      <c r="BJ3" s="218"/>
      <c r="BK3" s="218"/>
      <c r="BL3" s="218"/>
      <c r="BM3" s="218"/>
      <c r="BN3" s="218"/>
      <c r="BO3" s="218"/>
      <c r="BP3" s="218"/>
      <c r="BQ3" s="218"/>
      <c r="BR3" s="218"/>
      <c r="BS3" s="218" t="s">
        <v>982</v>
      </c>
      <c r="BT3" s="218"/>
      <c r="BU3" s="218"/>
      <c r="BV3" s="218"/>
      <c r="BW3" s="218"/>
      <c r="BX3" s="218"/>
      <c r="BY3" s="218"/>
      <c r="BZ3" s="218"/>
      <c r="CA3" s="218"/>
      <c r="CB3" s="218"/>
      <c r="CC3" s="218"/>
      <c r="CD3" s="218"/>
      <c r="CE3" s="219" t="s">
        <v>982</v>
      </c>
      <c r="CF3" s="219"/>
      <c r="CG3" s="219"/>
      <c r="CH3" s="219"/>
      <c r="CI3" s="219"/>
      <c r="CJ3" s="219"/>
      <c r="CK3" s="219"/>
      <c r="CL3" s="219"/>
      <c r="CM3" s="219"/>
      <c r="CN3" s="219"/>
      <c r="CO3" s="219"/>
      <c r="CP3" s="219"/>
      <c r="CQ3" s="107">
        <v>0.1</v>
      </c>
      <c r="CR3" s="107">
        <v>0.1</v>
      </c>
      <c r="CS3" s="107">
        <v>0.1</v>
      </c>
      <c r="CT3" s="107">
        <v>0.1</v>
      </c>
      <c r="CU3" s="107">
        <v>0.1</v>
      </c>
      <c r="CV3" s="107">
        <v>0.2</v>
      </c>
      <c r="CW3" s="107">
        <v>0.2</v>
      </c>
      <c r="CX3" s="107">
        <v>0.1</v>
      </c>
      <c r="CY3" s="107">
        <v>0.05</v>
      </c>
    </row>
    <row r="4" spans="1:104" ht="93" customHeight="1" x14ac:dyDescent="0.25">
      <c r="A4" s="141" t="s">
        <v>2141</v>
      </c>
      <c r="B4" s="142" t="s">
        <v>2010</v>
      </c>
      <c r="C4" s="142" t="s">
        <v>2017</v>
      </c>
      <c r="D4" s="142" t="s">
        <v>2142</v>
      </c>
      <c r="E4" s="142"/>
      <c r="F4" s="142"/>
      <c r="G4" s="142"/>
      <c r="H4" s="143" t="s">
        <v>2143</v>
      </c>
      <c r="I4" s="142" t="s">
        <v>2022</v>
      </c>
      <c r="J4" s="142" t="s">
        <v>2027</v>
      </c>
      <c r="K4" s="142" t="s">
        <v>2029</v>
      </c>
      <c r="L4" s="142"/>
      <c r="M4" s="142"/>
      <c r="N4" s="142"/>
      <c r="O4" s="143" t="s">
        <v>2143</v>
      </c>
      <c r="P4" s="144" t="s">
        <v>2144</v>
      </c>
      <c r="Q4" s="142" t="s">
        <v>2033</v>
      </c>
      <c r="R4" s="142" t="s">
        <v>2035</v>
      </c>
      <c r="S4" s="142"/>
      <c r="T4" s="142"/>
      <c r="U4" s="143" t="s">
        <v>2143</v>
      </c>
      <c r="V4" s="144" t="s">
        <v>2145</v>
      </c>
      <c r="W4" s="145" t="s">
        <v>2039</v>
      </c>
      <c r="X4" s="145" t="s">
        <v>2041</v>
      </c>
      <c r="Y4" s="145" t="s">
        <v>2043</v>
      </c>
      <c r="Z4" s="145" t="s">
        <v>2045</v>
      </c>
      <c r="AA4" s="145" t="s">
        <v>2047</v>
      </c>
      <c r="AB4" s="145"/>
      <c r="AC4" s="145"/>
      <c r="AD4" s="145"/>
      <c r="AE4" s="145"/>
      <c r="AF4" s="145"/>
      <c r="AG4" s="143" t="s">
        <v>2143</v>
      </c>
      <c r="AH4" s="144" t="s">
        <v>2146</v>
      </c>
      <c r="AI4" s="144" t="s">
        <v>2147</v>
      </c>
      <c r="AJ4" s="145" t="s">
        <v>2148</v>
      </c>
      <c r="AK4" s="145" t="s">
        <v>2055</v>
      </c>
      <c r="AL4" s="145" t="s">
        <v>2059</v>
      </c>
      <c r="AM4" s="145"/>
      <c r="AN4" s="145"/>
      <c r="AO4" s="145"/>
      <c r="AP4" s="143" t="s">
        <v>2143</v>
      </c>
      <c r="AQ4" s="144" t="s">
        <v>2149</v>
      </c>
      <c r="AR4" s="145" t="s">
        <v>2107</v>
      </c>
      <c r="AS4" s="145" t="s">
        <v>2113</v>
      </c>
      <c r="AT4" s="145" t="s">
        <v>2115</v>
      </c>
      <c r="AU4" s="142"/>
      <c r="AV4" s="142"/>
      <c r="AW4" s="142"/>
      <c r="AX4" s="143" t="s">
        <v>2143</v>
      </c>
      <c r="AY4" s="144" t="s">
        <v>2150</v>
      </c>
      <c r="AZ4" s="145" t="s">
        <v>2089</v>
      </c>
      <c r="BA4" s="145" t="s">
        <v>2093</v>
      </c>
      <c r="BB4" s="145"/>
      <c r="BC4" s="145"/>
      <c r="BD4" s="143" t="s">
        <v>2143</v>
      </c>
      <c r="BE4" s="143" t="s">
        <v>2151</v>
      </c>
      <c r="BF4" s="145" t="s">
        <v>2097</v>
      </c>
      <c r="BG4" s="145" t="s">
        <v>2099</v>
      </c>
      <c r="BH4" s="145"/>
      <c r="BI4" s="145"/>
      <c r="BJ4" s="143" t="s">
        <v>2143</v>
      </c>
      <c r="BK4" s="143" t="s">
        <v>2152</v>
      </c>
      <c r="BL4" s="145" t="s">
        <v>2101</v>
      </c>
      <c r="BM4" s="145" t="s">
        <v>2103</v>
      </c>
      <c r="BN4" s="145"/>
      <c r="BO4" s="145"/>
      <c r="BP4" s="143" t="s">
        <v>2143</v>
      </c>
      <c r="BQ4" s="143" t="s">
        <v>2153</v>
      </c>
      <c r="BR4" s="144" t="s">
        <v>2154</v>
      </c>
      <c r="BS4" s="145" t="s">
        <v>2063</v>
      </c>
      <c r="BT4" s="145" t="s">
        <v>2068</v>
      </c>
      <c r="BU4" s="145" t="s">
        <v>2072</v>
      </c>
      <c r="BV4" s="145" t="s">
        <v>2074</v>
      </c>
      <c r="BW4" s="145"/>
      <c r="BX4" s="145"/>
      <c r="BY4" s="145"/>
      <c r="BZ4" s="145"/>
      <c r="CA4" s="143" t="s">
        <v>2155</v>
      </c>
      <c r="CB4" s="143" t="s">
        <v>2156</v>
      </c>
      <c r="CC4" s="143" t="s">
        <v>2157</v>
      </c>
      <c r="CD4" s="144" t="s">
        <v>2158</v>
      </c>
      <c r="CE4" s="145" t="s">
        <v>2077</v>
      </c>
      <c r="CF4" s="145" t="s">
        <v>2082</v>
      </c>
      <c r="CG4" s="145" t="s">
        <v>2086</v>
      </c>
      <c r="CH4" s="145" t="s">
        <v>2119</v>
      </c>
      <c r="CI4" s="145"/>
      <c r="CJ4" s="145"/>
      <c r="CK4" s="145"/>
      <c r="CL4" s="145"/>
      <c r="CM4" s="143" t="s">
        <v>2159</v>
      </c>
      <c r="CN4" s="143" t="s">
        <v>2160</v>
      </c>
      <c r="CO4" s="144" t="s">
        <v>2161</v>
      </c>
      <c r="CP4" s="146" t="s">
        <v>2162</v>
      </c>
      <c r="CQ4" s="147" t="s">
        <v>2133</v>
      </c>
      <c r="CR4" s="147" t="s">
        <v>2134</v>
      </c>
      <c r="CS4" s="147" t="s">
        <v>2135</v>
      </c>
      <c r="CT4" s="147" t="s">
        <v>2136</v>
      </c>
      <c r="CU4" s="147" t="s">
        <v>2137</v>
      </c>
      <c r="CV4" s="147" t="s">
        <v>2138</v>
      </c>
      <c r="CW4" s="147" t="s">
        <v>2139</v>
      </c>
      <c r="CX4" s="147" t="s">
        <v>2140</v>
      </c>
      <c r="CY4" s="147" t="s">
        <v>2121</v>
      </c>
      <c r="CZ4" s="148" t="s">
        <v>2163</v>
      </c>
    </row>
    <row r="5" spans="1:104" x14ac:dyDescent="0.25">
      <c r="A5" s="10" t="s">
        <v>2164</v>
      </c>
      <c r="B5" s="53" t="s">
        <v>1948</v>
      </c>
      <c r="C5" s="53" t="s">
        <v>1948</v>
      </c>
      <c r="D5" s="53" t="s">
        <v>1947</v>
      </c>
      <c r="E5" s="61">
        <f t="shared" ref="E5:E36" si="0">IF(B5="SI",1,0)</f>
        <v>1</v>
      </c>
      <c r="F5" s="61">
        <f t="shared" ref="F5:F36" si="1">IF(C5="SI",1,0)</f>
        <v>1</v>
      </c>
      <c r="G5" s="61">
        <f t="shared" ref="G5:G36" si="2">IF(D5="SI",1,0)</f>
        <v>0</v>
      </c>
      <c r="H5" s="61">
        <f t="shared" ref="H5:H36" si="3">SUM(E5:G5)</f>
        <v>2</v>
      </c>
      <c r="I5" s="53" t="s">
        <v>2165</v>
      </c>
      <c r="J5" s="53" t="s">
        <v>2165</v>
      </c>
      <c r="K5" s="53" t="s">
        <v>1948</v>
      </c>
      <c r="L5" s="61">
        <f t="shared" ref="L5:L36" si="4">IF(I5="MUCHO",1,0)</f>
        <v>0</v>
      </c>
      <c r="M5" s="61">
        <f t="shared" ref="M5:M36" si="5">IF(J5="MUCHO",1,0)</f>
        <v>0</v>
      </c>
      <c r="N5" s="61">
        <f t="shared" ref="N5:N36" si="6">IF(K5="SI",1,0)</f>
        <v>1</v>
      </c>
      <c r="O5" s="61">
        <f t="shared" ref="O5:O36" si="7">SUM(L5:N5)</f>
        <v>1</v>
      </c>
      <c r="P5" s="61">
        <f t="shared" ref="P5:P36" si="8">((O5+H5)*100)/6</f>
        <v>50</v>
      </c>
      <c r="Q5" s="53" t="s">
        <v>1948</v>
      </c>
      <c r="R5" s="53" t="s">
        <v>1948</v>
      </c>
      <c r="S5" s="61">
        <f t="shared" ref="S5:S36" si="9">IF(Q5="SI",1,0)</f>
        <v>1</v>
      </c>
      <c r="T5" s="61">
        <f t="shared" ref="T5:T36" si="10">IF(R5="SI",1,0)</f>
        <v>1</v>
      </c>
      <c r="U5" s="61">
        <f t="shared" ref="U5:U36" si="11">SUM(S5:T5)</f>
        <v>2</v>
      </c>
      <c r="V5" s="61">
        <f t="shared" ref="V5:V36" si="12">((S5+T5)*100)/2</f>
        <v>100</v>
      </c>
      <c r="W5" s="53" t="s">
        <v>1948</v>
      </c>
      <c r="X5" s="53" t="s">
        <v>1947</v>
      </c>
      <c r="Y5" s="53" t="s">
        <v>1947</v>
      </c>
      <c r="Z5" s="53" t="s">
        <v>1947</v>
      </c>
      <c r="AA5" s="53" t="s">
        <v>1947</v>
      </c>
      <c r="AB5" s="50">
        <f t="shared" ref="AB5:AB36" si="13">IF(W5="SI",1,0)</f>
        <v>1</v>
      </c>
      <c r="AC5" s="50">
        <f t="shared" ref="AC5:AC36" si="14">IF(X5="SI",1,0)</f>
        <v>0</v>
      </c>
      <c r="AD5" s="50">
        <f t="shared" ref="AD5:AD36" si="15">IF(Y5="SI",1,0)</f>
        <v>0</v>
      </c>
      <c r="AE5" s="50">
        <f t="shared" ref="AE5:AE36" si="16">IF(Z5="SI",1,0)</f>
        <v>0</v>
      </c>
      <c r="AF5" s="50">
        <f t="shared" ref="AF5:AF36" si="17">IF(AA5="SI",1,0)</f>
        <v>0</v>
      </c>
      <c r="AG5" s="50">
        <f t="shared" ref="AG5:AG36" si="18">SUM(AB5:AF5)</f>
        <v>1</v>
      </c>
      <c r="AH5" s="51">
        <f t="shared" ref="AH5:AH36" si="19">((SUM(AB5:AF5))*100)/5</f>
        <v>20</v>
      </c>
      <c r="AI5" s="51">
        <f t="shared" ref="AI5:AI36" si="20">SUM(AH5,V5,P5)</f>
        <v>170</v>
      </c>
      <c r="AJ5" s="53" t="s">
        <v>1948</v>
      </c>
      <c r="AK5" s="53" t="s">
        <v>1948</v>
      </c>
      <c r="AL5" s="53" t="s">
        <v>1948</v>
      </c>
      <c r="AM5" s="50">
        <f t="shared" ref="AM5:AM36" si="21">IF(AJ5="SI",1,0)</f>
        <v>1</v>
      </c>
      <c r="AN5" s="50">
        <f t="shared" ref="AN5:AN36" si="22">IF(AK5="SI",1,0)</f>
        <v>1</v>
      </c>
      <c r="AO5" s="50">
        <f t="shared" ref="AO5:AO36" si="23">IF(AL5="SI",1,0)</f>
        <v>1</v>
      </c>
      <c r="AP5" s="50">
        <f t="shared" ref="AP5:AP36" si="24">SUM(AM5:AO5)</f>
        <v>3</v>
      </c>
      <c r="AQ5" s="50">
        <f t="shared" ref="AQ5:AQ36" si="25">((SUM(AM5:AO5))*100)/3</f>
        <v>100</v>
      </c>
      <c r="AR5" s="36" t="s">
        <v>2166</v>
      </c>
      <c r="AS5" s="36" t="s">
        <v>2166</v>
      </c>
      <c r="AT5" s="36" t="s">
        <v>2166</v>
      </c>
      <c r="AU5" s="37">
        <f t="shared" ref="AU5:AU36" si="26">IF(AR5="ALTA",1,IF(AR5="MEDIA",2,3))</f>
        <v>1</v>
      </c>
      <c r="AV5" s="37">
        <f t="shared" ref="AV5:AV36" si="27">IF(AS5="ALTA",1,IF(AS5="MEDIA",2,3))</f>
        <v>1</v>
      </c>
      <c r="AW5" s="37">
        <f t="shared" ref="AW5:AW36" si="28">IF(AT5="ALTA",1,IF(AT5="MEDIA",2,3))</f>
        <v>1</v>
      </c>
      <c r="AX5" s="37">
        <f t="shared" ref="AX5:AX36" si="29">IF(SUM(AU5:AW5)&gt;=7,SUM(AU5:AW5),0)</f>
        <v>0</v>
      </c>
      <c r="AY5" s="37">
        <f t="shared" ref="AY5:AY36" si="30">((AX5)*100)/9</f>
        <v>0</v>
      </c>
      <c r="AZ5" s="36" t="s">
        <v>2167</v>
      </c>
      <c r="BA5" s="36" t="s">
        <v>2167</v>
      </c>
      <c r="BB5" s="37">
        <f t="shared" ref="BB5:BB36" si="31">IF(AZ5="ALTO",3,IF(AZ5="MEDIO",2,1))</f>
        <v>1</v>
      </c>
      <c r="BC5" s="37">
        <f t="shared" ref="BC5:BC36" si="32">IF(BA5="ALTO",2.25,IF(BA5="MEDIO",1.5,0.75))</f>
        <v>0.75</v>
      </c>
      <c r="BD5" s="37">
        <f t="shared" ref="BD5:BD36" si="33">IF(BB5=1,BC5,BB5)</f>
        <v>0.75</v>
      </c>
      <c r="BE5" s="37">
        <f t="shared" ref="BE5:BE36" si="34">IF(BD5&gt;=2,BD5,0)</f>
        <v>0</v>
      </c>
      <c r="BF5" s="36" t="s">
        <v>2167</v>
      </c>
      <c r="BG5" s="36" t="s">
        <v>2167</v>
      </c>
      <c r="BH5" s="37">
        <f t="shared" ref="BH5:BH36" si="35">IF(BF5="ALTO",3,IF(BF5="MEDIO",2,1))</f>
        <v>1</v>
      </c>
      <c r="BI5" s="37">
        <f t="shared" ref="BI5:BI36" si="36">IF(BG5="ALTO",2.25,IF(BG5="MEDIO",1.5,0.75))</f>
        <v>0.75</v>
      </c>
      <c r="BJ5" s="37">
        <f t="shared" ref="BJ5:BJ36" si="37">IF(BH5=1,BI5,BH5)</f>
        <v>0.75</v>
      </c>
      <c r="BK5" s="37">
        <f t="shared" ref="BK5:BK36" si="38">IF(BJ5&gt;=2,BJ5,0)</f>
        <v>0</v>
      </c>
      <c r="BL5" s="36" t="s">
        <v>2167</v>
      </c>
      <c r="BM5" s="36" t="s">
        <v>2167</v>
      </c>
      <c r="BN5" s="37">
        <f t="shared" ref="BN5:BN36" si="39">IF(BL5="ALTO",3,IF(BL5="MEDIO",2,1))</f>
        <v>1</v>
      </c>
      <c r="BO5" s="37">
        <f t="shared" ref="BO5:BO36" si="40">IF(BM5="ALTO",2.25,IF(BM5="MEDIO",1.5,0.75))</f>
        <v>0.75</v>
      </c>
      <c r="BP5" s="37">
        <f t="shared" ref="BP5:BP36" si="41">IF(BN5=1,BO5,BN5)</f>
        <v>0.75</v>
      </c>
      <c r="BQ5" s="37">
        <f t="shared" ref="BQ5:BQ36" si="42">IF(BP5&gt;=2,BP5,0)</f>
        <v>0</v>
      </c>
      <c r="BR5" s="37">
        <f t="shared" ref="BR5:BR36" si="43">((BQ5+BK5+BE5)*100)/9</f>
        <v>0</v>
      </c>
      <c r="BS5" s="36" t="s">
        <v>2080</v>
      </c>
      <c r="BT5" s="36" t="s">
        <v>2080</v>
      </c>
      <c r="BU5" s="36" t="s">
        <v>2080</v>
      </c>
      <c r="BV5" s="36" t="s">
        <v>2080</v>
      </c>
      <c r="BW5" s="37">
        <f t="shared" ref="BW5:BW36" si="44">IF(IF(BS5="ALTO",3,IF(BS5="MEDIO",2,IF(BS5="BAJO",1,0)))&gt;=1,IF(BS5="ALTO",3,IF(BS5="MEDIO",2,IF(BS5="BAJO",1,0))),0)</f>
        <v>0</v>
      </c>
      <c r="BX5" s="37">
        <f t="shared" ref="BX5:BX36" si="45">IF(IF(BT5="ALTO",100,IF(BT5="MEDIO",50,IF(BT5="BAJO",25,0)))&gt;=50,IF(BT5="ALTO",100,IF(BT5="MEDIO",50,IF(BT5="BAJO",25,0))),0)</f>
        <v>0</v>
      </c>
      <c r="BY5" s="37">
        <f t="shared" ref="BY5:BY36" si="46">IF(IF(BU5="ALTO",100,IF(BU5="MEDIO",50,IF(BU5="BAJO",25,0)))&gt;=50,IF(BU5="ALTO",100,IF(BU5="MEDIO",50,IF(BU5="BAJO",25,0))),0)</f>
        <v>0</v>
      </c>
      <c r="BZ5" s="37">
        <f t="shared" ref="BZ5:BZ36" si="47">IF(IF(BV5="ALTO",100,IF(BV5="MEDIO",50,IF(BV5="BAJO",25,0)))&gt;=50,IF(BV5="ALTO",100,IF(BV5="MEDIO",50,IF(BV5="BAJO",25,0))),0)</f>
        <v>0</v>
      </c>
      <c r="CA5" s="37">
        <f t="shared" ref="CA5:CA36" si="48">(BW5/3)*100</f>
        <v>0</v>
      </c>
      <c r="CB5" s="37">
        <f t="shared" ref="CB5:CB36" si="49">(SUM(BX5:BZ5)/300)*100</f>
        <v>0</v>
      </c>
      <c r="CC5" s="37">
        <f t="shared" ref="CC5:CC36" si="50">SUM(CA5:CB5)</f>
        <v>0</v>
      </c>
      <c r="CD5" s="37">
        <f t="shared" ref="CD5:CD36" si="51">(CC5*100)/200</f>
        <v>0</v>
      </c>
      <c r="CE5" s="36" t="s">
        <v>2067</v>
      </c>
      <c r="CF5" s="36" t="s">
        <v>2067</v>
      </c>
      <c r="CG5" s="36" t="s">
        <v>2067</v>
      </c>
      <c r="CH5" s="36" t="s">
        <v>2080</v>
      </c>
      <c r="CI5" s="37">
        <f t="shared" ref="CI5:CI36" si="52">IF(IF(CE5="ALTO",1,IF(CE5="MEDIO",2,3))&gt;=2,IF(CE5="ALTO",1,IF(CE5="MEDIO",2,3)),0)</f>
        <v>0</v>
      </c>
      <c r="CJ5" s="37">
        <f t="shared" ref="CJ5:CJ36" si="53">IF(IF(CF5="ALTO",1,IF(CF5="MEDIO",2,IF(CF5="BAJO",3,4)))&gt;=3,IF(CF5="ALTO",1,IF(CF5="MEDIO",2,IF(CF5="BAJO",3,4))),0)</f>
        <v>0</v>
      </c>
      <c r="CK5" s="37">
        <f t="shared" ref="CK5:CK36" si="54">IF(IF(CG5="ALTO",1,IF(CG5="MEDIO",2,IF(CG5="BAJO",3,4)))&gt;=3,IF(CG5="ALTO",1,IF(CG5="MEDIO",2,IF(CG5="BAJO",3,4))),0)</f>
        <v>0</v>
      </c>
      <c r="CL5" s="37">
        <f t="shared" ref="CL5:CL36" si="55">IF(IF(CH5="ALTO",4,IF(CH5="MEDIO",3,IF(CH5="BAJO",2,1)))&gt;=3,IF(CH5="ALTO",4,IF(CH5="MEDIO",3,IF(CH5="BAJO",2,1))),0)</f>
        <v>0</v>
      </c>
      <c r="CM5" s="37">
        <f t="shared" ref="CM5:CM36" si="56">(CI5/3)*100</f>
        <v>0</v>
      </c>
      <c r="CN5" s="37">
        <f t="shared" ref="CN5:CN36" si="57">(SUM(CJ5:CK5)/8)*100</f>
        <v>0</v>
      </c>
      <c r="CO5" s="37">
        <f t="shared" ref="CO5:CO36" si="58">(SUM(CM5:CN5)*100)/200</f>
        <v>0</v>
      </c>
      <c r="CP5" s="37">
        <f t="shared" ref="CP5:CP36" si="59">(CL5*100)/4</f>
        <v>0</v>
      </c>
      <c r="CQ5" s="37">
        <f t="shared" ref="CQ5:CQ36" si="60">P5*CQ$3</f>
        <v>5</v>
      </c>
      <c r="CR5" s="37">
        <f t="shared" ref="CR5:CR36" si="61">V5*CR$3</f>
        <v>10</v>
      </c>
      <c r="CS5" s="37">
        <f t="shared" ref="CS5:CS36" si="62">AH5*CS$3</f>
        <v>2</v>
      </c>
      <c r="CT5" s="37">
        <f t="shared" ref="CT5:CT36" si="63">AQ5*CT$3</f>
        <v>10</v>
      </c>
      <c r="CU5" s="37">
        <f t="shared" ref="CU5:CU36" si="64">AY5*CU$3</f>
        <v>0</v>
      </c>
      <c r="CV5" s="37">
        <f t="shared" ref="CV5:CV36" si="65">BR5*CV$3</f>
        <v>0</v>
      </c>
      <c r="CW5" s="37">
        <f t="shared" ref="CW5:CW36" si="66">CD5*CW$3</f>
        <v>0</v>
      </c>
      <c r="CX5" s="37">
        <f t="shared" ref="CX5:CX36" si="67">CO5*CX$3</f>
        <v>0</v>
      </c>
      <c r="CY5" s="37">
        <f t="shared" ref="CY5:CY36" si="68">CP5*CY$3</f>
        <v>0</v>
      </c>
      <c r="CZ5" s="37">
        <f t="shared" ref="CZ5:CZ36" si="69">SUM(CQ5:CY5)</f>
        <v>27</v>
      </c>
    </row>
    <row r="6" spans="1:104" x14ac:dyDescent="0.25">
      <c r="A6" s="10" t="s">
        <v>2168</v>
      </c>
      <c r="B6" s="53" t="s">
        <v>1947</v>
      </c>
      <c r="C6" s="53" t="s">
        <v>1948</v>
      </c>
      <c r="D6" s="53" t="s">
        <v>1947</v>
      </c>
      <c r="E6" s="61">
        <f t="shared" si="0"/>
        <v>0</v>
      </c>
      <c r="F6" s="61">
        <f t="shared" si="1"/>
        <v>1</v>
      </c>
      <c r="G6" s="61">
        <f t="shared" si="2"/>
        <v>0</v>
      </c>
      <c r="H6" s="61">
        <f t="shared" si="3"/>
        <v>1</v>
      </c>
      <c r="I6" s="53" t="s">
        <v>2165</v>
      </c>
      <c r="J6" s="53" t="s">
        <v>2165</v>
      </c>
      <c r="K6" s="53" t="s">
        <v>1948</v>
      </c>
      <c r="L6" s="61">
        <f t="shared" si="4"/>
        <v>0</v>
      </c>
      <c r="M6" s="61">
        <f t="shared" si="5"/>
        <v>0</v>
      </c>
      <c r="N6" s="61">
        <f t="shared" si="6"/>
        <v>1</v>
      </c>
      <c r="O6" s="61">
        <f t="shared" si="7"/>
        <v>1</v>
      </c>
      <c r="P6" s="61">
        <f t="shared" si="8"/>
        <v>33.333333333333336</v>
      </c>
      <c r="Q6" s="53" t="s">
        <v>1948</v>
      </c>
      <c r="R6" s="53" t="s">
        <v>1947</v>
      </c>
      <c r="S6" s="61">
        <f t="shared" si="9"/>
        <v>1</v>
      </c>
      <c r="T6" s="61">
        <f t="shared" si="10"/>
        <v>0</v>
      </c>
      <c r="U6" s="61">
        <f t="shared" si="11"/>
        <v>1</v>
      </c>
      <c r="V6" s="61">
        <f t="shared" si="12"/>
        <v>50</v>
      </c>
      <c r="W6" s="53" t="s">
        <v>1947</v>
      </c>
      <c r="X6" s="53" t="s">
        <v>1947</v>
      </c>
      <c r="Y6" s="53" t="s">
        <v>1947</v>
      </c>
      <c r="Z6" s="53" t="s">
        <v>1947</v>
      </c>
      <c r="AA6" s="53" t="s">
        <v>1947</v>
      </c>
      <c r="AB6" s="50">
        <f t="shared" si="13"/>
        <v>0</v>
      </c>
      <c r="AC6" s="50">
        <f t="shared" si="14"/>
        <v>0</v>
      </c>
      <c r="AD6" s="50">
        <f t="shared" si="15"/>
        <v>0</v>
      </c>
      <c r="AE6" s="50">
        <f t="shared" si="16"/>
        <v>0</v>
      </c>
      <c r="AF6" s="50">
        <f t="shared" si="17"/>
        <v>0</v>
      </c>
      <c r="AG6" s="50">
        <f t="shared" si="18"/>
        <v>0</v>
      </c>
      <c r="AH6" s="51">
        <f t="shared" si="19"/>
        <v>0</v>
      </c>
      <c r="AI6" s="51">
        <f t="shared" si="20"/>
        <v>83.333333333333343</v>
      </c>
      <c r="AJ6" s="53" t="s">
        <v>1948</v>
      </c>
      <c r="AK6" s="53" t="s">
        <v>1948</v>
      </c>
      <c r="AL6" s="53" t="s">
        <v>1948</v>
      </c>
      <c r="AM6" s="50">
        <f t="shared" si="21"/>
        <v>1</v>
      </c>
      <c r="AN6" s="50">
        <f t="shared" si="22"/>
        <v>1</v>
      </c>
      <c r="AO6" s="50">
        <f t="shared" si="23"/>
        <v>1</v>
      </c>
      <c r="AP6" s="50">
        <f t="shared" si="24"/>
        <v>3</v>
      </c>
      <c r="AQ6" s="50">
        <f t="shared" si="25"/>
        <v>100</v>
      </c>
      <c r="AR6" s="36" t="s">
        <v>2166</v>
      </c>
      <c r="AS6" s="36" t="s">
        <v>2166</v>
      </c>
      <c r="AT6" s="36" t="s">
        <v>2166</v>
      </c>
      <c r="AU6" s="37">
        <f t="shared" si="26"/>
        <v>1</v>
      </c>
      <c r="AV6" s="37">
        <f t="shared" si="27"/>
        <v>1</v>
      </c>
      <c r="AW6" s="37">
        <f t="shared" si="28"/>
        <v>1</v>
      </c>
      <c r="AX6" s="37">
        <f t="shared" si="29"/>
        <v>0</v>
      </c>
      <c r="AY6" s="37">
        <f t="shared" si="30"/>
        <v>0</v>
      </c>
      <c r="AZ6" s="36" t="s">
        <v>2167</v>
      </c>
      <c r="BA6" s="36" t="s">
        <v>2167</v>
      </c>
      <c r="BB6" s="37">
        <f t="shared" si="31"/>
        <v>1</v>
      </c>
      <c r="BC6" s="37">
        <f t="shared" si="32"/>
        <v>0.75</v>
      </c>
      <c r="BD6" s="37">
        <f t="shared" si="33"/>
        <v>0.75</v>
      </c>
      <c r="BE6" s="37">
        <f t="shared" si="34"/>
        <v>0</v>
      </c>
      <c r="BF6" s="36" t="s">
        <v>2167</v>
      </c>
      <c r="BG6" s="36" t="s">
        <v>2167</v>
      </c>
      <c r="BH6" s="37">
        <f t="shared" si="35"/>
        <v>1</v>
      </c>
      <c r="BI6" s="37">
        <f t="shared" si="36"/>
        <v>0.75</v>
      </c>
      <c r="BJ6" s="37">
        <f t="shared" si="37"/>
        <v>0.75</v>
      </c>
      <c r="BK6" s="37">
        <f t="shared" si="38"/>
        <v>0</v>
      </c>
      <c r="BL6" s="36" t="s">
        <v>2167</v>
      </c>
      <c r="BM6" s="36" t="s">
        <v>2167</v>
      </c>
      <c r="BN6" s="37">
        <f t="shared" si="39"/>
        <v>1</v>
      </c>
      <c r="BO6" s="37">
        <f t="shared" si="40"/>
        <v>0.75</v>
      </c>
      <c r="BP6" s="37">
        <f t="shared" si="41"/>
        <v>0.75</v>
      </c>
      <c r="BQ6" s="37">
        <f t="shared" si="42"/>
        <v>0</v>
      </c>
      <c r="BR6" s="37">
        <f t="shared" si="43"/>
        <v>0</v>
      </c>
      <c r="BS6" s="36" t="s">
        <v>2080</v>
      </c>
      <c r="BT6" s="36" t="s">
        <v>2080</v>
      </c>
      <c r="BU6" s="36" t="s">
        <v>2080</v>
      </c>
      <c r="BV6" s="36" t="s">
        <v>2080</v>
      </c>
      <c r="BW6" s="37">
        <f t="shared" si="44"/>
        <v>0</v>
      </c>
      <c r="BX6" s="37">
        <f t="shared" si="45"/>
        <v>0</v>
      </c>
      <c r="BY6" s="37">
        <f t="shared" si="46"/>
        <v>0</v>
      </c>
      <c r="BZ6" s="37">
        <f t="shared" si="47"/>
        <v>0</v>
      </c>
      <c r="CA6" s="37">
        <f t="shared" si="48"/>
        <v>0</v>
      </c>
      <c r="CB6" s="37">
        <f t="shared" si="49"/>
        <v>0</v>
      </c>
      <c r="CC6" s="37">
        <f t="shared" si="50"/>
        <v>0</v>
      </c>
      <c r="CD6" s="37">
        <f t="shared" si="51"/>
        <v>0</v>
      </c>
      <c r="CE6" s="36" t="s">
        <v>2067</v>
      </c>
      <c r="CF6" s="36" t="s">
        <v>2067</v>
      </c>
      <c r="CG6" s="36" t="s">
        <v>2067</v>
      </c>
      <c r="CH6" s="36" t="s">
        <v>2080</v>
      </c>
      <c r="CI6" s="37">
        <f t="shared" si="52"/>
        <v>0</v>
      </c>
      <c r="CJ6" s="37">
        <f t="shared" si="53"/>
        <v>0</v>
      </c>
      <c r="CK6" s="37">
        <f t="shared" si="54"/>
        <v>0</v>
      </c>
      <c r="CL6" s="37">
        <f t="shared" si="55"/>
        <v>0</v>
      </c>
      <c r="CM6" s="37">
        <f t="shared" si="56"/>
        <v>0</v>
      </c>
      <c r="CN6" s="37">
        <f t="shared" si="57"/>
        <v>0</v>
      </c>
      <c r="CO6" s="37">
        <f t="shared" si="58"/>
        <v>0</v>
      </c>
      <c r="CP6" s="37">
        <f t="shared" si="59"/>
        <v>0</v>
      </c>
      <c r="CQ6" s="37">
        <f t="shared" si="60"/>
        <v>3.3333333333333339</v>
      </c>
      <c r="CR6" s="37">
        <f t="shared" si="61"/>
        <v>5</v>
      </c>
      <c r="CS6" s="37">
        <f t="shared" si="62"/>
        <v>0</v>
      </c>
      <c r="CT6" s="37">
        <f t="shared" si="63"/>
        <v>10</v>
      </c>
      <c r="CU6" s="37">
        <f t="shared" si="64"/>
        <v>0</v>
      </c>
      <c r="CV6" s="37">
        <f t="shared" si="65"/>
        <v>0</v>
      </c>
      <c r="CW6" s="37">
        <f t="shared" si="66"/>
        <v>0</v>
      </c>
      <c r="CX6" s="37">
        <f t="shared" si="67"/>
        <v>0</v>
      </c>
      <c r="CY6" s="37">
        <f t="shared" si="68"/>
        <v>0</v>
      </c>
      <c r="CZ6" s="37">
        <f t="shared" si="69"/>
        <v>18.333333333333336</v>
      </c>
    </row>
    <row r="7" spans="1:104" x14ac:dyDescent="0.25">
      <c r="A7" s="10" t="s">
        <v>2169</v>
      </c>
      <c r="B7" s="53" t="s">
        <v>1947</v>
      </c>
      <c r="C7" s="53" t="s">
        <v>1948</v>
      </c>
      <c r="D7" s="53" t="s">
        <v>1947</v>
      </c>
      <c r="E7" s="61">
        <f t="shared" si="0"/>
        <v>0</v>
      </c>
      <c r="F7" s="61">
        <f t="shared" si="1"/>
        <v>1</v>
      </c>
      <c r="G7" s="61">
        <f t="shared" si="2"/>
        <v>0</v>
      </c>
      <c r="H7" s="61">
        <f t="shared" si="3"/>
        <v>1</v>
      </c>
      <c r="I7" s="53" t="s">
        <v>2165</v>
      </c>
      <c r="J7" s="53" t="s">
        <v>2165</v>
      </c>
      <c r="K7" s="53" t="s">
        <v>1948</v>
      </c>
      <c r="L7" s="61">
        <f t="shared" si="4"/>
        <v>0</v>
      </c>
      <c r="M7" s="61">
        <f t="shared" si="5"/>
        <v>0</v>
      </c>
      <c r="N7" s="61">
        <f t="shared" si="6"/>
        <v>1</v>
      </c>
      <c r="O7" s="61">
        <f t="shared" si="7"/>
        <v>1</v>
      </c>
      <c r="P7" s="61">
        <f t="shared" si="8"/>
        <v>33.333333333333336</v>
      </c>
      <c r="Q7" s="53" t="s">
        <v>1948</v>
      </c>
      <c r="R7" s="53" t="s">
        <v>1947</v>
      </c>
      <c r="S7" s="61">
        <f t="shared" si="9"/>
        <v>1</v>
      </c>
      <c r="T7" s="61">
        <f t="shared" si="10"/>
        <v>0</v>
      </c>
      <c r="U7" s="61">
        <f t="shared" si="11"/>
        <v>1</v>
      </c>
      <c r="V7" s="61">
        <f t="shared" si="12"/>
        <v>50</v>
      </c>
      <c r="W7" s="53" t="s">
        <v>1947</v>
      </c>
      <c r="X7" s="53" t="s">
        <v>1947</v>
      </c>
      <c r="Y7" s="53" t="s">
        <v>1947</v>
      </c>
      <c r="Z7" s="53" t="s">
        <v>1947</v>
      </c>
      <c r="AA7" s="53" t="s">
        <v>1947</v>
      </c>
      <c r="AB7" s="50">
        <f t="shared" si="13"/>
        <v>0</v>
      </c>
      <c r="AC7" s="50">
        <f t="shared" si="14"/>
        <v>0</v>
      </c>
      <c r="AD7" s="50">
        <f t="shared" si="15"/>
        <v>0</v>
      </c>
      <c r="AE7" s="50">
        <f t="shared" si="16"/>
        <v>0</v>
      </c>
      <c r="AF7" s="50">
        <f t="shared" si="17"/>
        <v>0</v>
      </c>
      <c r="AG7" s="50">
        <f t="shared" si="18"/>
        <v>0</v>
      </c>
      <c r="AH7" s="51">
        <f t="shared" si="19"/>
        <v>0</v>
      </c>
      <c r="AI7" s="51">
        <f t="shared" si="20"/>
        <v>83.333333333333343</v>
      </c>
      <c r="AJ7" s="53" t="s">
        <v>1948</v>
      </c>
      <c r="AK7" s="53" t="s">
        <v>1948</v>
      </c>
      <c r="AL7" s="53" t="s">
        <v>1948</v>
      </c>
      <c r="AM7" s="50">
        <f t="shared" si="21"/>
        <v>1</v>
      </c>
      <c r="AN7" s="50">
        <f t="shared" si="22"/>
        <v>1</v>
      </c>
      <c r="AO7" s="50">
        <f t="shared" si="23"/>
        <v>1</v>
      </c>
      <c r="AP7" s="50">
        <f t="shared" si="24"/>
        <v>3</v>
      </c>
      <c r="AQ7" s="50">
        <f t="shared" si="25"/>
        <v>100</v>
      </c>
      <c r="AR7" s="36" t="s">
        <v>2166</v>
      </c>
      <c r="AS7" s="36" t="s">
        <v>2166</v>
      </c>
      <c r="AT7" s="36" t="s">
        <v>2166</v>
      </c>
      <c r="AU7" s="37">
        <f t="shared" si="26"/>
        <v>1</v>
      </c>
      <c r="AV7" s="37">
        <f t="shared" si="27"/>
        <v>1</v>
      </c>
      <c r="AW7" s="37">
        <f t="shared" si="28"/>
        <v>1</v>
      </c>
      <c r="AX7" s="37">
        <f t="shared" si="29"/>
        <v>0</v>
      </c>
      <c r="AY7" s="37">
        <f t="shared" si="30"/>
        <v>0</v>
      </c>
      <c r="AZ7" s="36" t="s">
        <v>2167</v>
      </c>
      <c r="BA7" s="36" t="s">
        <v>2167</v>
      </c>
      <c r="BB7" s="37">
        <f t="shared" si="31"/>
        <v>1</v>
      </c>
      <c r="BC7" s="37">
        <f t="shared" si="32"/>
        <v>0.75</v>
      </c>
      <c r="BD7" s="37">
        <f t="shared" si="33"/>
        <v>0.75</v>
      </c>
      <c r="BE7" s="37">
        <f t="shared" si="34"/>
        <v>0</v>
      </c>
      <c r="BF7" s="36" t="s">
        <v>2167</v>
      </c>
      <c r="BG7" s="36" t="s">
        <v>2167</v>
      </c>
      <c r="BH7" s="37">
        <f t="shared" si="35"/>
        <v>1</v>
      </c>
      <c r="BI7" s="37">
        <f t="shared" si="36"/>
        <v>0.75</v>
      </c>
      <c r="BJ7" s="37">
        <f t="shared" si="37"/>
        <v>0.75</v>
      </c>
      <c r="BK7" s="37">
        <f t="shared" si="38"/>
        <v>0</v>
      </c>
      <c r="BL7" s="36" t="s">
        <v>2167</v>
      </c>
      <c r="BM7" s="36" t="s">
        <v>2167</v>
      </c>
      <c r="BN7" s="37">
        <f t="shared" si="39"/>
        <v>1</v>
      </c>
      <c r="BO7" s="37">
        <f t="shared" si="40"/>
        <v>0.75</v>
      </c>
      <c r="BP7" s="37">
        <f t="shared" si="41"/>
        <v>0.75</v>
      </c>
      <c r="BQ7" s="37">
        <f t="shared" si="42"/>
        <v>0</v>
      </c>
      <c r="BR7" s="37">
        <f t="shared" si="43"/>
        <v>0</v>
      </c>
      <c r="BS7" s="36" t="s">
        <v>2080</v>
      </c>
      <c r="BT7" s="36" t="s">
        <v>2080</v>
      </c>
      <c r="BU7" s="36" t="s">
        <v>2080</v>
      </c>
      <c r="BV7" s="36" t="s">
        <v>2080</v>
      </c>
      <c r="BW7" s="37">
        <f t="shared" si="44"/>
        <v>0</v>
      </c>
      <c r="BX7" s="37">
        <f t="shared" si="45"/>
        <v>0</v>
      </c>
      <c r="BY7" s="37">
        <f t="shared" si="46"/>
        <v>0</v>
      </c>
      <c r="BZ7" s="37">
        <f t="shared" si="47"/>
        <v>0</v>
      </c>
      <c r="CA7" s="37">
        <f t="shared" si="48"/>
        <v>0</v>
      </c>
      <c r="CB7" s="37">
        <f t="shared" si="49"/>
        <v>0</v>
      </c>
      <c r="CC7" s="37">
        <f t="shared" si="50"/>
        <v>0</v>
      </c>
      <c r="CD7" s="37">
        <f t="shared" si="51"/>
        <v>0</v>
      </c>
      <c r="CE7" s="36" t="s">
        <v>2067</v>
      </c>
      <c r="CF7" s="36" t="s">
        <v>2067</v>
      </c>
      <c r="CG7" s="36" t="s">
        <v>2067</v>
      </c>
      <c r="CH7" s="36" t="s">
        <v>2080</v>
      </c>
      <c r="CI7" s="37">
        <f t="shared" si="52"/>
        <v>0</v>
      </c>
      <c r="CJ7" s="37">
        <f t="shared" si="53"/>
        <v>0</v>
      </c>
      <c r="CK7" s="37">
        <f t="shared" si="54"/>
        <v>0</v>
      </c>
      <c r="CL7" s="37">
        <f t="shared" si="55"/>
        <v>0</v>
      </c>
      <c r="CM7" s="37">
        <f t="shared" si="56"/>
        <v>0</v>
      </c>
      <c r="CN7" s="37">
        <f t="shared" si="57"/>
        <v>0</v>
      </c>
      <c r="CO7" s="37">
        <f t="shared" si="58"/>
        <v>0</v>
      </c>
      <c r="CP7" s="37">
        <f t="shared" si="59"/>
        <v>0</v>
      </c>
      <c r="CQ7" s="37">
        <f t="shared" si="60"/>
        <v>3.3333333333333339</v>
      </c>
      <c r="CR7" s="37">
        <f t="shared" si="61"/>
        <v>5</v>
      </c>
      <c r="CS7" s="37">
        <f t="shared" si="62"/>
        <v>0</v>
      </c>
      <c r="CT7" s="37">
        <f t="shared" si="63"/>
        <v>10</v>
      </c>
      <c r="CU7" s="37">
        <f t="shared" si="64"/>
        <v>0</v>
      </c>
      <c r="CV7" s="37">
        <f t="shared" si="65"/>
        <v>0</v>
      </c>
      <c r="CW7" s="37">
        <f t="shared" si="66"/>
        <v>0</v>
      </c>
      <c r="CX7" s="37">
        <f t="shared" si="67"/>
        <v>0</v>
      </c>
      <c r="CY7" s="37">
        <f t="shared" si="68"/>
        <v>0</v>
      </c>
      <c r="CZ7" s="37">
        <f t="shared" si="69"/>
        <v>18.333333333333336</v>
      </c>
    </row>
    <row r="8" spans="1:104" x14ac:dyDescent="0.25">
      <c r="A8" s="10" t="s">
        <v>2170</v>
      </c>
      <c r="B8" s="53" t="s">
        <v>1947</v>
      </c>
      <c r="C8" s="53" t="s">
        <v>1948</v>
      </c>
      <c r="D8" s="53" t="s">
        <v>1947</v>
      </c>
      <c r="E8" s="61">
        <f t="shared" si="0"/>
        <v>0</v>
      </c>
      <c r="F8" s="61">
        <f t="shared" si="1"/>
        <v>1</v>
      </c>
      <c r="G8" s="61">
        <f t="shared" si="2"/>
        <v>0</v>
      </c>
      <c r="H8" s="61">
        <f t="shared" si="3"/>
        <v>1</v>
      </c>
      <c r="I8" s="53" t="s">
        <v>2165</v>
      </c>
      <c r="J8" s="53" t="s">
        <v>2165</v>
      </c>
      <c r="K8" s="53" t="s">
        <v>1948</v>
      </c>
      <c r="L8" s="61">
        <f t="shared" si="4"/>
        <v>0</v>
      </c>
      <c r="M8" s="61">
        <f t="shared" si="5"/>
        <v>0</v>
      </c>
      <c r="N8" s="61">
        <f t="shared" si="6"/>
        <v>1</v>
      </c>
      <c r="O8" s="61">
        <f t="shared" si="7"/>
        <v>1</v>
      </c>
      <c r="P8" s="61">
        <f t="shared" si="8"/>
        <v>33.333333333333336</v>
      </c>
      <c r="Q8" s="53" t="s">
        <v>1948</v>
      </c>
      <c r="R8" s="53" t="s">
        <v>1947</v>
      </c>
      <c r="S8" s="61">
        <f t="shared" si="9"/>
        <v>1</v>
      </c>
      <c r="T8" s="61">
        <f t="shared" si="10"/>
        <v>0</v>
      </c>
      <c r="U8" s="61">
        <f t="shared" si="11"/>
        <v>1</v>
      </c>
      <c r="V8" s="61">
        <f t="shared" si="12"/>
        <v>50</v>
      </c>
      <c r="W8" s="53" t="s">
        <v>1947</v>
      </c>
      <c r="X8" s="53" t="s">
        <v>1947</v>
      </c>
      <c r="Y8" s="53" t="s">
        <v>1947</v>
      </c>
      <c r="Z8" s="53" t="s">
        <v>1947</v>
      </c>
      <c r="AA8" s="53" t="s">
        <v>1947</v>
      </c>
      <c r="AB8" s="50">
        <f t="shared" si="13"/>
        <v>0</v>
      </c>
      <c r="AC8" s="50">
        <f t="shared" si="14"/>
        <v>0</v>
      </c>
      <c r="AD8" s="50">
        <f t="shared" si="15"/>
        <v>0</v>
      </c>
      <c r="AE8" s="50">
        <f t="shared" si="16"/>
        <v>0</v>
      </c>
      <c r="AF8" s="50">
        <f t="shared" si="17"/>
        <v>0</v>
      </c>
      <c r="AG8" s="50">
        <f t="shared" si="18"/>
        <v>0</v>
      </c>
      <c r="AH8" s="51">
        <f t="shared" si="19"/>
        <v>0</v>
      </c>
      <c r="AI8" s="51">
        <f t="shared" si="20"/>
        <v>83.333333333333343</v>
      </c>
      <c r="AJ8" s="53" t="s">
        <v>1948</v>
      </c>
      <c r="AK8" s="53" t="s">
        <v>1948</v>
      </c>
      <c r="AL8" s="53" t="s">
        <v>1948</v>
      </c>
      <c r="AM8" s="50">
        <f t="shared" si="21"/>
        <v>1</v>
      </c>
      <c r="AN8" s="50">
        <f t="shared" si="22"/>
        <v>1</v>
      </c>
      <c r="AO8" s="50">
        <f t="shared" si="23"/>
        <v>1</v>
      </c>
      <c r="AP8" s="50">
        <f t="shared" si="24"/>
        <v>3</v>
      </c>
      <c r="AQ8" s="50">
        <f t="shared" si="25"/>
        <v>100</v>
      </c>
      <c r="AR8" s="36" t="s">
        <v>2166</v>
      </c>
      <c r="AS8" s="36" t="s">
        <v>2166</v>
      </c>
      <c r="AT8" s="36" t="s">
        <v>2166</v>
      </c>
      <c r="AU8" s="37">
        <f t="shared" si="26"/>
        <v>1</v>
      </c>
      <c r="AV8" s="37">
        <f t="shared" si="27"/>
        <v>1</v>
      </c>
      <c r="AW8" s="37">
        <f t="shared" si="28"/>
        <v>1</v>
      </c>
      <c r="AX8" s="37">
        <f t="shared" si="29"/>
        <v>0</v>
      </c>
      <c r="AY8" s="37">
        <f t="shared" si="30"/>
        <v>0</v>
      </c>
      <c r="AZ8" s="36" t="s">
        <v>2167</v>
      </c>
      <c r="BA8" s="36" t="s">
        <v>2167</v>
      </c>
      <c r="BB8" s="37">
        <f t="shared" si="31"/>
        <v>1</v>
      </c>
      <c r="BC8" s="37">
        <f t="shared" si="32"/>
        <v>0.75</v>
      </c>
      <c r="BD8" s="37">
        <f t="shared" si="33"/>
        <v>0.75</v>
      </c>
      <c r="BE8" s="37">
        <f t="shared" si="34"/>
        <v>0</v>
      </c>
      <c r="BF8" s="36" t="s">
        <v>2167</v>
      </c>
      <c r="BG8" s="36" t="s">
        <v>2167</v>
      </c>
      <c r="BH8" s="37">
        <f t="shared" si="35"/>
        <v>1</v>
      </c>
      <c r="BI8" s="37">
        <f t="shared" si="36"/>
        <v>0.75</v>
      </c>
      <c r="BJ8" s="37">
        <f t="shared" si="37"/>
        <v>0.75</v>
      </c>
      <c r="BK8" s="37">
        <f t="shared" si="38"/>
        <v>0</v>
      </c>
      <c r="BL8" s="36" t="s">
        <v>2167</v>
      </c>
      <c r="BM8" s="36" t="s">
        <v>2167</v>
      </c>
      <c r="BN8" s="37">
        <f t="shared" si="39"/>
        <v>1</v>
      </c>
      <c r="BO8" s="37">
        <f t="shared" si="40"/>
        <v>0.75</v>
      </c>
      <c r="BP8" s="37">
        <f t="shared" si="41"/>
        <v>0.75</v>
      </c>
      <c r="BQ8" s="37">
        <f t="shared" si="42"/>
        <v>0</v>
      </c>
      <c r="BR8" s="37">
        <f t="shared" si="43"/>
        <v>0</v>
      </c>
      <c r="BS8" s="36" t="s">
        <v>2080</v>
      </c>
      <c r="BT8" s="36" t="s">
        <v>2080</v>
      </c>
      <c r="BU8" s="36" t="s">
        <v>2080</v>
      </c>
      <c r="BV8" s="36" t="s">
        <v>2080</v>
      </c>
      <c r="BW8" s="37">
        <f t="shared" si="44"/>
        <v>0</v>
      </c>
      <c r="BX8" s="37">
        <f t="shared" si="45"/>
        <v>0</v>
      </c>
      <c r="BY8" s="37">
        <f t="shared" si="46"/>
        <v>0</v>
      </c>
      <c r="BZ8" s="37">
        <f t="shared" si="47"/>
        <v>0</v>
      </c>
      <c r="CA8" s="37">
        <f t="shared" si="48"/>
        <v>0</v>
      </c>
      <c r="CB8" s="37">
        <f t="shared" si="49"/>
        <v>0</v>
      </c>
      <c r="CC8" s="37">
        <f t="shared" si="50"/>
        <v>0</v>
      </c>
      <c r="CD8" s="37">
        <f t="shared" si="51"/>
        <v>0</v>
      </c>
      <c r="CE8" s="36" t="s">
        <v>2067</v>
      </c>
      <c r="CF8" s="36" t="s">
        <v>2067</v>
      </c>
      <c r="CG8" s="36" t="s">
        <v>2067</v>
      </c>
      <c r="CH8" s="36" t="s">
        <v>2080</v>
      </c>
      <c r="CI8" s="37">
        <f t="shared" si="52"/>
        <v>0</v>
      </c>
      <c r="CJ8" s="37">
        <f t="shared" si="53"/>
        <v>0</v>
      </c>
      <c r="CK8" s="37">
        <f t="shared" si="54"/>
        <v>0</v>
      </c>
      <c r="CL8" s="37">
        <f t="shared" si="55"/>
        <v>0</v>
      </c>
      <c r="CM8" s="37">
        <f t="shared" si="56"/>
        <v>0</v>
      </c>
      <c r="CN8" s="37">
        <f t="shared" si="57"/>
        <v>0</v>
      </c>
      <c r="CO8" s="37">
        <f t="shared" si="58"/>
        <v>0</v>
      </c>
      <c r="CP8" s="37">
        <f t="shared" si="59"/>
        <v>0</v>
      </c>
      <c r="CQ8" s="37">
        <f t="shared" si="60"/>
        <v>3.3333333333333339</v>
      </c>
      <c r="CR8" s="37">
        <f t="shared" si="61"/>
        <v>5</v>
      </c>
      <c r="CS8" s="37">
        <f t="shared" si="62"/>
        <v>0</v>
      </c>
      <c r="CT8" s="37">
        <f t="shared" si="63"/>
        <v>10</v>
      </c>
      <c r="CU8" s="37">
        <f t="shared" si="64"/>
        <v>0</v>
      </c>
      <c r="CV8" s="37">
        <f t="shared" si="65"/>
        <v>0</v>
      </c>
      <c r="CW8" s="37">
        <f t="shared" si="66"/>
        <v>0</v>
      </c>
      <c r="CX8" s="37">
        <f t="shared" si="67"/>
        <v>0</v>
      </c>
      <c r="CY8" s="37">
        <f t="shared" si="68"/>
        <v>0</v>
      </c>
      <c r="CZ8" s="37">
        <f t="shared" si="69"/>
        <v>18.333333333333336</v>
      </c>
    </row>
    <row r="9" spans="1:104" x14ac:dyDescent="0.25">
      <c r="A9" s="10" t="s">
        <v>2171</v>
      </c>
      <c r="B9" s="53" t="s">
        <v>1947</v>
      </c>
      <c r="C9" s="53" t="s">
        <v>1948</v>
      </c>
      <c r="D9" s="53" t="s">
        <v>1947</v>
      </c>
      <c r="E9" s="61">
        <f t="shared" si="0"/>
        <v>0</v>
      </c>
      <c r="F9" s="61">
        <f t="shared" si="1"/>
        <v>1</v>
      </c>
      <c r="G9" s="61">
        <f t="shared" si="2"/>
        <v>0</v>
      </c>
      <c r="H9" s="61">
        <f t="shared" si="3"/>
        <v>1</v>
      </c>
      <c r="I9" s="53" t="s">
        <v>2165</v>
      </c>
      <c r="J9" s="53" t="s">
        <v>2165</v>
      </c>
      <c r="K9" s="53" t="s">
        <v>1948</v>
      </c>
      <c r="L9" s="61">
        <f t="shared" si="4"/>
        <v>0</v>
      </c>
      <c r="M9" s="61">
        <f t="shared" si="5"/>
        <v>0</v>
      </c>
      <c r="N9" s="61">
        <f t="shared" si="6"/>
        <v>1</v>
      </c>
      <c r="O9" s="61">
        <f t="shared" si="7"/>
        <v>1</v>
      </c>
      <c r="P9" s="61">
        <f t="shared" si="8"/>
        <v>33.333333333333336</v>
      </c>
      <c r="Q9" s="53" t="s">
        <v>1948</v>
      </c>
      <c r="R9" s="53" t="s">
        <v>1947</v>
      </c>
      <c r="S9" s="61">
        <f t="shared" si="9"/>
        <v>1</v>
      </c>
      <c r="T9" s="61">
        <f t="shared" si="10"/>
        <v>0</v>
      </c>
      <c r="U9" s="61">
        <f t="shared" si="11"/>
        <v>1</v>
      </c>
      <c r="V9" s="61">
        <f t="shared" si="12"/>
        <v>50</v>
      </c>
      <c r="W9" s="53" t="s">
        <v>1947</v>
      </c>
      <c r="X9" s="53" t="s">
        <v>1947</v>
      </c>
      <c r="Y9" s="53" t="s">
        <v>1947</v>
      </c>
      <c r="Z9" s="53" t="s">
        <v>1947</v>
      </c>
      <c r="AA9" s="53" t="s">
        <v>1947</v>
      </c>
      <c r="AB9" s="50">
        <f t="shared" si="13"/>
        <v>0</v>
      </c>
      <c r="AC9" s="50">
        <f t="shared" si="14"/>
        <v>0</v>
      </c>
      <c r="AD9" s="50">
        <f t="shared" si="15"/>
        <v>0</v>
      </c>
      <c r="AE9" s="50">
        <f t="shared" si="16"/>
        <v>0</v>
      </c>
      <c r="AF9" s="50">
        <f t="shared" si="17"/>
        <v>0</v>
      </c>
      <c r="AG9" s="50">
        <f t="shared" si="18"/>
        <v>0</v>
      </c>
      <c r="AH9" s="51">
        <f t="shared" si="19"/>
        <v>0</v>
      </c>
      <c r="AI9" s="51">
        <f t="shared" si="20"/>
        <v>83.333333333333343</v>
      </c>
      <c r="AJ9" s="53" t="s">
        <v>1948</v>
      </c>
      <c r="AK9" s="53" t="s">
        <v>1948</v>
      </c>
      <c r="AL9" s="53" t="s">
        <v>1948</v>
      </c>
      <c r="AM9" s="50">
        <f t="shared" si="21"/>
        <v>1</v>
      </c>
      <c r="AN9" s="50">
        <f t="shared" si="22"/>
        <v>1</v>
      </c>
      <c r="AO9" s="50">
        <f t="shared" si="23"/>
        <v>1</v>
      </c>
      <c r="AP9" s="50">
        <f t="shared" si="24"/>
        <v>3</v>
      </c>
      <c r="AQ9" s="50">
        <f t="shared" si="25"/>
        <v>100</v>
      </c>
      <c r="AR9" s="36" t="s">
        <v>2166</v>
      </c>
      <c r="AS9" s="36" t="s">
        <v>2166</v>
      </c>
      <c r="AT9" s="36" t="s">
        <v>2166</v>
      </c>
      <c r="AU9" s="37">
        <f t="shared" si="26"/>
        <v>1</v>
      </c>
      <c r="AV9" s="37">
        <f t="shared" si="27"/>
        <v>1</v>
      </c>
      <c r="AW9" s="37">
        <f t="shared" si="28"/>
        <v>1</v>
      </c>
      <c r="AX9" s="37">
        <f t="shared" si="29"/>
        <v>0</v>
      </c>
      <c r="AY9" s="37">
        <f t="shared" si="30"/>
        <v>0</v>
      </c>
      <c r="AZ9" s="36" t="s">
        <v>2167</v>
      </c>
      <c r="BA9" s="36" t="s">
        <v>2167</v>
      </c>
      <c r="BB9" s="37">
        <f t="shared" si="31"/>
        <v>1</v>
      </c>
      <c r="BC9" s="37">
        <f t="shared" si="32"/>
        <v>0.75</v>
      </c>
      <c r="BD9" s="37">
        <f t="shared" si="33"/>
        <v>0.75</v>
      </c>
      <c r="BE9" s="37">
        <f t="shared" si="34"/>
        <v>0</v>
      </c>
      <c r="BF9" s="36" t="s">
        <v>2167</v>
      </c>
      <c r="BG9" s="36" t="s">
        <v>2167</v>
      </c>
      <c r="BH9" s="37">
        <f t="shared" si="35"/>
        <v>1</v>
      </c>
      <c r="BI9" s="37">
        <f t="shared" si="36"/>
        <v>0.75</v>
      </c>
      <c r="BJ9" s="37">
        <f t="shared" si="37"/>
        <v>0.75</v>
      </c>
      <c r="BK9" s="37">
        <f t="shared" si="38"/>
        <v>0</v>
      </c>
      <c r="BL9" s="36" t="s">
        <v>2167</v>
      </c>
      <c r="BM9" s="36" t="s">
        <v>2167</v>
      </c>
      <c r="BN9" s="37">
        <f t="shared" si="39"/>
        <v>1</v>
      </c>
      <c r="BO9" s="37">
        <f t="shared" si="40"/>
        <v>0.75</v>
      </c>
      <c r="BP9" s="37">
        <f t="shared" si="41"/>
        <v>0.75</v>
      </c>
      <c r="BQ9" s="37">
        <f t="shared" si="42"/>
        <v>0</v>
      </c>
      <c r="BR9" s="37">
        <f t="shared" si="43"/>
        <v>0</v>
      </c>
      <c r="BS9" s="36" t="s">
        <v>2080</v>
      </c>
      <c r="BT9" s="36" t="s">
        <v>2080</v>
      </c>
      <c r="BU9" s="36" t="s">
        <v>2080</v>
      </c>
      <c r="BV9" s="36" t="s">
        <v>2080</v>
      </c>
      <c r="BW9" s="37">
        <f t="shared" si="44"/>
        <v>0</v>
      </c>
      <c r="BX9" s="37">
        <f t="shared" si="45"/>
        <v>0</v>
      </c>
      <c r="BY9" s="37">
        <f t="shared" si="46"/>
        <v>0</v>
      </c>
      <c r="BZ9" s="37">
        <f t="shared" si="47"/>
        <v>0</v>
      </c>
      <c r="CA9" s="37">
        <f t="shared" si="48"/>
        <v>0</v>
      </c>
      <c r="CB9" s="37">
        <f t="shared" si="49"/>
        <v>0</v>
      </c>
      <c r="CC9" s="37">
        <f t="shared" si="50"/>
        <v>0</v>
      </c>
      <c r="CD9" s="37">
        <f t="shared" si="51"/>
        <v>0</v>
      </c>
      <c r="CE9" s="36" t="s">
        <v>2067</v>
      </c>
      <c r="CF9" s="36" t="s">
        <v>2067</v>
      </c>
      <c r="CG9" s="36" t="s">
        <v>2067</v>
      </c>
      <c r="CH9" s="36" t="s">
        <v>2080</v>
      </c>
      <c r="CI9" s="37">
        <f t="shared" si="52"/>
        <v>0</v>
      </c>
      <c r="CJ9" s="37">
        <f t="shared" si="53"/>
        <v>0</v>
      </c>
      <c r="CK9" s="37">
        <f t="shared" si="54"/>
        <v>0</v>
      </c>
      <c r="CL9" s="37">
        <f t="shared" si="55"/>
        <v>0</v>
      </c>
      <c r="CM9" s="37">
        <f t="shared" si="56"/>
        <v>0</v>
      </c>
      <c r="CN9" s="37">
        <f t="shared" si="57"/>
        <v>0</v>
      </c>
      <c r="CO9" s="37">
        <f t="shared" si="58"/>
        <v>0</v>
      </c>
      <c r="CP9" s="37">
        <f t="shared" si="59"/>
        <v>0</v>
      </c>
      <c r="CQ9" s="37">
        <f t="shared" si="60"/>
        <v>3.3333333333333339</v>
      </c>
      <c r="CR9" s="37">
        <f t="shared" si="61"/>
        <v>5</v>
      </c>
      <c r="CS9" s="37">
        <f t="shared" si="62"/>
        <v>0</v>
      </c>
      <c r="CT9" s="37">
        <f t="shared" si="63"/>
        <v>10</v>
      </c>
      <c r="CU9" s="37">
        <f t="shared" si="64"/>
        <v>0</v>
      </c>
      <c r="CV9" s="37">
        <f t="shared" si="65"/>
        <v>0</v>
      </c>
      <c r="CW9" s="37">
        <f t="shared" si="66"/>
        <v>0</v>
      </c>
      <c r="CX9" s="37">
        <f t="shared" si="67"/>
        <v>0</v>
      </c>
      <c r="CY9" s="37">
        <f t="shared" si="68"/>
        <v>0</v>
      </c>
      <c r="CZ9" s="37">
        <f t="shared" si="69"/>
        <v>18.333333333333336</v>
      </c>
    </row>
    <row r="10" spans="1:104" x14ac:dyDescent="0.25">
      <c r="A10" s="10" t="s">
        <v>2172</v>
      </c>
      <c r="B10" s="53" t="s">
        <v>1947</v>
      </c>
      <c r="C10" s="53" t="s">
        <v>1948</v>
      </c>
      <c r="D10" s="53" t="s">
        <v>1947</v>
      </c>
      <c r="E10" s="61">
        <f t="shared" si="0"/>
        <v>0</v>
      </c>
      <c r="F10" s="61">
        <f t="shared" si="1"/>
        <v>1</v>
      </c>
      <c r="G10" s="61">
        <f t="shared" si="2"/>
        <v>0</v>
      </c>
      <c r="H10" s="61">
        <f t="shared" si="3"/>
        <v>1</v>
      </c>
      <c r="I10" s="53" t="s">
        <v>2165</v>
      </c>
      <c r="J10" s="53" t="s">
        <v>2165</v>
      </c>
      <c r="K10" s="53" t="s">
        <v>1948</v>
      </c>
      <c r="L10" s="61">
        <f t="shared" si="4"/>
        <v>0</v>
      </c>
      <c r="M10" s="61">
        <f t="shared" si="5"/>
        <v>0</v>
      </c>
      <c r="N10" s="61">
        <f t="shared" si="6"/>
        <v>1</v>
      </c>
      <c r="O10" s="61">
        <f t="shared" si="7"/>
        <v>1</v>
      </c>
      <c r="P10" s="61">
        <f t="shared" si="8"/>
        <v>33.333333333333336</v>
      </c>
      <c r="Q10" s="53" t="s">
        <v>1948</v>
      </c>
      <c r="R10" s="53" t="s">
        <v>1947</v>
      </c>
      <c r="S10" s="61">
        <f t="shared" si="9"/>
        <v>1</v>
      </c>
      <c r="T10" s="61">
        <f t="shared" si="10"/>
        <v>0</v>
      </c>
      <c r="U10" s="61">
        <f t="shared" si="11"/>
        <v>1</v>
      </c>
      <c r="V10" s="61">
        <f t="shared" si="12"/>
        <v>50</v>
      </c>
      <c r="W10" s="53" t="s">
        <v>1947</v>
      </c>
      <c r="X10" s="53" t="s">
        <v>1947</v>
      </c>
      <c r="Y10" s="53" t="s">
        <v>1947</v>
      </c>
      <c r="Z10" s="53" t="s">
        <v>1947</v>
      </c>
      <c r="AA10" s="53" t="s">
        <v>1947</v>
      </c>
      <c r="AB10" s="50">
        <f t="shared" si="13"/>
        <v>0</v>
      </c>
      <c r="AC10" s="50">
        <f t="shared" si="14"/>
        <v>0</v>
      </c>
      <c r="AD10" s="50">
        <f t="shared" si="15"/>
        <v>0</v>
      </c>
      <c r="AE10" s="50">
        <f t="shared" si="16"/>
        <v>0</v>
      </c>
      <c r="AF10" s="50">
        <f t="shared" si="17"/>
        <v>0</v>
      </c>
      <c r="AG10" s="50">
        <f t="shared" si="18"/>
        <v>0</v>
      </c>
      <c r="AH10" s="51">
        <f t="shared" si="19"/>
        <v>0</v>
      </c>
      <c r="AI10" s="51">
        <f t="shared" si="20"/>
        <v>83.333333333333343</v>
      </c>
      <c r="AJ10" s="53" t="s">
        <v>1948</v>
      </c>
      <c r="AK10" s="53" t="s">
        <v>1948</v>
      </c>
      <c r="AL10" s="53" t="s">
        <v>1948</v>
      </c>
      <c r="AM10" s="50">
        <f t="shared" si="21"/>
        <v>1</v>
      </c>
      <c r="AN10" s="50">
        <f t="shared" si="22"/>
        <v>1</v>
      </c>
      <c r="AO10" s="50">
        <f t="shared" si="23"/>
        <v>1</v>
      </c>
      <c r="AP10" s="50">
        <f t="shared" si="24"/>
        <v>3</v>
      </c>
      <c r="AQ10" s="50">
        <f t="shared" si="25"/>
        <v>100</v>
      </c>
      <c r="AR10" s="36" t="s">
        <v>2166</v>
      </c>
      <c r="AS10" s="36" t="s">
        <v>2166</v>
      </c>
      <c r="AT10" s="36" t="s">
        <v>2166</v>
      </c>
      <c r="AU10" s="37">
        <f t="shared" si="26"/>
        <v>1</v>
      </c>
      <c r="AV10" s="37">
        <f t="shared" si="27"/>
        <v>1</v>
      </c>
      <c r="AW10" s="37">
        <f t="shared" si="28"/>
        <v>1</v>
      </c>
      <c r="AX10" s="37">
        <f t="shared" si="29"/>
        <v>0</v>
      </c>
      <c r="AY10" s="37">
        <f t="shared" si="30"/>
        <v>0</v>
      </c>
      <c r="AZ10" s="36" t="s">
        <v>2167</v>
      </c>
      <c r="BA10" s="36" t="s">
        <v>2167</v>
      </c>
      <c r="BB10" s="37">
        <f t="shared" si="31"/>
        <v>1</v>
      </c>
      <c r="BC10" s="37">
        <f t="shared" si="32"/>
        <v>0.75</v>
      </c>
      <c r="BD10" s="37">
        <f t="shared" si="33"/>
        <v>0.75</v>
      </c>
      <c r="BE10" s="37">
        <f t="shared" si="34"/>
        <v>0</v>
      </c>
      <c r="BF10" s="36" t="s">
        <v>2167</v>
      </c>
      <c r="BG10" s="36" t="s">
        <v>2167</v>
      </c>
      <c r="BH10" s="37">
        <f t="shared" si="35"/>
        <v>1</v>
      </c>
      <c r="BI10" s="37">
        <f t="shared" si="36"/>
        <v>0.75</v>
      </c>
      <c r="BJ10" s="37">
        <f t="shared" si="37"/>
        <v>0.75</v>
      </c>
      <c r="BK10" s="37">
        <f t="shared" si="38"/>
        <v>0</v>
      </c>
      <c r="BL10" s="36" t="s">
        <v>2167</v>
      </c>
      <c r="BM10" s="36" t="s">
        <v>2167</v>
      </c>
      <c r="BN10" s="37">
        <f t="shared" si="39"/>
        <v>1</v>
      </c>
      <c r="BO10" s="37">
        <f t="shared" si="40"/>
        <v>0.75</v>
      </c>
      <c r="BP10" s="37">
        <f t="shared" si="41"/>
        <v>0.75</v>
      </c>
      <c r="BQ10" s="37">
        <f t="shared" si="42"/>
        <v>0</v>
      </c>
      <c r="BR10" s="37">
        <f t="shared" si="43"/>
        <v>0</v>
      </c>
      <c r="BS10" s="36" t="s">
        <v>2080</v>
      </c>
      <c r="BT10" s="36" t="s">
        <v>2080</v>
      </c>
      <c r="BU10" s="36" t="s">
        <v>2080</v>
      </c>
      <c r="BV10" s="36" t="s">
        <v>2080</v>
      </c>
      <c r="BW10" s="37">
        <f t="shared" si="44"/>
        <v>0</v>
      </c>
      <c r="BX10" s="37">
        <f t="shared" si="45"/>
        <v>0</v>
      </c>
      <c r="BY10" s="37">
        <f t="shared" si="46"/>
        <v>0</v>
      </c>
      <c r="BZ10" s="37">
        <f t="shared" si="47"/>
        <v>0</v>
      </c>
      <c r="CA10" s="37">
        <f t="shared" si="48"/>
        <v>0</v>
      </c>
      <c r="CB10" s="37">
        <f t="shared" si="49"/>
        <v>0</v>
      </c>
      <c r="CC10" s="37">
        <f t="shared" si="50"/>
        <v>0</v>
      </c>
      <c r="CD10" s="37">
        <f t="shared" si="51"/>
        <v>0</v>
      </c>
      <c r="CE10" s="36" t="s">
        <v>2067</v>
      </c>
      <c r="CF10" s="36" t="s">
        <v>2067</v>
      </c>
      <c r="CG10" s="36" t="s">
        <v>2067</v>
      </c>
      <c r="CH10" s="36" t="s">
        <v>2080</v>
      </c>
      <c r="CI10" s="37">
        <f t="shared" si="52"/>
        <v>0</v>
      </c>
      <c r="CJ10" s="37">
        <f t="shared" si="53"/>
        <v>0</v>
      </c>
      <c r="CK10" s="37">
        <f t="shared" si="54"/>
        <v>0</v>
      </c>
      <c r="CL10" s="37">
        <f t="shared" si="55"/>
        <v>0</v>
      </c>
      <c r="CM10" s="37">
        <f t="shared" si="56"/>
        <v>0</v>
      </c>
      <c r="CN10" s="37">
        <f t="shared" si="57"/>
        <v>0</v>
      </c>
      <c r="CO10" s="37">
        <f t="shared" si="58"/>
        <v>0</v>
      </c>
      <c r="CP10" s="37">
        <f t="shared" si="59"/>
        <v>0</v>
      </c>
      <c r="CQ10" s="37">
        <f t="shared" si="60"/>
        <v>3.3333333333333339</v>
      </c>
      <c r="CR10" s="37">
        <f t="shared" si="61"/>
        <v>5</v>
      </c>
      <c r="CS10" s="37">
        <f t="shared" si="62"/>
        <v>0</v>
      </c>
      <c r="CT10" s="37">
        <f t="shared" si="63"/>
        <v>10</v>
      </c>
      <c r="CU10" s="37">
        <f t="shared" si="64"/>
        <v>0</v>
      </c>
      <c r="CV10" s="37">
        <f t="shared" si="65"/>
        <v>0</v>
      </c>
      <c r="CW10" s="37">
        <f t="shared" si="66"/>
        <v>0</v>
      </c>
      <c r="CX10" s="37">
        <f t="shared" si="67"/>
        <v>0</v>
      </c>
      <c r="CY10" s="37">
        <f t="shared" si="68"/>
        <v>0</v>
      </c>
      <c r="CZ10" s="37">
        <f t="shared" si="69"/>
        <v>18.333333333333336</v>
      </c>
    </row>
    <row r="11" spans="1:104" x14ac:dyDescent="0.25">
      <c r="A11" s="10" t="s">
        <v>2173</v>
      </c>
      <c r="B11" s="53" t="s">
        <v>1947</v>
      </c>
      <c r="C11" s="53" t="s">
        <v>1948</v>
      </c>
      <c r="D11" s="53" t="s">
        <v>1947</v>
      </c>
      <c r="E11" s="61">
        <f t="shared" si="0"/>
        <v>0</v>
      </c>
      <c r="F11" s="61">
        <f t="shared" si="1"/>
        <v>1</v>
      </c>
      <c r="G11" s="61">
        <f t="shared" si="2"/>
        <v>0</v>
      </c>
      <c r="H11" s="61">
        <f t="shared" si="3"/>
        <v>1</v>
      </c>
      <c r="I11" s="53" t="s">
        <v>2165</v>
      </c>
      <c r="J11" s="53" t="s">
        <v>2165</v>
      </c>
      <c r="K11" s="53" t="s">
        <v>1948</v>
      </c>
      <c r="L11" s="61">
        <f t="shared" si="4"/>
        <v>0</v>
      </c>
      <c r="M11" s="61">
        <f t="shared" si="5"/>
        <v>0</v>
      </c>
      <c r="N11" s="61">
        <f t="shared" si="6"/>
        <v>1</v>
      </c>
      <c r="O11" s="61">
        <f t="shared" si="7"/>
        <v>1</v>
      </c>
      <c r="P11" s="61">
        <f t="shared" si="8"/>
        <v>33.333333333333336</v>
      </c>
      <c r="Q11" s="53" t="s">
        <v>1948</v>
      </c>
      <c r="R11" s="53" t="s">
        <v>1947</v>
      </c>
      <c r="S11" s="61">
        <f t="shared" si="9"/>
        <v>1</v>
      </c>
      <c r="T11" s="61">
        <f t="shared" si="10"/>
        <v>0</v>
      </c>
      <c r="U11" s="61">
        <f t="shared" si="11"/>
        <v>1</v>
      </c>
      <c r="V11" s="61">
        <f t="shared" si="12"/>
        <v>50</v>
      </c>
      <c r="W11" s="53" t="s">
        <v>1947</v>
      </c>
      <c r="X11" s="53" t="s">
        <v>1947</v>
      </c>
      <c r="Y11" s="53" t="s">
        <v>1947</v>
      </c>
      <c r="Z11" s="53" t="s">
        <v>1947</v>
      </c>
      <c r="AA11" s="53" t="s">
        <v>1947</v>
      </c>
      <c r="AB11" s="50">
        <f t="shared" si="13"/>
        <v>0</v>
      </c>
      <c r="AC11" s="50">
        <f t="shared" si="14"/>
        <v>0</v>
      </c>
      <c r="AD11" s="50">
        <f t="shared" si="15"/>
        <v>0</v>
      </c>
      <c r="AE11" s="50">
        <f t="shared" si="16"/>
        <v>0</v>
      </c>
      <c r="AF11" s="50">
        <f t="shared" si="17"/>
        <v>0</v>
      </c>
      <c r="AG11" s="50">
        <f t="shared" si="18"/>
        <v>0</v>
      </c>
      <c r="AH11" s="51">
        <f t="shared" si="19"/>
        <v>0</v>
      </c>
      <c r="AI11" s="51">
        <f t="shared" si="20"/>
        <v>83.333333333333343</v>
      </c>
      <c r="AJ11" s="53" t="s">
        <v>1948</v>
      </c>
      <c r="AK11" s="53" t="s">
        <v>1948</v>
      </c>
      <c r="AL11" s="53" t="s">
        <v>1948</v>
      </c>
      <c r="AM11" s="50">
        <f t="shared" si="21"/>
        <v>1</v>
      </c>
      <c r="AN11" s="50">
        <f t="shared" si="22"/>
        <v>1</v>
      </c>
      <c r="AO11" s="50">
        <f t="shared" si="23"/>
        <v>1</v>
      </c>
      <c r="AP11" s="50">
        <f t="shared" si="24"/>
        <v>3</v>
      </c>
      <c r="AQ11" s="50">
        <f t="shared" si="25"/>
        <v>100</v>
      </c>
      <c r="AR11" s="36" t="s">
        <v>2166</v>
      </c>
      <c r="AS11" s="36" t="s">
        <v>2166</v>
      </c>
      <c r="AT11" s="36" t="s">
        <v>2166</v>
      </c>
      <c r="AU11" s="37">
        <f t="shared" si="26"/>
        <v>1</v>
      </c>
      <c r="AV11" s="37">
        <f t="shared" si="27"/>
        <v>1</v>
      </c>
      <c r="AW11" s="37">
        <f t="shared" si="28"/>
        <v>1</v>
      </c>
      <c r="AX11" s="37">
        <f t="shared" si="29"/>
        <v>0</v>
      </c>
      <c r="AY11" s="37">
        <f t="shared" si="30"/>
        <v>0</v>
      </c>
      <c r="AZ11" s="36" t="s">
        <v>2167</v>
      </c>
      <c r="BA11" s="36" t="s">
        <v>2167</v>
      </c>
      <c r="BB11" s="37">
        <f t="shared" si="31"/>
        <v>1</v>
      </c>
      <c r="BC11" s="37">
        <f t="shared" si="32"/>
        <v>0.75</v>
      </c>
      <c r="BD11" s="37">
        <f t="shared" si="33"/>
        <v>0.75</v>
      </c>
      <c r="BE11" s="37">
        <f t="shared" si="34"/>
        <v>0</v>
      </c>
      <c r="BF11" s="36" t="s">
        <v>2167</v>
      </c>
      <c r="BG11" s="36" t="s">
        <v>2167</v>
      </c>
      <c r="BH11" s="37">
        <f t="shared" si="35"/>
        <v>1</v>
      </c>
      <c r="BI11" s="37">
        <f t="shared" si="36"/>
        <v>0.75</v>
      </c>
      <c r="BJ11" s="37">
        <f t="shared" si="37"/>
        <v>0.75</v>
      </c>
      <c r="BK11" s="37">
        <f t="shared" si="38"/>
        <v>0</v>
      </c>
      <c r="BL11" s="36" t="s">
        <v>2167</v>
      </c>
      <c r="BM11" s="36" t="s">
        <v>2167</v>
      </c>
      <c r="BN11" s="37">
        <f t="shared" si="39"/>
        <v>1</v>
      </c>
      <c r="BO11" s="37">
        <f t="shared" si="40"/>
        <v>0.75</v>
      </c>
      <c r="BP11" s="37">
        <f t="shared" si="41"/>
        <v>0.75</v>
      </c>
      <c r="BQ11" s="37">
        <f t="shared" si="42"/>
        <v>0</v>
      </c>
      <c r="BR11" s="37">
        <f t="shared" si="43"/>
        <v>0</v>
      </c>
      <c r="BS11" s="36" t="s">
        <v>2080</v>
      </c>
      <c r="BT11" s="36" t="s">
        <v>2080</v>
      </c>
      <c r="BU11" s="36" t="s">
        <v>2080</v>
      </c>
      <c r="BV11" s="36" t="s">
        <v>2080</v>
      </c>
      <c r="BW11" s="37">
        <f t="shared" si="44"/>
        <v>0</v>
      </c>
      <c r="BX11" s="37">
        <f t="shared" si="45"/>
        <v>0</v>
      </c>
      <c r="BY11" s="37">
        <f t="shared" si="46"/>
        <v>0</v>
      </c>
      <c r="BZ11" s="37">
        <f t="shared" si="47"/>
        <v>0</v>
      </c>
      <c r="CA11" s="37">
        <f t="shared" si="48"/>
        <v>0</v>
      </c>
      <c r="CB11" s="37">
        <f t="shared" si="49"/>
        <v>0</v>
      </c>
      <c r="CC11" s="37">
        <f t="shared" si="50"/>
        <v>0</v>
      </c>
      <c r="CD11" s="37">
        <f t="shared" si="51"/>
        <v>0</v>
      </c>
      <c r="CE11" s="36" t="s">
        <v>2067</v>
      </c>
      <c r="CF11" s="36" t="s">
        <v>2067</v>
      </c>
      <c r="CG11" s="36" t="s">
        <v>2067</v>
      </c>
      <c r="CH11" s="36" t="s">
        <v>2080</v>
      </c>
      <c r="CI11" s="37">
        <f t="shared" si="52"/>
        <v>0</v>
      </c>
      <c r="CJ11" s="37">
        <f t="shared" si="53"/>
        <v>0</v>
      </c>
      <c r="CK11" s="37">
        <f t="shared" si="54"/>
        <v>0</v>
      </c>
      <c r="CL11" s="37">
        <f t="shared" si="55"/>
        <v>0</v>
      </c>
      <c r="CM11" s="37">
        <f t="shared" si="56"/>
        <v>0</v>
      </c>
      <c r="CN11" s="37">
        <f t="shared" si="57"/>
        <v>0</v>
      </c>
      <c r="CO11" s="37">
        <f t="shared" si="58"/>
        <v>0</v>
      </c>
      <c r="CP11" s="37">
        <f t="shared" si="59"/>
        <v>0</v>
      </c>
      <c r="CQ11" s="37">
        <f t="shared" si="60"/>
        <v>3.3333333333333339</v>
      </c>
      <c r="CR11" s="37">
        <f t="shared" si="61"/>
        <v>5</v>
      </c>
      <c r="CS11" s="37">
        <f t="shared" si="62"/>
        <v>0</v>
      </c>
      <c r="CT11" s="37">
        <f t="shared" si="63"/>
        <v>10</v>
      </c>
      <c r="CU11" s="37">
        <f t="shared" si="64"/>
        <v>0</v>
      </c>
      <c r="CV11" s="37">
        <f t="shared" si="65"/>
        <v>0</v>
      </c>
      <c r="CW11" s="37">
        <f t="shared" si="66"/>
        <v>0</v>
      </c>
      <c r="CX11" s="37">
        <f t="shared" si="67"/>
        <v>0</v>
      </c>
      <c r="CY11" s="37">
        <f t="shared" si="68"/>
        <v>0</v>
      </c>
      <c r="CZ11" s="37">
        <f t="shared" si="69"/>
        <v>18.333333333333336</v>
      </c>
    </row>
    <row r="12" spans="1:104" x14ac:dyDescent="0.25">
      <c r="A12" s="10" t="s">
        <v>2174</v>
      </c>
      <c r="B12" s="53" t="s">
        <v>1947</v>
      </c>
      <c r="C12" s="53" t="s">
        <v>1948</v>
      </c>
      <c r="D12" s="53" t="s">
        <v>1947</v>
      </c>
      <c r="E12" s="61">
        <f t="shared" si="0"/>
        <v>0</v>
      </c>
      <c r="F12" s="61">
        <f t="shared" si="1"/>
        <v>1</v>
      </c>
      <c r="G12" s="61">
        <f t="shared" si="2"/>
        <v>0</v>
      </c>
      <c r="H12" s="61">
        <f t="shared" si="3"/>
        <v>1</v>
      </c>
      <c r="I12" s="53" t="s">
        <v>2165</v>
      </c>
      <c r="J12" s="53" t="s">
        <v>2165</v>
      </c>
      <c r="K12" s="53" t="s">
        <v>1948</v>
      </c>
      <c r="L12" s="61">
        <f t="shared" si="4"/>
        <v>0</v>
      </c>
      <c r="M12" s="61">
        <f t="shared" si="5"/>
        <v>0</v>
      </c>
      <c r="N12" s="61">
        <f t="shared" si="6"/>
        <v>1</v>
      </c>
      <c r="O12" s="61">
        <f t="shared" si="7"/>
        <v>1</v>
      </c>
      <c r="P12" s="61">
        <f t="shared" si="8"/>
        <v>33.333333333333336</v>
      </c>
      <c r="Q12" s="53" t="s">
        <v>1948</v>
      </c>
      <c r="R12" s="53" t="s">
        <v>1947</v>
      </c>
      <c r="S12" s="61">
        <f t="shared" si="9"/>
        <v>1</v>
      </c>
      <c r="T12" s="61">
        <f t="shared" si="10"/>
        <v>0</v>
      </c>
      <c r="U12" s="61">
        <f t="shared" si="11"/>
        <v>1</v>
      </c>
      <c r="V12" s="61">
        <f t="shared" si="12"/>
        <v>50</v>
      </c>
      <c r="W12" s="53" t="s">
        <v>1947</v>
      </c>
      <c r="X12" s="53" t="s">
        <v>1947</v>
      </c>
      <c r="Y12" s="53" t="s">
        <v>1947</v>
      </c>
      <c r="Z12" s="53" t="s">
        <v>1947</v>
      </c>
      <c r="AA12" s="53" t="s">
        <v>1947</v>
      </c>
      <c r="AB12" s="50">
        <f t="shared" si="13"/>
        <v>0</v>
      </c>
      <c r="AC12" s="50">
        <f t="shared" si="14"/>
        <v>0</v>
      </c>
      <c r="AD12" s="50">
        <f t="shared" si="15"/>
        <v>0</v>
      </c>
      <c r="AE12" s="50">
        <f t="shared" si="16"/>
        <v>0</v>
      </c>
      <c r="AF12" s="50">
        <f t="shared" si="17"/>
        <v>0</v>
      </c>
      <c r="AG12" s="50">
        <f t="shared" si="18"/>
        <v>0</v>
      </c>
      <c r="AH12" s="51">
        <f t="shared" si="19"/>
        <v>0</v>
      </c>
      <c r="AI12" s="51">
        <f t="shared" si="20"/>
        <v>83.333333333333343</v>
      </c>
      <c r="AJ12" s="53" t="s">
        <v>1948</v>
      </c>
      <c r="AK12" s="53" t="s">
        <v>1948</v>
      </c>
      <c r="AL12" s="53" t="s">
        <v>1948</v>
      </c>
      <c r="AM12" s="50">
        <f t="shared" si="21"/>
        <v>1</v>
      </c>
      <c r="AN12" s="50">
        <f t="shared" si="22"/>
        <v>1</v>
      </c>
      <c r="AO12" s="50">
        <f t="shared" si="23"/>
        <v>1</v>
      </c>
      <c r="AP12" s="50">
        <f t="shared" si="24"/>
        <v>3</v>
      </c>
      <c r="AQ12" s="50">
        <f t="shared" si="25"/>
        <v>100</v>
      </c>
      <c r="AR12" s="36" t="s">
        <v>2166</v>
      </c>
      <c r="AS12" s="36" t="s">
        <v>2166</v>
      </c>
      <c r="AT12" s="36" t="s">
        <v>2166</v>
      </c>
      <c r="AU12" s="37">
        <f t="shared" si="26"/>
        <v>1</v>
      </c>
      <c r="AV12" s="37">
        <f t="shared" si="27"/>
        <v>1</v>
      </c>
      <c r="AW12" s="37">
        <f t="shared" si="28"/>
        <v>1</v>
      </c>
      <c r="AX12" s="37">
        <f t="shared" si="29"/>
        <v>0</v>
      </c>
      <c r="AY12" s="37">
        <f t="shared" si="30"/>
        <v>0</v>
      </c>
      <c r="AZ12" s="36" t="s">
        <v>2167</v>
      </c>
      <c r="BA12" s="36" t="s">
        <v>2167</v>
      </c>
      <c r="BB12" s="37">
        <f t="shared" si="31"/>
        <v>1</v>
      </c>
      <c r="BC12" s="37">
        <f t="shared" si="32"/>
        <v>0.75</v>
      </c>
      <c r="BD12" s="37">
        <f t="shared" si="33"/>
        <v>0.75</v>
      </c>
      <c r="BE12" s="37">
        <f t="shared" si="34"/>
        <v>0</v>
      </c>
      <c r="BF12" s="36" t="s">
        <v>2167</v>
      </c>
      <c r="BG12" s="36" t="s">
        <v>2167</v>
      </c>
      <c r="BH12" s="37">
        <f t="shared" si="35"/>
        <v>1</v>
      </c>
      <c r="BI12" s="37">
        <f t="shared" si="36"/>
        <v>0.75</v>
      </c>
      <c r="BJ12" s="37">
        <f t="shared" si="37"/>
        <v>0.75</v>
      </c>
      <c r="BK12" s="37">
        <f t="shared" si="38"/>
        <v>0</v>
      </c>
      <c r="BL12" s="36" t="s">
        <v>2167</v>
      </c>
      <c r="BM12" s="36" t="s">
        <v>2167</v>
      </c>
      <c r="BN12" s="37">
        <f t="shared" si="39"/>
        <v>1</v>
      </c>
      <c r="BO12" s="37">
        <f t="shared" si="40"/>
        <v>0.75</v>
      </c>
      <c r="BP12" s="37">
        <f t="shared" si="41"/>
        <v>0.75</v>
      </c>
      <c r="BQ12" s="37">
        <f t="shared" si="42"/>
        <v>0</v>
      </c>
      <c r="BR12" s="37">
        <f t="shared" si="43"/>
        <v>0</v>
      </c>
      <c r="BS12" s="36" t="s">
        <v>2080</v>
      </c>
      <c r="BT12" s="36" t="s">
        <v>2080</v>
      </c>
      <c r="BU12" s="36" t="s">
        <v>2080</v>
      </c>
      <c r="BV12" s="36" t="s">
        <v>2080</v>
      </c>
      <c r="BW12" s="37">
        <f t="shared" si="44"/>
        <v>0</v>
      </c>
      <c r="BX12" s="37">
        <f t="shared" si="45"/>
        <v>0</v>
      </c>
      <c r="BY12" s="37">
        <f t="shared" si="46"/>
        <v>0</v>
      </c>
      <c r="BZ12" s="37">
        <f t="shared" si="47"/>
        <v>0</v>
      </c>
      <c r="CA12" s="37">
        <f t="shared" si="48"/>
        <v>0</v>
      </c>
      <c r="CB12" s="37">
        <f t="shared" si="49"/>
        <v>0</v>
      </c>
      <c r="CC12" s="37">
        <f t="shared" si="50"/>
        <v>0</v>
      </c>
      <c r="CD12" s="37">
        <f t="shared" si="51"/>
        <v>0</v>
      </c>
      <c r="CE12" s="36" t="s">
        <v>2067</v>
      </c>
      <c r="CF12" s="36" t="s">
        <v>2067</v>
      </c>
      <c r="CG12" s="36" t="s">
        <v>2067</v>
      </c>
      <c r="CH12" s="36" t="s">
        <v>2080</v>
      </c>
      <c r="CI12" s="37">
        <f t="shared" si="52"/>
        <v>0</v>
      </c>
      <c r="CJ12" s="37">
        <f t="shared" si="53"/>
        <v>0</v>
      </c>
      <c r="CK12" s="37">
        <f t="shared" si="54"/>
        <v>0</v>
      </c>
      <c r="CL12" s="37">
        <f t="shared" si="55"/>
        <v>0</v>
      </c>
      <c r="CM12" s="37">
        <f t="shared" si="56"/>
        <v>0</v>
      </c>
      <c r="CN12" s="37">
        <f t="shared" si="57"/>
        <v>0</v>
      </c>
      <c r="CO12" s="37">
        <f t="shared" si="58"/>
        <v>0</v>
      </c>
      <c r="CP12" s="37">
        <f t="shared" si="59"/>
        <v>0</v>
      </c>
      <c r="CQ12" s="37">
        <f t="shared" si="60"/>
        <v>3.3333333333333339</v>
      </c>
      <c r="CR12" s="37">
        <f t="shared" si="61"/>
        <v>5</v>
      </c>
      <c r="CS12" s="37">
        <f t="shared" si="62"/>
        <v>0</v>
      </c>
      <c r="CT12" s="37">
        <f t="shared" si="63"/>
        <v>10</v>
      </c>
      <c r="CU12" s="37">
        <f t="shared" si="64"/>
        <v>0</v>
      </c>
      <c r="CV12" s="37">
        <f t="shared" si="65"/>
        <v>0</v>
      </c>
      <c r="CW12" s="37">
        <f t="shared" si="66"/>
        <v>0</v>
      </c>
      <c r="CX12" s="37">
        <f t="shared" si="67"/>
        <v>0</v>
      </c>
      <c r="CY12" s="37">
        <f t="shared" si="68"/>
        <v>0</v>
      </c>
      <c r="CZ12" s="37">
        <f t="shared" si="69"/>
        <v>18.333333333333336</v>
      </c>
    </row>
    <row r="13" spans="1:104" x14ac:dyDescent="0.25">
      <c r="A13" s="10" t="s">
        <v>2175</v>
      </c>
      <c r="B13" s="53" t="s">
        <v>1947</v>
      </c>
      <c r="C13" s="53" t="s">
        <v>1948</v>
      </c>
      <c r="D13" s="53" t="s">
        <v>1947</v>
      </c>
      <c r="E13" s="61">
        <f t="shared" si="0"/>
        <v>0</v>
      </c>
      <c r="F13" s="61">
        <f t="shared" si="1"/>
        <v>1</v>
      </c>
      <c r="G13" s="61">
        <f t="shared" si="2"/>
        <v>0</v>
      </c>
      <c r="H13" s="61">
        <f t="shared" si="3"/>
        <v>1</v>
      </c>
      <c r="I13" s="53" t="s">
        <v>2165</v>
      </c>
      <c r="J13" s="53" t="s">
        <v>2165</v>
      </c>
      <c r="K13" s="53" t="s">
        <v>1948</v>
      </c>
      <c r="L13" s="61">
        <f t="shared" si="4"/>
        <v>0</v>
      </c>
      <c r="M13" s="61">
        <f t="shared" si="5"/>
        <v>0</v>
      </c>
      <c r="N13" s="61">
        <f t="shared" si="6"/>
        <v>1</v>
      </c>
      <c r="O13" s="61">
        <f t="shared" si="7"/>
        <v>1</v>
      </c>
      <c r="P13" s="61">
        <f t="shared" si="8"/>
        <v>33.333333333333336</v>
      </c>
      <c r="Q13" s="53" t="s">
        <v>1948</v>
      </c>
      <c r="R13" s="53" t="s">
        <v>1947</v>
      </c>
      <c r="S13" s="61">
        <f t="shared" si="9"/>
        <v>1</v>
      </c>
      <c r="T13" s="61">
        <f t="shared" si="10"/>
        <v>0</v>
      </c>
      <c r="U13" s="61">
        <f t="shared" si="11"/>
        <v>1</v>
      </c>
      <c r="V13" s="61">
        <f t="shared" si="12"/>
        <v>50</v>
      </c>
      <c r="W13" s="53" t="s">
        <v>1947</v>
      </c>
      <c r="X13" s="53" t="s">
        <v>1947</v>
      </c>
      <c r="Y13" s="53" t="s">
        <v>1947</v>
      </c>
      <c r="Z13" s="53" t="s">
        <v>1947</v>
      </c>
      <c r="AA13" s="53" t="s">
        <v>1947</v>
      </c>
      <c r="AB13" s="50">
        <f t="shared" si="13"/>
        <v>0</v>
      </c>
      <c r="AC13" s="50">
        <f t="shared" si="14"/>
        <v>0</v>
      </c>
      <c r="AD13" s="50">
        <f t="shared" si="15"/>
        <v>0</v>
      </c>
      <c r="AE13" s="50">
        <f t="shared" si="16"/>
        <v>0</v>
      </c>
      <c r="AF13" s="50">
        <f t="shared" si="17"/>
        <v>0</v>
      </c>
      <c r="AG13" s="50">
        <f t="shared" si="18"/>
        <v>0</v>
      </c>
      <c r="AH13" s="51">
        <f t="shared" si="19"/>
        <v>0</v>
      </c>
      <c r="AI13" s="51">
        <f t="shared" si="20"/>
        <v>83.333333333333343</v>
      </c>
      <c r="AJ13" s="53" t="s">
        <v>1948</v>
      </c>
      <c r="AK13" s="53" t="s">
        <v>1948</v>
      </c>
      <c r="AL13" s="53" t="s">
        <v>1948</v>
      </c>
      <c r="AM13" s="50">
        <f t="shared" si="21"/>
        <v>1</v>
      </c>
      <c r="AN13" s="50">
        <f t="shared" si="22"/>
        <v>1</v>
      </c>
      <c r="AO13" s="50">
        <f t="shared" si="23"/>
        <v>1</v>
      </c>
      <c r="AP13" s="50">
        <f t="shared" si="24"/>
        <v>3</v>
      </c>
      <c r="AQ13" s="50">
        <f t="shared" si="25"/>
        <v>100</v>
      </c>
      <c r="AR13" s="36" t="s">
        <v>2166</v>
      </c>
      <c r="AS13" s="36" t="s">
        <v>2166</v>
      </c>
      <c r="AT13" s="36" t="s">
        <v>2166</v>
      </c>
      <c r="AU13" s="37">
        <f t="shared" si="26"/>
        <v>1</v>
      </c>
      <c r="AV13" s="37">
        <f t="shared" si="27"/>
        <v>1</v>
      </c>
      <c r="AW13" s="37">
        <f t="shared" si="28"/>
        <v>1</v>
      </c>
      <c r="AX13" s="37">
        <f t="shared" si="29"/>
        <v>0</v>
      </c>
      <c r="AY13" s="37">
        <f t="shared" si="30"/>
        <v>0</v>
      </c>
      <c r="AZ13" s="36" t="s">
        <v>2167</v>
      </c>
      <c r="BA13" s="36" t="s">
        <v>2167</v>
      </c>
      <c r="BB13" s="37">
        <f t="shared" si="31"/>
        <v>1</v>
      </c>
      <c r="BC13" s="37">
        <f t="shared" si="32"/>
        <v>0.75</v>
      </c>
      <c r="BD13" s="37">
        <f t="shared" si="33"/>
        <v>0.75</v>
      </c>
      <c r="BE13" s="37">
        <f t="shared" si="34"/>
        <v>0</v>
      </c>
      <c r="BF13" s="36" t="s">
        <v>2167</v>
      </c>
      <c r="BG13" s="36" t="s">
        <v>2167</v>
      </c>
      <c r="BH13" s="37">
        <f t="shared" si="35"/>
        <v>1</v>
      </c>
      <c r="BI13" s="37">
        <f t="shared" si="36"/>
        <v>0.75</v>
      </c>
      <c r="BJ13" s="37">
        <f t="shared" si="37"/>
        <v>0.75</v>
      </c>
      <c r="BK13" s="37">
        <f t="shared" si="38"/>
        <v>0</v>
      </c>
      <c r="BL13" s="36" t="s">
        <v>2167</v>
      </c>
      <c r="BM13" s="36" t="s">
        <v>2167</v>
      </c>
      <c r="BN13" s="37">
        <f t="shared" si="39"/>
        <v>1</v>
      </c>
      <c r="BO13" s="37">
        <f t="shared" si="40"/>
        <v>0.75</v>
      </c>
      <c r="BP13" s="37">
        <f t="shared" si="41"/>
        <v>0.75</v>
      </c>
      <c r="BQ13" s="37">
        <f t="shared" si="42"/>
        <v>0</v>
      </c>
      <c r="BR13" s="37">
        <f t="shared" si="43"/>
        <v>0</v>
      </c>
      <c r="BS13" s="36" t="s">
        <v>2080</v>
      </c>
      <c r="BT13" s="36" t="s">
        <v>2080</v>
      </c>
      <c r="BU13" s="36" t="s">
        <v>2080</v>
      </c>
      <c r="BV13" s="36" t="s">
        <v>2080</v>
      </c>
      <c r="BW13" s="37">
        <f t="shared" si="44"/>
        <v>0</v>
      </c>
      <c r="BX13" s="37">
        <f t="shared" si="45"/>
        <v>0</v>
      </c>
      <c r="BY13" s="37">
        <f t="shared" si="46"/>
        <v>0</v>
      </c>
      <c r="BZ13" s="37">
        <f t="shared" si="47"/>
        <v>0</v>
      </c>
      <c r="CA13" s="37">
        <f t="shared" si="48"/>
        <v>0</v>
      </c>
      <c r="CB13" s="37">
        <f t="shared" si="49"/>
        <v>0</v>
      </c>
      <c r="CC13" s="37">
        <f t="shared" si="50"/>
        <v>0</v>
      </c>
      <c r="CD13" s="37">
        <f t="shared" si="51"/>
        <v>0</v>
      </c>
      <c r="CE13" s="36" t="s">
        <v>2067</v>
      </c>
      <c r="CF13" s="36" t="s">
        <v>2067</v>
      </c>
      <c r="CG13" s="36" t="s">
        <v>2067</v>
      </c>
      <c r="CH13" s="36" t="s">
        <v>2080</v>
      </c>
      <c r="CI13" s="37">
        <f t="shared" si="52"/>
        <v>0</v>
      </c>
      <c r="CJ13" s="37">
        <f t="shared" si="53"/>
        <v>0</v>
      </c>
      <c r="CK13" s="37">
        <f t="shared" si="54"/>
        <v>0</v>
      </c>
      <c r="CL13" s="37">
        <f t="shared" si="55"/>
        <v>0</v>
      </c>
      <c r="CM13" s="37">
        <f t="shared" si="56"/>
        <v>0</v>
      </c>
      <c r="CN13" s="37">
        <f t="shared" si="57"/>
        <v>0</v>
      </c>
      <c r="CO13" s="37">
        <f t="shared" si="58"/>
        <v>0</v>
      </c>
      <c r="CP13" s="37">
        <f t="shared" si="59"/>
        <v>0</v>
      </c>
      <c r="CQ13" s="37">
        <f t="shared" si="60"/>
        <v>3.3333333333333339</v>
      </c>
      <c r="CR13" s="37">
        <f t="shared" si="61"/>
        <v>5</v>
      </c>
      <c r="CS13" s="37">
        <f t="shared" si="62"/>
        <v>0</v>
      </c>
      <c r="CT13" s="37">
        <f t="shared" si="63"/>
        <v>10</v>
      </c>
      <c r="CU13" s="37">
        <f t="shared" si="64"/>
        <v>0</v>
      </c>
      <c r="CV13" s="37">
        <f t="shared" si="65"/>
        <v>0</v>
      </c>
      <c r="CW13" s="37">
        <f t="shared" si="66"/>
        <v>0</v>
      </c>
      <c r="CX13" s="37">
        <f t="shared" si="67"/>
        <v>0</v>
      </c>
      <c r="CY13" s="37">
        <f t="shared" si="68"/>
        <v>0</v>
      </c>
      <c r="CZ13" s="37">
        <f t="shared" si="69"/>
        <v>18.333333333333336</v>
      </c>
    </row>
    <row r="14" spans="1:104" x14ac:dyDescent="0.25">
      <c r="A14" s="10" t="s">
        <v>2176</v>
      </c>
      <c r="B14" s="53" t="s">
        <v>1947</v>
      </c>
      <c r="C14" s="53" t="s">
        <v>1948</v>
      </c>
      <c r="D14" s="53" t="s">
        <v>1947</v>
      </c>
      <c r="E14" s="61">
        <f t="shared" si="0"/>
        <v>0</v>
      </c>
      <c r="F14" s="61">
        <f t="shared" si="1"/>
        <v>1</v>
      </c>
      <c r="G14" s="61">
        <f t="shared" si="2"/>
        <v>0</v>
      </c>
      <c r="H14" s="61">
        <f t="shared" si="3"/>
        <v>1</v>
      </c>
      <c r="I14" s="53" t="s">
        <v>2165</v>
      </c>
      <c r="J14" s="53" t="s">
        <v>2165</v>
      </c>
      <c r="K14" s="53" t="s">
        <v>1948</v>
      </c>
      <c r="L14" s="61">
        <f t="shared" si="4"/>
        <v>0</v>
      </c>
      <c r="M14" s="61">
        <f t="shared" si="5"/>
        <v>0</v>
      </c>
      <c r="N14" s="61">
        <f t="shared" si="6"/>
        <v>1</v>
      </c>
      <c r="O14" s="61">
        <f t="shared" si="7"/>
        <v>1</v>
      </c>
      <c r="P14" s="61">
        <f t="shared" si="8"/>
        <v>33.333333333333336</v>
      </c>
      <c r="Q14" s="53" t="s">
        <v>1948</v>
      </c>
      <c r="R14" s="53" t="s">
        <v>1947</v>
      </c>
      <c r="S14" s="61">
        <f t="shared" si="9"/>
        <v>1</v>
      </c>
      <c r="T14" s="61">
        <f t="shared" si="10"/>
        <v>0</v>
      </c>
      <c r="U14" s="61">
        <f t="shared" si="11"/>
        <v>1</v>
      </c>
      <c r="V14" s="61">
        <f t="shared" si="12"/>
        <v>50</v>
      </c>
      <c r="W14" s="53" t="s">
        <v>1947</v>
      </c>
      <c r="X14" s="53" t="s">
        <v>1947</v>
      </c>
      <c r="Y14" s="53" t="s">
        <v>1947</v>
      </c>
      <c r="Z14" s="53" t="s">
        <v>1947</v>
      </c>
      <c r="AA14" s="53" t="s">
        <v>1947</v>
      </c>
      <c r="AB14" s="50">
        <f t="shared" si="13"/>
        <v>0</v>
      </c>
      <c r="AC14" s="50">
        <f t="shared" si="14"/>
        <v>0</v>
      </c>
      <c r="AD14" s="50">
        <f t="shared" si="15"/>
        <v>0</v>
      </c>
      <c r="AE14" s="50">
        <f t="shared" si="16"/>
        <v>0</v>
      </c>
      <c r="AF14" s="50">
        <f t="shared" si="17"/>
        <v>0</v>
      </c>
      <c r="AG14" s="50">
        <f t="shared" si="18"/>
        <v>0</v>
      </c>
      <c r="AH14" s="51">
        <f t="shared" si="19"/>
        <v>0</v>
      </c>
      <c r="AI14" s="51">
        <f t="shared" si="20"/>
        <v>83.333333333333343</v>
      </c>
      <c r="AJ14" s="53" t="s">
        <v>1948</v>
      </c>
      <c r="AK14" s="53" t="s">
        <v>1948</v>
      </c>
      <c r="AL14" s="53" t="s">
        <v>1948</v>
      </c>
      <c r="AM14" s="50">
        <f t="shared" si="21"/>
        <v>1</v>
      </c>
      <c r="AN14" s="50">
        <f t="shared" si="22"/>
        <v>1</v>
      </c>
      <c r="AO14" s="50">
        <f t="shared" si="23"/>
        <v>1</v>
      </c>
      <c r="AP14" s="50">
        <f t="shared" si="24"/>
        <v>3</v>
      </c>
      <c r="AQ14" s="50">
        <f t="shared" si="25"/>
        <v>100</v>
      </c>
      <c r="AR14" s="36" t="s">
        <v>2166</v>
      </c>
      <c r="AS14" s="36" t="s">
        <v>2166</v>
      </c>
      <c r="AT14" s="36" t="s">
        <v>2166</v>
      </c>
      <c r="AU14" s="37">
        <f t="shared" si="26"/>
        <v>1</v>
      </c>
      <c r="AV14" s="37">
        <f t="shared" si="27"/>
        <v>1</v>
      </c>
      <c r="AW14" s="37">
        <f t="shared" si="28"/>
        <v>1</v>
      </c>
      <c r="AX14" s="37">
        <f t="shared" si="29"/>
        <v>0</v>
      </c>
      <c r="AY14" s="37">
        <f t="shared" si="30"/>
        <v>0</v>
      </c>
      <c r="AZ14" s="36" t="s">
        <v>2167</v>
      </c>
      <c r="BA14" s="36" t="s">
        <v>2167</v>
      </c>
      <c r="BB14" s="37">
        <f t="shared" si="31"/>
        <v>1</v>
      </c>
      <c r="BC14" s="37">
        <f t="shared" si="32"/>
        <v>0.75</v>
      </c>
      <c r="BD14" s="37">
        <f t="shared" si="33"/>
        <v>0.75</v>
      </c>
      <c r="BE14" s="37">
        <f t="shared" si="34"/>
        <v>0</v>
      </c>
      <c r="BF14" s="36" t="s">
        <v>2167</v>
      </c>
      <c r="BG14" s="36" t="s">
        <v>2167</v>
      </c>
      <c r="BH14" s="37">
        <f t="shared" si="35"/>
        <v>1</v>
      </c>
      <c r="BI14" s="37">
        <f t="shared" si="36"/>
        <v>0.75</v>
      </c>
      <c r="BJ14" s="37">
        <f t="shared" si="37"/>
        <v>0.75</v>
      </c>
      <c r="BK14" s="37">
        <f t="shared" si="38"/>
        <v>0</v>
      </c>
      <c r="BL14" s="36" t="s">
        <v>2167</v>
      </c>
      <c r="BM14" s="36" t="s">
        <v>2167</v>
      </c>
      <c r="BN14" s="37">
        <f t="shared" si="39"/>
        <v>1</v>
      </c>
      <c r="BO14" s="37">
        <f t="shared" si="40"/>
        <v>0.75</v>
      </c>
      <c r="BP14" s="37">
        <f t="shared" si="41"/>
        <v>0.75</v>
      </c>
      <c r="BQ14" s="37">
        <f t="shared" si="42"/>
        <v>0</v>
      </c>
      <c r="BR14" s="37">
        <f t="shared" si="43"/>
        <v>0</v>
      </c>
      <c r="BS14" s="36" t="s">
        <v>2080</v>
      </c>
      <c r="BT14" s="36" t="s">
        <v>2080</v>
      </c>
      <c r="BU14" s="36" t="s">
        <v>2080</v>
      </c>
      <c r="BV14" s="36" t="s">
        <v>2080</v>
      </c>
      <c r="BW14" s="37">
        <f t="shared" si="44"/>
        <v>0</v>
      </c>
      <c r="BX14" s="37">
        <f t="shared" si="45"/>
        <v>0</v>
      </c>
      <c r="BY14" s="37">
        <f t="shared" si="46"/>
        <v>0</v>
      </c>
      <c r="BZ14" s="37">
        <f t="shared" si="47"/>
        <v>0</v>
      </c>
      <c r="CA14" s="37">
        <f t="shared" si="48"/>
        <v>0</v>
      </c>
      <c r="CB14" s="37">
        <f t="shared" si="49"/>
        <v>0</v>
      </c>
      <c r="CC14" s="37">
        <f t="shared" si="50"/>
        <v>0</v>
      </c>
      <c r="CD14" s="37">
        <f t="shared" si="51"/>
        <v>0</v>
      </c>
      <c r="CE14" s="36" t="s">
        <v>2067</v>
      </c>
      <c r="CF14" s="36" t="s">
        <v>2067</v>
      </c>
      <c r="CG14" s="36" t="s">
        <v>2067</v>
      </c>
      <c r="CH14" s="36" t="s">
        <v>2080</v>
      </c>
      <c r="CI14" s="37">
        <f t="shared" si="52"/>
        <v>0</v>
      </c>
      <c r="CJ14" s="37">
        <f t="shared" si="53"/>
        <v>0</v>
      </c>
      <c r="CK14" s="37">
        <f t="shared" si="54"/>
        <v>0</v>
      </c>
      <c r="CL14" s="37">
        <f t="shared" si="55"/>
        <v>0</v>
      </c>
      <c r="CM14" s="37">
        <f t="shared" si="56"/>
        <v>0</v>
      </c>
      <c r="CN14" s="37">
        <f t="shared" si="57"/>
        <v>0</v>
      </c>
      <c r="CO14" s="37">
        <f t="shared" si="58"/>
        <v>0</v>
      </c>
      <c r="CP14" s="37">
        <f t="shared" si="59"/>
        <v>0</v>
      </c>
      <c r="CQ14" s="37">
        <f t="shared" si="60"/>
        <v>3.3333333333333339</v>
      </c>
      <c r="CR14" s="37">
        <f t="shared" si="61"/>
        <v>5</v>
      </c>
      <c r="CS14" s="37">
        <f t="shared" si="62"/>
        <v>0</v>
      </c>
      <c r="CT14" s="37">
        <f t="shared" si="63"/>
        <v>10</v>
      </c>
      <c r="CU14" s="37">
        <f t="shared" si="64"/>
        <v>0</v>
      </c>
      <c r="CV14" s="37">
        <f t="shared" si="65"/>
        <v>0</v>
      </c>
      <c r="CW14" s="37">
        <f t="shared" si="66"/>
        <v>0</v>
      </c>
      <c r="CX14" s="37">
        <f t="shared" si="67"/>
        <v>0</v>
      </c>
      <c r="CY14" s="37">
        <f t="shared" si="68"/>
        <v>0</v>
      </c>
      <c r="CZ14" s="37">
        <f t="shared" si="69"/>
        <v>18.333333333333336</v>
      </c>
    </row>
    <row r="15" spans="1:104" x14ac:dyDescent="0.25">
      <c r="A15" s="10" t="s">
        <v>2177</v>
      </c>
      <c r="B15" s="53" t="s">
        <v>1947</v>
      </c>
      <c r="C15" s="53" t="s">
        <v>1948</v>
      </c>
      <c r="D15" s="53" t="s">
        <v>1947</v>
      </c>
      <c r="E15" s="61">
        <f t="shared" si="0"/>
        <v>0</v>
      </c>
      <c r="F15" s="61">
        <f t="shared" si="1"/>
        <v>1</v>
      </c>
      <c r="G15" s="61">
        <f t="shared" si="2"/>
        <v>0</v>
      </c>
      <c r="H15" s="61">
        <f t="shared" si="3"/>
        <v>1</v>
      </c>
      <c r="I15" s="53" t="s">
        <v>2165</v>
      </c>
      <c r="J15" s="53" t="s">
        <v>2165</v>
      </c>
      <c r="K15" s="53" t="s">
        <v>1948</v>
      </c>
      <c r="L15" s="61">
        <f t="shared" si="4"/>
        <v>0</v>
      </c>
      <c r="M15" s="61">
        <f t="shared" si="5"/>
        <v>0</v>
      </c>
      <c r="N15" s="61">
        <f t="shared" si="6"/>
        <v>1</v>
      </c>
      <c r="O15" s="61">
        <f t="shared" si="7"/>
        <v>1</v>
      </c>
      <c r="P15" s="61">
        <f t="shared" si="8"/>
        <v>33.333333333333336</v>
      </c>
      <c r="Q15" s="53" t="s">
        <v>1948</v>
      </c>
      <c r="R15" s="53" t="s">
        <v>1947</v>
      </c>
      <c r="S15" s="61">
        <f t="shared" si="9"/>
        <v>1</v>
      </c>
      <c r="T15" s="61">
        <f t="shared" si="10"/>
        <v>0</v>
      </c>
      <c r="U15" s="61">
        <f t="shared" si="11"/>
        <v>1</v>
      </c>
      <c r="V15" s="61">
        <f t="shared" si="12"/>
        <v>50</v>
      </c>
      <c r="W15" s="53" t="s">
        <v>1947</v>
      </c>
      <c r="X15" s="53" t="s">
        <v>1947</v>
      </c>
      <c r="Y15" s="53" t="s">
        <v>1947</v>
      </c>
      <c r="Z15" s="53" t="s">
        <v>1947</v>
      </c>
      <c r="AA15" s="53" t="s">
        <v>1947</v>
      </c>
      <c r="AB15" s="50">
        <f t="shared" si="13"/>
        <v>0</v>
      </c>
      <c r="AC15" s="50">
        <f t="shared" si="14"/>
        <v>0</v>
      </c>
      <c r="AD15" s="50">
        <f t="shared" si="15"/>
        <v>0</v>
      </c>
      <c r="AE15" s="50">
        <f t="shared" si="16"/>
        <v>0</v>
      </c>
      <c r="AF15" s="50">
        <f t="shared" si="17"/>
        <v>0</v>
      </c>
      <c r="AG15" s="50">
        <f t="shared" si="18"/>
        <v>0</v>
      </c>
      <c r="AH15" s="51">
        <f t="shared" si="19"/>
        <v>0</v>
      </c>
      <c r="AI15" s="51">
        <f t="shared" si="20"/>
        <v>83.333333333333343</v>
      </c>
      <c r="AJ15" s="53" t="s">
        <v>1948</v>
      </c>
      <c r="AK15" s="53" t="s">
        <v>1948</v>
      </c>
      <c r="AL15" s="53" t="s">
        <v>1948</v>
      </c>
      <c r="AM15" s="50">
        <f t="shared" si="21"/>
        <v>1</v>
      </c>
      <c r="AN15" s="50">
        <f t="shared" si="22"/>
        <v>1</v>
      </c>
      <c r="AO15" s="50">
        <f t="shared" si="23"/>
        <v>1</v>
      </c>
      <c r="AP15" s="50">
        <f t="shared" si="24"/>
        <v>3</v>
      </c>
      <c r="AQ15" s="50">
        <f t="shared" si="25"/>
        <v>100</v>
      </c>
      <c r="AR15" s="36" t="s">
        <v>2166</v>
      </c>
      <c r="AS15" s="36" t="s">
        <v>2166</v>
      </c>
      <c r="AT15" s="36" t="s">
        <v>2166</v>
      </c>
      <c r="AU15" s="37">
        <f t="shared" si="26"/>
        <v>1</v>
      </c>
      <c r="AV15" s="37">
        <f t="shared" si="27"/>
        <v>1</v>
      </c>
      <c r="AW15" s="37">
        <f t="shared" si="28"/>
        <v>1</v>
      </c>
      <c r="AX15" s="37">
        <f t="shared" si="29"/>
        <v>0</v>
      </c>
      <c r="AY15" s="37">
        <f t="shared" si="30"/>
        <v>0</v>
      </c>
      <c r="AZ15" s="36" t="s">
        <v>2167</v>
      </c>
      <c r="BA15" s="36" t="s">
        <v>2167</v>
      </c>
      <c r="BB15" s="37">
        <f t="shared" si="31"/>
        <v>1</v>
      </c>
      <c r="BC15" s="37">
        <f t="shared" si="32"/>
        <v>0.75</v>
      </c>
      <c r="BD15" s="37">
        <f t="shared" si="33"/>
        <v>0.75</v>
      </c>
      <c r="BE15" s="37">
        <f t="shared" si="34"/>
        <v>0</v>
      </c>
      <c r="BF15" s="36" t="s">
        <v>2167</v>
      </c>
      <c r="BG15" s="36" t="s">
        <v>2167</v>
      </c>
      <c r="BH15" s="37">
        <f t="shared" si="35"/>
        <v>1</v>
      </c>
      <c r="BI15" s="37">
        <f t="shared" si="36"/>
        <v>0.75</v>
      </c>
      <c r="BJ15" s="37">
        <f t="shared" si="37"/>
        <v>0.75</v>
      </c>
      <c r="BK15" s="37">
        <f t="shared" si="38"/>
        <v>0</v>
      </c>
      <c r="BL15" s="36" t="s">
        <v>2167</v>
      </c>
      <c r="BM15" s="36" t="s">
        <v>2167</v>
      </c>
      <c r="BN15" s="37">
        <f t="shared" si="39"/>
        <v>1</v>
      </c>
      <c r="BO15" s="37">
        <f t="shared" si="40"/>
        <v>0.75</v>
      </c>
      <c r="BP15" s="37">
        <f t="shared" si="41"/>
        <v>0.75</v>
      </c>
      <c r="BQ15" s="37">
        <f t="shared" si="42"/>
        <v>0</v>
      </c>
      <c r="BR15" s="37">
        <f t="shared" si="43"/>
        <v>0</v>
      </c>
      <c r="BS15" s="36" t="s">
        <v>2080</v>
      </c>
      <c r="BT15" s="36" t="s">
        <v>2080</v>
      </c>
      <c r="BU15" s="36" t="s">
        <v>2080</v>
      </c>
      <c r="BV15" s="36" t="s">
        <v>2080</v>
      </c>
      <c r="BW15" s="37">
        <f t="shared" si="44"/>
        <v>0</v>
      </c>
      <c r="BX15" s="37">
        <f t="shared" si="45"/>
        <v>0</v>
      </c>
      <c r="BY15" s="37">
        <f t="shared" si="46"/>
        <v>0</v>
      </c>
      <c r="BZ15" s="37">
        <f t="shared" si="47"/>
        <v>0</v>
      </c>
      <c r="CA15" s="37">
        <f t="shared" si="48"/>
        <v>0</v>
      </c>
      <c r="CB15" s="37">
        <f t="shared" si="49"/>
        <v>0</v>
      </c>
      <c r="CC15" s="37">
        <f t="shared" si="50"/>
        <v>0</v>
      </c>
      <c r="CD15" s="37">
        <f t="shared" si="51"/>
        <v>0</v>
      </c>
      <c r="CE15" s="36" t="s">
        <v>2067</v>
      </c>
      <c r="CF15" s="36" t="s">
        <v>2067</v>
      </c>
      <c r="CG15" s="36" t="s">
        <v>2067</v>
      </c>
      <c r="CH15" s="36" t="s">
        <v>2080</v>
      </c>
      <c r="CI15" s="37">
        <f t="shared" si="52"/>
        <v>0</v>
      </c>
      <c r="CJ15" s="37">
        <f t="shared" si="53"/>
        <v>0</v>
      </c>
      <c r="CK15" s="37">
        <f t="shared" si="54"/>
        <v>0</v>
      </c>
      <c r="CL15" s="37">
        <f t="shared" si="55"/>
        <v>0</v>
      </c>
      <c r="CM15" s="37">
        <f t="shared" si="56"/>
        <v>0</v>
      </c>
      <c r="CN15" s="37">
        <f t="shared" si="57"/>
        <v>0</v>
      </c>
      <c r="CO15" s="37">
        <f t="shared" si="58"/>
        <v>0</v>
      </c>
      <c r="CP15" s="37">
        <f t="shared" si="59"/>
        <v>0</v>
      </c>
      <c r="CQ15" s="37">
        <f t="shared" si="60"/>
        <v>3.3333333333333339</v>
      </c>
      <c r="CR15" s="37">
        <f t="shared" si="61"/>
        <v>5</v>
      </c>
      <c r="CS15" s="37">
        <f t="shared" si="62"/>
        <v>0</v>
      </c>
      <c r="CT15" s="37">
        <f t="shared" si="63"/>
        <v>10</v>
      </c>
      <c r="CU15" s="37">
        <f t="shared" si="64"/>
        <v>0</v>
      </c>
      <c r="CV15" s="37">
        <f t="shared" si="65"/>
        <v>0</v>
      </c>
      <c r="CW15" s="37">
        <f t="shared" si="66"/>
        <v>0</v>
      </c>
      <c r="CX15" s="37">
        <f t="shared" si="67"/>
        <v>0</v>
      </c>
      <c r="CY15" s="37">
        <f t="shared" si="68"/>
        <v>0</v>
      </c>
      <c r="CZ15" s="37">
        <f t="shared" si="69"/>
        <v>18.333333333333336</v>
      </c>
    </row>
    <row r="16" spans="1:104" x14ac:dyDescent="0.25">
      <c r="A16" s="10" t="s">
        <v>2178</v>
      </c>
      <c r="B16" s="53" t="s">
        <v>1947</v>
      </c>
      <c r="C16" s="53" t="s">
        <v>1948</v>
      </c>
      <c r="D16" s="53" t="s">
        <v>1947</v>
      </c>
      <c r="E16" s="61">
        <f t="shared" si="0"/>
        <v>0</v>
      </c>
      <c r="F16" s="61">
        <f t="shared" si="1"/>
        <v>1</v>
      </c>
      <c r="G16" s="61">
        <f t="shared" si="2"/>
        <v>0</v>
      </c>
      <c r="H16" s="61">
        <f t="shared" si="3"/>
        <v>1</v>
      </c>
      <c r="I16" s="53" t="s">
        <v>2165</v>
      </c>
      <c r="J16" s="53" t="s">
        <v>2165</v>
      </c>
      <c r="K16" s="53" t="s">
        <v>1948</v>
      </c>
      <c r="L16" s="61">
        <f t="shared" si="4"/>
        <v>0</v>
      </c>
      <c r="M16" s="61">
        <f t="shared" si="5"/>
        <v>0</v>
      </c>
      <c r="N16" s="61">
        <f t="shared" si="6"/>
        <v>1</v>
      </c>
      <c r="O16" s="61">
        <f t="shared" si="7"/>
        <v>1</v>
      </c>
      <c r="P16" s="61">
        <f t="shared" si="8"/>
        <v>33.333333333333336</v>
      </c>
      <c r="Q16" s="53" t="s">
        <v>1948</v>
      </c>
      <c r="R16" s="53" t="s">
        <v>1947</v>
      </c>
      <c r="S16" s="61">
        <f t="shared" si="9"/>
        <v>1</v>
      </c>
      <c r="T16" s="61">
        <f t="shared" si="10"/>
        <v>0</v>
      </c>
      <c r="U16" s="61">
        <f t="shared" si="11"/>
        <v>1</v>
      </c>
      <c r="V16" s="61">
        <f t="shared" si="12"/>
        <v>50</v>
      </c>
      <c r="W16" s="53" t="s">
        <v>1947</v>
      </c>
      <c r="X16" s="53" t="s">
        <v>1947</v>
      </c>
      <c r="Y16" s="53" t="s">
        <v>1947</v>
      </c>
      <c r="Z16" s="53" t="s">
        <v>1947</v>
      </c>
      <c r="AA16" s="53" t="s">
        <v>1947</v>
      </c>
      <c r="AB16" s="50">
        <f t="shared" si="13"/>
        <v>0</v>
      </c>
      <c r="AC16" s="50">
        <f t="shared" si="14"/>
        <v>0</v>
      </c>
      <c r="AD16" s="50">
        <f t="shared" si="15"/>
        <v>0</v>
      </c>
      <c r="AE16" s="50">
        <f t="shared" si="16"/>
        <v>0</v>
      </c>
      <c r="AF16" s="50">
        <f t="shared" si="17"/>
        <v>0</v>
      </c>
      <c r="AG16" s="50">
        <f t="shared" si="18"/>
        <v>0</v>
      </c>
      <c r="AH16" s="51">
        <f t="shared" si="19"/>
        <v>0</v>
      </c>
      <c r="AI16" s="51">
        <f t="shared" si="20"/>
        <v>83.333333333333343</v>
      </c>
      <c r="AJ16" s="53" t="s">
        <v>1948</v>
      </c>
      <c r="AK16" s="53" t="s">
        <v>1948</v>
      </c>
      <c r="AL16" s="53" t="s">
        <v>1948</v>
      </c>
      <c r="AM16" s="50">
        <f t="shared" si="21"/>
        <v>1</v>
      </c>
      <c r="AN16" s="50">
        <f t="shared" si="22"/>
        <v>1</v>
      </c>
      <c r="AO16" s="50">
        <f t="shared" si="23"/>
        <v>1</v>
      </c>
      <c r="AP16" s="50">
        <f t="shared" si="24"/>
        <v>3</v>
      </c>
      <c r="AQ16" s="50">
        <f t="shared" si="25"/>
        <v>100</v>
      </c>
      <c r="AR16" s="36" t="s">
        <v>2166</v>
      </c>
      <c r="AS16" s="36" t="s">
        <v>2166</v>
      </c>
      <c r="AT16" s="36" t="s">
        <v>2166</v>
      </c>
      <c r="AU16" s="37">
        <f t="shared" si="26"/>
        <v>1</v>
      </c>
      <c r="AV16" s="37">
        <f t="shared" si="27"/>
        <v>1</v>
      </c>
      <c r="AW16" s="37">
        <f t="shared" si="28"/>
        <v>1</v>
      </c>
      <c r="AX16" s="37">
        <f t="shared" si="29"/>
        <v>0</v>
      </c>
      <c r="AY16" s="37">
        <f t="shared" si="30"/>
        <v>0</v>
      </c>
      <c r="AZ16" s="36" t="s">
        <v>2167</v>
      </c>
      <c r="BA16" s="36" t="s">
        <v>2167</v>
      </c>
      <c r="BB16" s="37">
        <f t="shared" si="31"/>
        <v>1</v>
      </c>
      <c r="BC16" s="37">
        <f t="shared" si="32"/>
        <v>0.75</v>
      </c>
      <c r="BD16" s="37">
        <f t="shared" si="33"/>
        <v>0.75</v>
      </c>
      <c r="BE16" s="37">
        <f t="shared" si="34"/>
        <v>0</v>
      </c>
      <c r="BF16" s="36" t="s">
        <v>2167</v>
      </c>
      <c r="BG16" s="36" t="s">
        <v>2167</v>
      </c>
      <c r="BH16" s="37">
        <f t="shared" si="35"/>
        <v>1</v>
      </c>
      <c r="BI16" s="37">
        <f t="shared" si="36"/>
        <v>0.75</v>
      </c>
      <c r="BJ16" s="37">
        <f t="shared" si="37"/>
        <v>0.75</v>
      </c>
      <c r="BK16" s="37">
        <f t="shared" si="38"/>
        <v>0</v>
      </c>
      <c r="BL16" s="36" t="s">
        <v>2167</v>
      </c>
      <c r="BM16" s="36" t="s">
        <v>2167</v>
      </c>
      <c r="BN16" s="37">
        <f t="shared" si="39"/>
        <v>1</v>
      </c>
      <c r="BO16" s="37">
        <f t="shared" si="40"/>
        <v>0.75</v>
      </c>
      <c r="BP16" s="37">
        <f t="shared" si="41"/>
        <v>0.75</v>
      </c>
      <c r="BQ16" s="37">
        <f t="shared" si="42"/>
        <v>0</v>
      </c>
      <c r="BR16" s="37">
        <f t="shared" si="43"/>
        <v>0</v>
      </c>
      <c r="BS16" s="36" t="s">
        <v>2080</v>
      </c>
      <c r="BT16" s="36" t="s">
        <v>2080</v>
      </c>
      <c r="BU16" s="36" t="s">
        <v>2080</v>
      </c>
      <c r="BV16" s="36" t="s">
        <v>2080</v>
      </c>
      <c r="BW16" s="37">
        <f t="shared" si="44"/>
        <v>0</v>
      </c>
      <c r="BX16" s="37">
        <f t="shared" si="45"/>
        <v>0</v>
      </c>
      <c r="BY16" s="37">
        <f t="shared" si="46"/>
        <v>0</v>
      </c>
      <c r="BZ16" s="37">
        <f t="shared" si="47"/>
        <v>0</v>
      </c>
      <c r="CA16" s="37">
        <f t="shared" si="48"/>
        <v>0</v>
      </c>
      <c r="CB16" s="37">
        <f t="shared" si="49"/>
        <v>0</v>
      </c>
      <c r="CC16" s="37">
        <f t="shared" si="50"/>
        <v>0</v>
      </c>
      <c r="CD16" s="37">
        <f t="shared" si="51"/>
        <v>0</v>
      </c>
      <c r="CE16" s="36" t="s">
        <v>2067</v>
      </c>
      <c r="CF16" s="36" t="s">
        <v>2067</v>
      </c>
      <c r="CG16" s="36" t="s">
        <v>2067</v>
      </c>
      <c r="CH16" s="36" t="s">
        <v>2080</v>
      </c>
      <c r="CI16" s="37">
        <f t="shared" si="52"/>
        <v>0</v>
      </c>
      <c r="CJ16" s="37">
        <f t="shared" si="53"/>
        <v>0</v>
      </c>
      <c r="CK16" s="37">
        <f t="shared" si="54"/>
        <v>0</v>
      </c>
      <c r="CL16" s="37">
        <f t="shared" si="55"/>
        <v>0</v>
      </c>
      <c r="CM16" s="37">
        <f t="shared" si="56"/>
        <v>0</v>
      </c>
      <c r="CN16" s="37">
        <f t="shared" si="57"/>
        <v>0</v>
      </c>
      <c r="CO16" s="37">
        <f t="shared" si="58"/>
        <v>0</v>
      </c>
      <c r="CP16" s="37">
        <f t="shared" si="59"/>
        <v>0</v>
      </c>
      <c r="CQ16" s="37">
        <f t="shared" si="60"/>
        <v>3.3333333333333339</v>
      </c>
      <c r="CR16" s="37">
        <f t="shared" si="61"/>
        <v>5</v>
      </c>
      <c r="CS16" s="37">
        <f t="shared" si="62"/>
        <v>0</v>
      </c>
      <c r="CT16" s="37">
        <f t="shared" si="63"/>
        <v>10</v>
      </c>
      <c r="CU16" s="37">
        <f t="shared" si="64"/>
        <v>0</v>
      </c>
      <c r="CV16" s="37">
        <f t="shared" si="65"/>
        <v>0</v>
      </c>
      <c r="CW16" s="37">
        <f t="shared" si="66"/>
        <v>0</v>
      </c>
      <c r="CX16" s="37">
        <f t="shared" si="67"/>
        <v>0</v>
      </c>
      <c r="CY16" s="37">
        <f t="shared" si="68"/>
        <v>0</v>
      </c>
      <c r="CZ16" s="37">
        <f t="shared" si="69"/>
        <v>18.333333333333336</v>
      </c>
    </row>
    <row r="17" spans="1:104" x14ac:dyDescent="0.25">
      <c r="A17" s="10" t="s">
        <v>2179</v>
      </c>
      <c r="B17" s="53" t="s">
        <v>1947</v>
      </c>
      <c r="C17" s="53" t="s">
        <v>1948</v>
      </c>
      <c r="D17" s="53" t="s">
        <v>1947</v>
      </c>
      <c r="E17" s="61">
        <f t="shared" si="0"/>
        <v>0</v>
      </c>
      <c r="F17" s="61">
        <f t="shared" si="1"/>
        <v>1</v>
      </c>
      <c r="G17" s="61">
        <f t="shared" si="2"/>
        <v>0</v>
      </c>
      <c r="H17" s="61">
        <f t="shared" si="3"/>
        <v>1</v>
      </c>
      <c r="I17" s="53" t="s">
        <v>2165</v>
      </c>
      <c r="J17" s="53" t="s">
        <v>2165</v>
      </c>
      <c r="K17" s="53" t="s">
        <v>1948</v>
      </c>
      <c r="L17" s="61">
        <f t="shared" si="4"/>
        <v>0</v>
      </c>
      <c r="M17" s="61">
        <f t="shared" si="5"/>
        <v>0</v>
      </c>
      <c r="N17" s="61">
        <f t="shared" si="6"/>
        <v>1</v>
      </c>
      <c r="O17" s="61">
        <f t="shared" si="7"/>
        <v>1</v>
      </c>
      <c r="P17" s="61">
        <f t="shared" si="8"/>
        <v>33.333333333333336</v>
      </c>
      <c r="Q17" s="53" t="s">
        <v>1948</v>
      </c>
      <c r="R17" s="53" t="s">
        <v>1947</v>
      </c>
      <c r="S17" s="61">
        <f t="shared" si="9"/>
        <v>1</v>
      </c>
      <c r="T17" s="61">
        <f t="shared" si="10"/>
        <v>0</v>
      </c>
      <c r="U17" s="61">
        <f t="shared" si="11"/>
        <v>1</v>
      </c>
      <c r="V17" s="61">
        <f t="shared" si="12"/>
        <v>50</v>
      </c>
      <c r="W17" s="53" t="s">
        <v>1947</v>
      </c>
      <c r="X17" s="53" t="s">
        <v>1947</v>
      </c>
      <c r="Y17" s="53" t="s">
        <v>1947</v>
      </c>
      <c r="Z17" s="53" t="s">
        <v>1947</v>
      </c>
      <c r="AA17" s="53" t="s">
        <v>1947</v>
      </c>
      <c r="AB17" s="50">
        <f t="shared" si="13"/>
        <v>0</v>
      </c>
      <c r="AC17" s="50">
        <f t="shared" si="14"/>
        <v>0</v>
      </c>
      <c r="AD17" s="50">
        <f t="shared" si="15"/>
        <v>0</v>
      </c>
      <c r="AE17" s="50">
        <f t="shared" si="16"/>
        <v>0</v>
      </c>
      <c r="AF17" s="50">
        <f t="shared" si="17"/>
        <v>0</v>
      </c>
      <c r="AG17" s="50">
        <f t="shared" si="18"/>
        <v>0</v>
      </c>
      <c r="AH17" s="51">
        <f t="shared" si="19"/>
        <v>0</v>
      </c>
      <c r="AI17" s="51">
        <f t="shared" si="20"/>
        <v>83.333333333333343</v>
      </c>
      <c r="AJ17" s="53" t="s">
        <v>1948</v>
      </c>
      <c r="AK17" s="53" t="s">
        <v>1948</v>
      </c>
      <c r="AL17" s="53" t="s">
        <v>1948</v>
      </c>
      <c r="AM17" s="50">
        <f t="shared" si="21"/>
        <v>1</v>
      </c>
      <c r="AN17" s="50">
        <f t="shared" si="22"/>
        <v>1</v>
      </c>
      <c r="AO17" s="50">
        <f t="shared" si="23"/>
        <v>1</v>
      </c>
      <c r="AP17" s="50">
        <f t="shared" si="24"/>
        <v>3</v>
      </c>
      <c r="AQ17" s="50">
        <f t="shared" si="25"/>
        <v>100</v>
      </c>
      <c r="AR17" s="36" t="s">
        <v>2166</v>
      </c>
      <c r="AS17" s="36" t="s">
        <v>2166</v>
      </c>
      <c r="AT17" s="36" t="s">
        <v>2166</v>
      </c>
      <c r="AU17" s="37">
        <f t="shared" si="26"/>
        <v>1</v>
      </c>
      <c r="AV17" s="37">
        <f t="shared" si="27"/>
        <v>1</v>
      </c>
      <c r="AW17" s="37">
        <f t="shared" si="28"/>
        <v>1</v>
      </c>
      <c r="AX17" s="37">
        <f t="shared" si="29"/>
        <v>0</v>
      </c>
      <c r="AY17" s="37">
        <f t="shared" si="30"/>
        <v>0</v>
      </c>
      <c r="AZ17" s="36" t="s">
        <v>2167</v>
      </c>
      <c r="BA17" s="36" t="s">
        <v>2167</v>
      </c>
      <c r="BB17" s="37">
        <f t="shared" si="31"/>
        <v>1</v>
      </c>
      <c r="BC17" s="37">
        <f t="shared" si="32"/>
        <v>0.75</v>
      </c>
      <c r="BD17" s="37">
        <f t="shared" si="33"/>
        <v>0.75</v>
      </c>
      <c r="BE17" s="37">
        <f t="shared" si="34"/>
        <v>0</v>
      </c>
      <c r="BF17" s="36" t="s">
        <v>2167</v>
      </c>
      <c r="BG17" s="36" t="s">
        <v>2167</v>
      </c>
      <c r="BH17" s="37">
        <f t="shared" si="35"/>
        <v>1</v>
      </c>
      <c r="BI17" s="37">
        <f t="shared" si="36"/>
        <v>0.75</v>
      </c>
      <c r="BJ17" s="37">
        <f t="shared" si="37"/>
        <v>0.75</v>
      </c>
      <c r="BK17" s="37">
        <f t="shared" si="38"/>
        <v>0</v>
      </c>
      <c r="BL17" s="36" t="s">
        <v>2167</v>
      </c>
      <c r="BM17" s="36" t="s">
        <v>2167</v>
      </c>
      <c r="BN17" s="37">
        <f t="shared" si="39"/>
        <v>1</v>
      </c>
      <c r="BO17" s="37">
        <f t="shared" si="40"/>
        <v>0.75</v>
      </c>
      <c r="BP17" s="37">
        <f t="shared" si="41"/>
        <v>0.75</v>
      </c>
      <c r="BQ17" s="37">
        <f t="shared" si="42"/>
        <v>0</v>
      </c>
      <c r="BR17" s="37">
        <f t="shared" si="43"/>
        <v>0</v>
      </c>
      <c r="BS17" s="36" t="s">
        <v>2080</v>
      </c>
      <c r="BT17" s="36" t="s">
        <v>2080</v>
      </c>
      <c r="BU17" s="36" t="s">
        <v>2080</v>
      </c>
      <c r="BV17" s="36" t="s">
        <v>2080</v>
      </c>
      <c r="BW17" s="37">
        <f t="shared" si="44"/>
        <v>0</v>
      </c>
      <c r="BX17" s="37">
        <f t="shared" si="45"/>
        <v>0</v>
      </c>
      <c r="BY17" s="37">
        <f t="shared" si="46"/>
        <v>0</v>
      </c>
      <c r="BZ17" s="37">
        <f t="shared" si="47"/>
        <v>0</v>
      </c>
      <c r="CA17" s="37">
        <f t="shared" si="48"/>
        <v>0</v>
      </c>
      <c r="CB17" s="37">
        <f t="shared" si="49"/>
        <v>0</v>
      </c>
      <c r="CC17" s="37">
        <f t="shared" si="50"/>
        <v>0</v>
      </c>
      <c r="CD17" s="37">
        <f t="shared" si="51"/>
        <v>0</v>
      </c>
      <c r="CE17" s="36" t="s">
        <v>2067</v>
      </c>
      <c r="CF17" s="36" t="s">
        <v>2067</v>
      </c>
      <c r="CG17" s="36" t="s">
        <v>2067</v>
      </c>
      <c r="CH17" s="36" t="s">
        <v>2080</v>
      </c>
      <c r="CI17" s="37">
        <f t="shared" si="52"/>
        <v>0</v>
      </c>
      <c r="CJ17" s="37">
        <f t="shared" si="53"/>
        <v>0</v>
      </c>
      <c r="CK17" s="37">
        <f t="shared" si="54"/>
        <v>0</v>
      </c>
      <c r="CL17" s="37">
        <f t="shared" si="55"/>
        <v>0</v>
      </c>
      <c r="CM17" s="37">
        <f t="shared" si="56"/>
        <v>0</v>
      </c>
      <c r="CN17" s="37">
        <f t="shared" si="57"/>
        <v>0</v>
      </c>
      <c r="CO17" s="37">
        <f t="shared" si="58"/>
        <v>0</v>
      </c>
      <c r="CP17" s="37">
        <f t="shared" si="59"/>
        <v>0</v>
      </c>
      <c r="CQ17" s="37">
        <f t="shared" si="60"/>
        <v>3.3333333333333339</v>
      </c>
      <c r="CR17" s="37">
        <f t="shared" si="61"/>
        <v>5</v>
      </c>
      <c r="CS17" s="37">
        <f t="shared" si="62"/>
        <v>0</v>
      </c>
      <c r="CT17" s="37">
        <f t="shared" si="63"/>
        <v>10</v>
      </c>
      <c r="CU17" s="37">
        <f t="shared" si="64"/>
        <v>0</v>
      </c>
      <c r="CV17" s="37">
        <f t="shared" si="65"/>
        <v>0</v>
      </c>
      <c r="CW17" s="37">
        <f t="shared" si="66"/>
        <v>0</v>
      </c>
      <c r="CX17" s="37">
        <f t="shared" si="67"/>
        <v>0</v>
      </c>
      <c r="CY17" s="37">
        <f t="shared" si="68"/>
        <v>0</v>
      </c>
      <c r="CZ17" s="37">
        <f t="shared" si="69"/>
        <v>18.333333333333336</v>
      </c>
    </row>
    <row r="18" spans="1:104" x14ac:dyDescent="0.25">
      <c r="A18" s="10" t="s">
        <v>2180</v>
      </c>
      <c r="B18" s="53" t="s">
        <v>1947</v>
      </c>
      <c r="C18" s="53" t="s">
        <v>1948</v>
      </c>
      <c r="D18" s="53" t="s">
        <v>1947</v>
      </c>
      <c r="E18" s="61">
        <f t="shared" si="0"/>
        <v>0</v>
      </c>
      <c r="F18" s="61">
        <f t="shared" si="1"/>
        <v>1</v>
      </c>
      <c r="G18" s="61">
        <f t="shared" si="2"/>
        <v>0</v>
      </c>
      <c r="H18" s="61">
        <f t="shared" si="3"/>
        <v>1</v>
      </c>
      <c r="I18" s="53" t="s">
        <v>2165</v>
      </c>
      <c r="J18" s="53" t="s">
        <v>2165</v>
      </c>
      <c r="K18" s="53" t="s">
        <v>1948</v>
      </c>
      <c r="L18" s="61">
        <f t="shared" si="4"/>
        <v>0</v>
      </c>
      <c r="M18" s="61">
        <f t="shared" si="5"/>
        <v>0</v>
      </c>
      <c r="N18" s="61">
        <f t="shared" si="6"/>
        <v>1</v>
      </c>
      <c r="O18" s="61">
        <f t="shared" si="7"/>
        <v>1</v>
      </c>
      <c r="P18" s="61">
        <f t="shared" si="8"/>
        <v>33.333333333333336</v>
      </c>
      <c r="Q18" s="53" t="s">
        <v>1948</v>
      </c>
      <c r="R18" s="53" t="s">
        <v>1947</v>
      </c>
      <c r="S18" s="61">
        <f t="shared" si="9"/>
        <v>1</v>
      </c>
      <c r="T18" s="61">
        <f t="shared" si="10"/>
        <v>0</v>
      </c>
      <c r="U18" s="61">
        <f t="shared" si="11"/>
        <v>1</v>
      </c>
      <c r="V18" s="61">
        <f t="shared" si="12"/>
        <v>50</v>
      </c>
      <c r="W18" s="53" t="s">
        <v>1947</v>
      </c>
      <c r="X18" s="53" t="s">
        <v>1947</v>
      </c>
      <c r="Y18" s="53" t="s">
        <v>1947</v>
      </c>
      <c r="Z18" s="53" t="s">
        <v>1947</v>
      </c>
      <c r="AA18" s="53" t="s">
        <v>1947</v>
      </c>
      <c r="AB18" s="50">
        <f t="shared" si="13"/>
        <v>0</v>
      </c>
      <c r="AC18" s="50">
        <f t="shared" si="14"/>
        <v>0</v>
      </c>
      <c r="AD18" s="50">
        <f t="shared" si="15"/>
        <v>0</v>
      </c>
      <c r="AE18" s="50">
        <f t="shared" si="16"/>
        <v>0</v>
      </c>
      <c r="AF18" s="50">
        <f t="shared" si="17"/>
        <v>0</v>
      </c>
      <c r="AG18" s="50">
        <f t="shared" si="18"/>
        <v>0</v>
      </c>
      <c r="AH18" s="51">
        <f t="shared" si="19"/>
        <v>0</v>
      </c>
      <c r="AI18" s="51">
        <f t="shared" si="20"/>
        <v>83.333333333333343</v>
      </c>
      <c r="AJ18" s="53" t="s">
        <v>1948</v>
      </c>
      <c r="AK18" s="53" t="s">
        <v>1948</v>
      </c>
      <c r="AL18" s="53" t="s">
        <v>1948</v>
      </c>
      <c r="AM18" s="50">
        <f t="shared" si="21"/>
        <v>1</v>
      </c>
      <c r="AN18" s="50">
        <f t="shared" si="22"/>
        <v>1</v>
      </c>
      <c r="AO18" s="50">
        <f t="shared" si="23"/>
        <v>1</v>
      </c>
      <c r="AP18" s="50">
        <f t="shared" si="24"/>
        <v>3</v>
      </c>
      <c r="AQ18" s="50">
        <f t="shared" si="25"/>
        <v>100</v>
      </c>
      <c r="AR18" s="36" t="s">
        <v>2166</v>
      </c>
      <c r="AS18" s="36" t="s">
        <v>2166</v>
      </c>
      <c r="AT18" s="36" t="s">
        <v>2166</v>
      </c>
      <c r="AU18" s="37">
        <f t="shared" si="26"/>
        <v>1</v>
      </c>
      <c r="AV18" s="37">
        <f t="shared" si="27"/>
        <v>1</v>
      </c>
      <c r="AW18" s="37">
        <f t="shared" si="28"/>
        <v>1</v>
      </c>
      <c r="AX18" s="37">
        <f t="shared" si="29"/>
        <v>0</v>
      </c>
      <c r="AY18" s="37">
        <f t="shared" si="30"/>
        <v>0</v>
      </c>
      <c r="AZ18" s="36" t="s">
        <v>2167</v>
      </c>
      <c r="BA18" s="36" t="s">
        <v>2167</v>
      </c>
      <c r="BB18" s="37">
        <f t="shared" si="31"/>
        <v>1</v>
      </c>
      <c r="BC18" s="37">
        <f t="shared" si="32"/>
        <v>0.75</v>
      </c>
      <c r="BD18" s="37">
        <f t="shared" si="33"/>
        <v>0.75</v>
      </c>
      <c r="BE18" s="37">
        <f t="shared" si="34"/>
        <v>0</v>
      </c>
      <c r="BF18" s="36" t="s">
        <v>2167</v>
      </c>
      <c r="BG18" s="36" t="s">
        <v>2167</v>
      </c>
      <c r="BH18" s="37">
        <f t="shared" si="35"/>
        <v>1</v>
      </c>
      <c r="BI18" s="37">
        <f t="shared" si="36"/>
        <v>0.75</v>
      </c>
      <c r="BJ18" s="37">
        <f t="shared" si="37"/>
        <v>0.75</v>
      </c>
      <c r="BK18" s="37">
        <f t="shared" si="38"/>
        <v>0</v>
      </c>
      <c r="BL18" s="36" t="s">
        <v>2167</v>
      </c>
      <c r="BM18" s="36" t="s">
        <v>2167</v>
      </c>
      <c r="BN18" s="37">
        <f t="shared" si="39"/>
        <v>1</v>
      </c>
      <c r="BO18" s="37">
        <f t="shared" si="40"/>
        <v>0.75</v>
      </c>
      <c r="BP18" s="37">
        <f t="shared" si="41"/>
        <v>0.75</v>
      </c>
      <c r="BQ18" s="37">
        <f t="shared" si="42"/>
        <v>0</v>
      </c>
      <c r="BR18" s="37">
        <f t="shared" si="43"/>
        <v>0</v>
      </c>
      <c r="BS18" s="36" t="s">
        <v>2080</v>
      </c>
      <c r="BT18" s="36" t="s">
        <v>2080</v>
      </c>
      <c r="BU18" s="36" t="s">
        <v>2080</v>
      </c>
      <c r="BV18" s="36" t="s">
        <v>2080</v>
      </c>
      <c r="BW18" s="37">
        <f t="shared" si="44"/>
        <v>0</v>
      </c>
      <c r="BX18" s="37">
        <f t="shared" si="45"/>
        <v>0</v>
      </c>
      <c r="BY18" s="37">
        <f t="shared" si="46"/>
        <v>0</v>
      </c>
      <c r="BZ18" s="37">
        <f t="shared" si="47"/>
        <v>0</v>
      </c>
      <c r="CA18" s="37">
        <f t="shared" si="48"/>
        <v>0</v>
      </c>
      <c r="CB18" s="37">
        <f t="shared" si="49"/>
        <v>0</v>
      </c>
      <c r="CC18" s="37">
        <f t="shared" si="50"/>
        <v>0</v>
      </c>
      <c r="CD18" s="37">
        <f t="shared" si="51"/>
        <v>0</v>
      </c>
      <c r="CE18" s="36" t="s">
        <v>2067</v>
      </c>
      <c r="CF18" s="36" t="s">
        <v>2067</v>
      </c>
      <c r="CG18" s="36" t="s">
        <v>2067</v>
      </c>
      <c r="CH18" s="36" t="s">
        <v>2080</v>
      </c>
      <c r="CI18" s="37">
        <f t="shared" si="52"/>
        <v>0</v>
      </c>
      <c r="CJ18" s="37">
        <f t="shared" si="53"/>
        <v>0</v>
      </c>
      <c r="CK18" s="37">
        <f t="shared" si="54"/>
        <v>0</v>
      </c>
      <c r="CL18" s="37">
        <f t="shared" si="55"/>
        <v>0</v>
      </c>
      <c r="CM18" s="37">
        <f t="shared" si="56"/>
        <v>0</v>
      </c>
      <c r="CN18" s="37">
        <f t="shared" si="57"/>
        <v>0</v>
      </c>
      <c r="CO18" s="37">
        <f t="shared" si="58"/>
        <v>0</v>
      </c>
      <c r="CP18" s="37">
        <f t="shared" si="59"/>
        <v>0</v>
      </c>
      <c r="CQ18" s="37">
        <f t="shared" si="60"/>
        <v>3.3333333333333339</v>
      </c>
      <c r="CR18" s="37">
        <f t="shared" si="61"/>
        <v>5</v>
      </c>
      <c r="CS18" s="37">
        <f t="shared" si="62"/>
        <v>0</v>
      </c>
      <c r="CT18" s="37">
        <f t="shared" si="63"/>
        <v>10</v>
      </c>
      <c r="CU18" s="37">
        <f t="shared" si="64"/>
        <v>0</v>
      </c>
      <c r="CV18" s="37">
        <f t="shared" si="65"/>
        <v>0</v>
      </c>
      <c r="CW18" s="37">
        <f t="shared" si="66"/>
        <v>0</v>
      </c>
      <c r="CX18" s="37">
        <f t="shared" si="67"/>
        <v>0</v>
      </c>
      <c r="CY18" s="37">
        <f t="shared" si="68"/>
        <v>0</v>
      </c>
      <c r="CZ18" s="37">
        <f t="shared" si="69"/>
        <v>18.333333333333336</v>
      </c>
    </row>
    <row r="19" spans="1:104" x14ac:dyDescent="0.25">
      <c r="A19" s="10" t="s">
        <v>2181</v>
      </c>
      <c r="B19" s="53" t="s">
        <v>1947</v>
      </c>
      <c r="C19" s="53" t="s">
        <v>1948</v>
      </c>
      <c r="D19" s="53" t="s">
        <v>1947</v>
      </c>
      <c r="E19" s="61">
        <f t="shared" si="0"/>
        <v>0</v>
      </c>
      <c r="F19" s="61">
        <f t="shared" si="1"/>
        <v>1</v>
      </c>
      <c r="G19" s="61">
        <f t="shared" si="2"/>
        <v>0</v>
      </c>
      <c r="H19" s="61">
        <f t="shared" si="3"/>
        <v>1</v>
      </c>
      <c r="I19" s="53" t="s">
        <v>2165</v>
      </c>
      <c r="J19" s="53" t="s">
        <v>2165</v>
      </c>
      <c r="K19" s="53" t="s">
        <v>1948</v>
      </c>
      <c r="L19" s="61">
        <f t="shared" si="4"/>
        <v>0</v>
      </c>
      <c r="M19" s="61">
        <f t="shared" si="5"/>
        <v>0</v>
      </c>
      <c r="N19" s="61">
        <f t="shared" si="6"/>
        <v>1</v>
      </c>
      <c r="O19" s="61">
        <f t="shared" si="7"/>
        <v>1</v>
      </c>
      <c r="P19" s="61">
        <f t="shared" si="8"/>
        <v>33.333333333333336</v>
      </c>
      <c r="Q19" s="53" t="s">
        <v>1948</v>
      </c>
      <c r="R19" s="53" t="s">
        <v>1947</v>
      </c>
      <c r="S19" s="61">
        <f t="shared" si="9"/>
        <v>1</v>
      </c>
      <c r="T19" s="61">
        <f t="shared" si="10"/>
        <v>0</v>
      </c>
      <c r="U19" s="61">
        <f t="shared" si="11"/>
        <v>1</v>
      </c>
      <c r="V19" s="61">
        <f t="shared" si="12"/>
        <v>50</v>
      </c>
      <c r="W19" s="53" t="s">
        <v>1947</v>
      </c>
      <c r="X19" s="53" t="s">
        <v>1947</v>
      </c>
      <c r="Y19" s="53" t="s">
        <v>1947</v>
      </c>
      <c r="Z19" s="53" t="s">
        <v>1947</v>
      </c>
      <c r="AA19" s="53" t="s">
        <v>1947</v>
      </c>
      <c r="AB19" s="50">
        <f t="shared" si="13"/>
        <v>0</v>
      </c>
      <c r="AC19" s="50">
        <f t="shared" si="14"/>
        <v>0</v>
      </c>
      <c r="AD19" s="50">
        <f t="shared" si="15"/>
        <v>0</v>
      </c>
      <c r="AE19" s="50">
        <f t="shared" si="16"/>
        <v>0</v>
      </c>
      <c r="AF19" s="50">
        <f t="shared" si="17"/>
        <v>0</v>
      </c>
      <c r="AG19" s="50">
        <f t="shared" si="18"/>
        <v>0</v>
      </c>
      <c r="AH19" s="51">
        <f t="shared" si="19"/>
        <v>0</v>
      </c>
      <c r="AI19" s="51">
        <f t="shared" si="20"/>
        <v>83.333333333333343</v>
      </c>
      <c r="AJ19" s="53" t="s">
        <v>1948</v>
      </c>
      <c r="AK19" s="53" t="s">
        <v>1948</v>
      </c>
      <c r="AL19" s="53" t="s">
        <v>1948</v>
      </c>
      <c r="AM19" s="50">
        <f t="shared" si="21"/>
        <v>1</v>
      </c>
      <c r="AN19" s="50">
        <f t="shared" si="22"/>
        <v>1</v>
      </c>
      <c r="AO19" s="50">
        <f t="shared" si="23"/>
        <v>1</v>
      </c>
      <c r="AP19" s="50">
        <f t="shared" si="24"/>
        <v>3</v>
      </c>
      <c r="AQ19" s="50">
        <f t="shared" si="25"/>
        <v>100</v>
      </c>
      <c r="AR19" s="36" t="s">
        <v>2166</v>
      </c>
      <c r="AS19" s="36" t="s">
        <v>2166</v>
      </c>
      <c r="AT19" s="36" t="s">
        <v>2166</v>
      </c>
      <c r="AU19" s="37">
        <f t="shared" si="26"/>
        <v>1</v>
      </c>
      <c r="AV19" s="37">
        <f t="shared" si="27"/>
        <v>1</v>
      </c>
      <c r="AW19" s="37">
        <f t="shared" si="28"/>
        <v>1</v>
      </c>
      <c r="AX19" s="37">
        <f t="shared" si="29"/>
        <v>0</v>
      </c>
      <c r="AY19" s="37">
        <f t="shared" si="30"/>
        <v>0</v>
      </c>
      <c r="AZ19" s="36" t="s">
        <v>2167</v>
      </c>
      <c r="BA19" s="36" t="s">
        <v>2167</v>
      </c>
      <c r="BB19" s="37">
        <f t="shared" si="31"/>
        <v>1</v>
      </c>
      <c r="BC19" s="37">
        <f t="shared" si="32"/>
        <v>0.75</v>
      </c>
      <c r="BD19" s="37">
        <f t="shared" si="33"/>
        <v>0.75</v>
      </c>
      <c r="BE19" s="37">
        <f t="shared" si="34"/>
        <v>0</v>
      </c>
      <c r="BF19" s="36" t="s">
        <v>2167</v>
      </c>
      <c r="BG19" s="36" t="s">
        <v>2167</v>
      </c>
      <c r="BH19" s="37">
        <f t="shared" si="35"/>
        <v>1</v>
      </c>
      <c r="BI19" s="37">
        <f t="shared" si="36"/>
        <v>0.75</v>
      </c>
      <c r="BJ19" s="37">
        <f t="shared" si="37"/>
        <v>0.75</v>
      </c>
      <c r="BK19" s="37">
        <f t="shared" si="38"/>
        <v>0</v>
      </c>
      <c r="BL19" s="36" t="s">
        <v>2167</v>
      </c>
      <c r="BM19" s="36" t="s">
        <v>2167</v>
      </c>
      <c r="BN19" s="37">
        <f t="shared" si="39"/>
        <v>1</v>
      </c>
      <c r="BO19" s="37">
        <f t="shared" si="40"/>
        <v>0.75</v>
      </c>
      <c r="BP19" s="37">
        <f t="shared" si="41"/>
        <v>0.75</v>
      </c>
      <c r="BQ19" s="37">
        <f t="shared" si="42"/>
        <v>0</v>
      </c>
      <c r="BR19" s="37">
        <f t="shared" si="43"/>
        <v>0</v>
      </c>
      <c r="BS19" s="36" t="s">
        <v>2080</v>
      </c>
      <c r="BT19" s="36" t="s">
        <v>2080</v>
      </c>
      <c r="BU19" s="36" t="s">
        <v>2080</v>
      </c>
      <c r="BV19" s="36" t="s">
        <v>2080</v>
      </c>
      <c r="BW19" s="37">
        <f t="shared" si="44"/>
        <v>0</v>
      </c>
      <c r="BX19" s="37">
        <f t="shared" si="45"/>
        <v>0</v>
      </c>
      <c r="BY19" s="37">
        <f t="shared" si="46"/>
        <v>0</v>
      </c>
      <c r="BZ19" s="37">
        <f t="shared" si="47"/>
        <v>0</v>
      </c>
      <c r="CA19" s="37">
        <f t="shared" si="48"/>
        <v>0</v>
      </c>
      <c r="CB19" s="37">
        <f t="shared" si="49"/>
        <v>0</v>
      </c>
      <c r="CC19" s="37">
        <f t="shared" si="50"/>
        <v>0</v>
      </c>
      <c r="CD19" s="37">
        <f t="shared" si="51"/>
        <v>0</v>
      </c>
      <c r="CE19" s="36" t="s">
        <v>2067</v>
      </c>
      <c r="CF19" s="36" t="s">
        <v>2067</v>
      </c>
      <c r="CG19" s="36" t="s">
        <v>2067</v>
      </c>
      <c r="CH19" s="36" t="s">
        <v>2080</v>
      </c>
      <c r="CI19" s="37">
        <f t="shared" si="52"/>
        <v>0</v>
      </c>
      <c r="CJ19" s="37">
        <f t="shared" si="53"/>
        <v>0</v>
      </c>
      <c r="CK19" s="37">
        <f t="shared" si="54"/>
        <v>0</v>
      </c>
      <c r="CL19" s="37">
        <f t="shared" si="55"/>
        <v>0</v>
      </c>
      <c r="CM19" s="37">
        <f t="shared" si="56"/>
        <v>0</v>
      </c>
      <c r="CN19" s="37">
        <f t="shared" si="57"/>
        <v>0</v>
      </c>
      <c r="CO19" s="37">
        <f t="shared" si="58"/>
        <v>0</v>
      </c>
      <c r="CP19" s="37">
        <f t="shared" si="59"/>
        <v>0</v>
      </c>
      <c r="CQ19" s="37">
        <f t="shared" si="60"/>
        <v>3.3333333333333339</v>
      </c>
      <c r="CR19" s="37">
        <f t="shared" si="61"/>
        <v>5</v>
      </c>
      <c r="CS19" s="37">
        <f t="shared" si="62"/>
        <v>0</v>
      </c>
      <c r="CT19" s="37">
        <f t="shared" si="63"/>
        <v>10</v>
      </c>
      <c r="CU19" s="37">
        <f t="shared" si="64"/>
        <v>0</v>
      </c>
      <c r="CV19" s="37">
        <f t="shared" si="65"/>
        <v>0</v>
      </c>
      <c r="CW19" s="37">
        <f t="shared" si="66"/>
        <v>0</v>
      </c>
      <c r="CX19" s="37">
        <f t="shared" si="67"/>
        <v>0</v>
      </c>
      <c r="CY19" s="37">
        <f t="shared" si="68"/>
        <v>0</v>
      </c>
      <c r="CZ19" s="37">
        <f t="shared" si="69"/>
        <v>18.333333333333336</v>
      </c>
    </row>
    <row r="20" spans="1:104" x14ac:dyDescent="0.25">
      <c r="A20" s="149" t="s">
        <v>2182</v>
      </c>
      <c r="B20" s="53" t="s">
        <v>1948</v>
      </c>
      <c r="C20" s="53" t="s">
        <v>1948</v>
      </c>
      <c r="D20" s="53" t="s">
        <v>1947</v>
      </c>
      <c r="E20" s="61">
        <f t="shared" si="0"/>
        <v>1</v>
      </c>
      <c r="F20" s="61">
        <f t="shared" si="1"/>
        <v>1</v>
      </c>
      <c r="G20" s="61">
        <f t="shared" si="2"/>
        <v>0</v>
      </c>
      <c r="H20" s="61">
        <f t="shared" si="3"/>
        <v>2</v>
      </c>
      <c r="I20" s="53" t="s">
        <v>2165</v>
      </c>
      <c r="J20" s="53" t="s">
        <v>2165</v>
      </c>
      <c r="K20" s="53" t="s">
        <v>1948</v>
      </c>
      <c r="L20" s="61">
        <f t="shared" si="4"/>
        <v>0</v>
      </c>
      <c r="M20" s="61">
        <f t="shared" si="5"/>
        <v>0</v>
      </c>
      <c r="N20" s="61">
        <f t="shared" si="6"/>
        <v>1</v>
      </c>
      <c r="O20" s="61">
        <f t="shared" si="7"/>
        <v>1</v>
      </c>
      <c r="P20" s="61">
        <f t="shared" si="8"/>
        <v>50</v>
      </c>
      <c r="Q20" s="53" t="s">
        <v>1948</v>
      </c>
      <c r="R20" s="53" t="s">
        <v>1948</v>
      </c>
      <c r="S20" s="61">
        <f t="shared" si="9"/>
        <v>1</v>
      </c>
      <c r="T20" s="61">
        <f t="shared" si="10"/>
        <v>1</v>
      </c>
      <c r="U20" s="61">
        <f t="shared" si="11"/>
        <v>2</v>
      </c>
      <c r="V20" s="61">
        <f t="shared" si="12"/>
        <v>100</v>
      </c>
      <c r="W20" s="53" t="s">
        <v>1947</v>
      </c>
      <c r="X20" s="53" t="s">
        <v>1948</v>
      </c>
      <c r="Y20" s="53" t="s">
        <v>1947</v>
      </c>
      <c r="Z20" s="53" t="s">
        <v>1948</v>
      </c>
      <c r="AA20" s="53" t="s">
        <v>1947</v>
      </c>
      <c r="AB20" s="50">
        <f t="shared" si="13"/>
        <v>0</v>
      </c>
      <c r="AC20" s="50">
        <f t="shared" si="14"/>
        <v>1</v>
      </c>
      <c r="AD20" s="50">
        <f t="shared" si="15"/>
        <v>0</v>
      </c>
      <c r="AE20" s="50">
        <f t="shared" si="16"/>
        <v>1</v>
      </c>
      <c r="AF20" s="50">
        <f t="shared" si="17"/>
        <v>0</v>
      </c>
      <c r="AG20" s="50">
        <f t="shared" si="18"/>
        <v>2</v>
      </c>
      <c r="AH20" s="51">
        <f t="shared" si="19"/>
        <v>40</v>
      </c>
      <c r="AI20" s="51">
        <f t="shared" si="20"/>
        <v>190</v>
      </c>
      <c r="AJ20" s="53" t="s">
        <v>1948</v>
      </c>
      <c r="AK20" s="53" t="s">
        <v>1948</v>
      </c>
      <c r="AL20" s="53" t="s">
        <v>1948</v>
      </c>
      <c r="AM20" s="50">
        <f t="shared" si="21"/>
        <v>1</v>
      </c>
      <c r="AN20" s="50">
        <f t="shared" si="22"/>
        <v>1</v>
      </c>
      <c r="AO20" s="50">
        <f t="shared" si="23"/>
        <v>1</v>
      </c>
      <c r="AP20" s="50">
        <f t="shared" si="24"/>
        <v>3</v>
      </c>
      <c r="AQ20" s="50">
        <f t="shared" si="25"/>
        <v>100</v>
      </c>
      <c r="AR20" s="36" t="s">
        <v>2166</v>
      </c>
      <c r="AS20" s="36" t="s">
        <v>2166</v>
      </c>
      <c r="AT20" s="36" t="s">
        <v>2166</v>
      </c>
      <c r="AU20" s="37">
        <f t="shared" si="26"/>
        <v>1</v>
      </c>
      <c r="AV20" s="37">
        <f t="shared" si="27"/>
        <v>1</v>
      </c>
      <c r="AW20" s="37">
        <f t="shared" si="28"/>
        <v>1</v>
      </c>
      <c r="AX20" s="37">
        <f t="shared" si="29"/>
        <v>0</v>
      </c>
      <c r="AY20" s="37">
        <f t="shared" si="30"/>
        <v>0</v>
      </c>
      <c r="AZ20" s="36" t="s">
        <v>2167</v>
      </c>
      <c r="BA20" s="36" t="s">
        <v>2167</v>
      </c>
      <c r="BB20" s="37">
        <f t="shared" si="31"/>
        <v>1</v>
      </c>
      <c r="BC20" s="37">
        <f t="shared" si="32"/>
        <v>0.75</v>
      </c>
      <c r="BD20" s="37">
        <f t="shared" si="33"/>
        <v>0.75</v>
      </c>
      <c r="BE20" s="37">
        <f t="shared" si="34"/>
        <v>0</v>
      </c>
      <c r="BF20" s="36" t="s">
        <v>2167</v>
      </c>
      <c r="BG20" s="36" t="s">
        <v>2167</v>
      </c>
      <c r="BH20" s="37">
        <f t="shared" si="35"/>
        <v>1</v>
      </c>
      <c r="BI20" s="37">
        <f t="shared" si="36"/>
        <v>0.75</v>
      </c>
      <c r="BJ20" s="37">
        <f t="shared" si="37"/>
        <v>0.75</v>
      </c>
      <c r="BK20" s="37">
        <f t="shared" si="38"/>
        <v>0</v>
      </c>
      <c r="BL20" s="36" t="s">
        <v>2167</v>
      </c>
      <c r="BM20" s="36" t="s">
        <v>2167</v>
      </c>
      <c r="BN20" s="37">
        <f t="shared" si="39"/>
        <v>1</v>
      </c>
      <c r="BO20" s="37">
        <f t="shared" si="40"/>
        <v>0.75</v>
      </c>
      <c r="BP20" s="37">
        <f t="shared" si="41"/>
        <v>0.75</v>
      </c>
      <c r="BQ20" s="37">
        <f t="shared" si="42"/>
        <v>0</v>
      </c>
      <c r="BR20" s="37">
        <f t="shared" si="43"/>
        <v>0</v>
      </c>
      <c r="BS20" s="36" t="s">
        <v>2080</v>
      </c>
      <c r="BT20" s="36" t="s">
        <v>2080</v>
      </c>
      <c r="BU20" s="36" t="s">
        <v>2080</v>
      </c>
      <c r="BV20" s="36" t="s">
        <v>2080</v>
      </c>
      <c r="BW20" s="37">
        <f t="shared" si="44"/>
        <v>0</v>
      </c>
      <c r="BX20" s="37">
        <f t="shared" si="45"/>
        <v>0</v>
      </c>
      <c r="BY20" s="37">
        <f t="shared" si="46"/>
        <v>0</v>
      </c>
      <c r="BZ20" s="37">
        <f t="shared" si="47"/>
        <v>0</v>
      </c>
      <c r="CA20" s="37">
        <f t="shared" si="48"/>
        <v>0</v>
      </c>
      <c r="CB20" s="37">
        <f t="shared" si="49"/>
        <v>0</v>
      </c>
      <c r="CC20" s="37">
        <f t="shared" si="50"/>
        <v>0</v>
      </c>
      <c r="CD20" s="37">
        <f t="shared" si="51"/>
        <v>0</v>
      </c>
      <c r="CE20" s="36" t="s">
        <v>2067</v>
      </c>
      <c r="CF20" s="36" t="s">
        <v>2067</v>
      </c>
      <c r="CG20" s="36" t="s">
        <v>2067</v>
      </c>
      <c r="CH20" s="36" t="s">
        <v>2080</v>
      </c>
      <c r="CI20" s="37">
        <f t="shared" si="52"/>
        <v>0</v>
      </c>
      <c r="CJ20" s="37">
        <f t="shared" si="53"/>
        <v>0</v>
      </c>
      <c r="CK20" s="37">
        <f t="shared" si="54"/>
        <v>0</v>
      </c>
      <c r="CL20" s="37">
        <f t="shared" si="55"/>
        <v>0</v>
      </c>
      <c r="CM20" s="37">
        <f t="shared" si="56"/>
        <v>0</v>
      </c>
      <c r="CN20" s="37">
        <f t="shared" si="57"/>
        <v>0</v>
      </c>
      <c r="CO20" s="37">
        <f t="shared" si="58"/>
        <v>0</v>
      </c>
      <c r="CP20" s="37">
        <f t="shared" si="59"/>
        <v>0</v>
      </c>
      <c r="CQ20" s="37">
        <f t="shared" si="60"/>
        <v>5</v>
      </c>
      <c r="CR20" s="37">
        <f t="shared" si="61"/>
        <v>10</v>
      </c>
      <c r="CS20" s="37">
        <f t="shared" si="62"/>
        <v>4</v>
      </c>
      <c r="CT20" s="37">
        <f t="shared" si="63"/>
        <v>10</v>
      </c>
      <c r="CU20" s="37">
        <f t="shared" si="64"/>
        <v>0</v>
      </c>
      <c r="CV20" s="37">
        <f t="shared" si="65"/>
        <v>0</v>
      </c>
      <c r="CW20" s="37">
        <f t="shared" si="66"/>
        <v>0</v>
      </c>
      <c r="CX20" s="37">
        <f t="shared" si="67"/>
        <v>0</v>
      </c>
      <c r="CY20" s="37">
        <f t="shared" si="68"/>
        <v>0</v>
      </c>
      <c r="CZ20" s="37">
        <f t="shared" si="69"/>
        <v>29</v>
      </c>
    </row>
    <row r="21" spans="1:104" x14ac:dyDescent="0.25">
      <c r="A21" s="149" t="s">
        <v>2183</v>
      </c>
      <c r="B21" s="53" t="s">
        <v>1947</v>
      </c>
      <c r="C21" s="53" t="s">
        <v>1948</v>
      </c>
      <c r="D21" s="53" t="s">
        <v>1947</v>
      </c>
      <c r="E21" s="61">
        <f t="shared" si="0"/>
        <v>0</v>
      </c>
      <c r="F21" s="61">
        <f t="shared" si="1"/>
        <v>1</v>
      </c>
      <c r="G21" s="61">
        <f t="shared" si="2"/>
        <v>0</v>
      </c>
      <c r="H21" s="61">
        <f t="shared" si="3"/>
        <v>1</v>
      </c>
      <c r="I21" s="53" t="s">
        <v>2165</v>
      </c>
      <c r="J21" s="53" t="s">
        <v>2165</v>
      </c>
      <c r="K21" s="53" t="s">
        <v>1948</v>
      </c>
      <c r="L21" s="61">
        <f t="shared" si="4"/>
        <v>0</v>
      </c>
      <c r="M21" s="61">
        <f t="shared" si="5"/>
        <v>0</v>
      </c>
      <c r="N21" s="61">
        <f t="shared" si="6"/>
        <v>1</v>
      </c>
      <c r="O21" s="61">
        <f t="shared" si="7"/>
        <v>1</v>
      </c>
      <c r="P21" s="61">
        <f t="shared" si="8"/>
        <v>33.333333333333336</v>
      </c>
      <c r="Q21" s="53" t="s">
        <v>1948</v>
      </c>
      <c r="R21" s="53" t="s">
        <v>1947</v>
      </c>
      <c r="S21" s="61">
        <f t="shared" si="9"/>
        <v>1</v>
      </c>
      <c r="T21" s="61">
        <f t="shared" si="10"/>
        <v>0</v>
      </c>
      <c r="U21" s="61">
        <f t="shared" si="11"/>
        <v>1</v>
      </c>
      <c r="V21" s="61">
        <f t="shared" si="12"/>
        <v>50</v>
      </c>
      <c r="W21" s="53" t="s">
        <v>1947</v>
      </c>
      <c r="X21" s="53" t="s">
        <v>1947</v>
      </c>
      <c r="Y21" s="53" t="s">
        <v>1947</v>
      </c>
      <c r="Z21" s="53" t="s">
        <v>1947</v>
      </c>
      <c r="AA21" s="53" t="s">
        <v>1947</v>
      </c>
      <c r="AB21" s="50">
        <f t="shared" si="13"/>
        <v>0</v>
      </c>
      <c r="AC21" s="50">
        <f t="shared" si="14"/>
        <v>0</v>
      </c>
      <c r="AD21" s="50">
        <f t="shared" si="15"/>
        <v>0</v>
      </c>
      <c r="AE21" s="50">
        <f t="shared" si="16"/>
        <v>0</v>
      </c>
      <c r="AF21" s="50">
        <f t="shared" si="17"/>
        <v>0</v>
      </c>
      <c r="AG21" s="50">
        <f t="shared" si="18"/>
        <v>0</v>
      </c>
      <c r="AH21" s="51">
        <f t="shared" si="19"/>
        <v>0</v>
      </c>
      <c r="AI21" s="51">
        <f t="shared" si="20"/>
        <v>83.333333333333343</v>
      </c>
      <c r="AJ21" s="53" t="s">
        <v>1948</v>
      </c>
      <c r="AK21" s="53" t="s">
        <v>1948</v>
      </c>
      <c r="AL21" s="53" t="s">
        <v>1948</v>
      </c>
      <c r="AM21" s="50">
        <f t="shared" si="21"/>
        <v>1</v>
      </c>
      <c r="AN21" s="50">
        <f t="shared" si="22"/>
        <v>1</v>
      </c>
      <c r="AO21" s="50">
        <f t="shared" si="23"/>
        <v>1</v>
      </c>
      <c r="AP21" s="50">
        <f t="shared" si="24"/>
        <v>3</v>
      </c>
      <c r="AQ21" s="50">
        <f t="shared" si="25"/>
        <v>100</v>
      </c>
      <c r="AR21" s="36" t="s">
        <v>2166</v>
      </c>
      <c r="AS21" s="36" t="s">
        <v>2166</v>
      </c>
      <c r="AT21" s="36" t="s">
        <v>2166</v>
      </c>
      <c r="AU21" s="37">
        <f t="shared" si="26"/>
        <v>1</v>
      </c>
      <c r="AV21" s="37">
        <f t="shared" si="27"/>
        <v>1</v>
      </c>
      <c r="AW21" s="37">
        <f t="shared" si="28"/>
        <v>1</v>
      </c>
      <c r="AX21" s="37">
        <f t="shared" si="29"/>
        <v>0</v>
      </c>
      <c r="AY21" s="37">
        <f t="shared" si="30"/>
        <v>0</v>
      </c>
      <c r="AZ21" s="36" t="s">
        <v>2167</v>
      </c>
      <c r="BA21" s="36" t="s">
        <v>2167</v>
      </c>
      <c r="BB21" s="37">
        <f t="shared" si="31"/>
        <v>1</v>
      </c>
      <c r="BC21" s="37">
        <f t="shared" si="32"/>
        <v>0.75</v>
      </c>
      <c r="BD21" s="37">
        <f t="shared" si="33"/>
        <v>0.75</v>
      </c>
      <c r="BE21" s="37">
        <f t="shared" si="34"/>
        <v>0</v>
      </c>
      <c r="BF21" s="36" t="s">
        <v>2167</v>
      </c>
      <c r="BG21" s="36" t="s">
        <v>2167</v>
      </c>
      <c r="BH21" s="37">
        <f t="shared" si="35"/>
        <v>1</v>
      </c>
      <c r="BI21" s="37">
        <f t="shared" si="36"/>
        <v>0.75</v>
      </c>
      <c r="BJ21" s="37">
        <f t="shared" si="37"/>
        <v>0.75</v>
      </c>
      <c r="BK21" s="37">
        <f t="shared" si="38"/>
        <v>0</v>
      </c>
      <c r="BL21" s="36" t="s">
        <v>2167</v>
      </c>
      <c r="BM21" s="36" t="s">
        <v>2167</v>
      </c>
      <c r="BN21" s="37">
        <f t="shared" si="39"/>
        <v>1</v>
      </c>
      <c r="BO21" s="37">
        <f t="shared" si="40"/>
        <v>0.75</v>
      </c>
      <c r="BP21" s="37">
        <f t="shared" si="41"/>
        <v>0.75</v>
      </c>
      <c r="BQ21" s="37">
        <f t="shared" si="42"/>
        <v>0</v>
      </c>
      <c r="BR21" s="37">
        <f t="shared" si="43"/>
        <v>0</v>
      </c>
      <c r="BS21" s="36" t="s">
        <v>2080</v>
      </c>
      <c r="BT21" s="36" t="s">
        <v>2080</v>
      </c>
      <c r="BU21" s="36" t="s">
        <v>2080</v>
      </c>
      <c r="BV21" s="36" t="s">
        <v>2080</v>
      </c>
      <c r="BW21" s="37">
        <f t="shared" si="44"/>
        <v>0</v>
      </c>
      <c r="BX21" s="37">
        <f t="shared" si="45"/>
        <v>0</v>
      </c>
      <c r="BY21" s="37">
        <f t="shared" si="46"/>
        <v>0</v>
      </c>
      <c r="BZ21" s="37">
        <f t="shared" si="47"/>
        <v>0</v>
      </c>
      <c r="CA21" s="37">
        <f t="shared" si="48"/>
        <v>0</v>
      </c>
      <c r="CB21" s="37">
        <f t="shared" si="49"/>
        <v>0</v>
      </c>
      <c r="CC21" s="37">
        <f t="shared" si="50"/>
        <v>0</v>
      </c>
      <c r="CD21" s="37">
        <f t="shared" si="51"/>
        <v>0</v>
      </c>
      <c r="CE21" s="36" t="s">
        <v>2067</v>
      </c>
      <c r="CF21" s="36" t="s">
        <v>2067</v>
      </c>
      <c r="CG21" s="36" t="s">
        <v>2067</v>
      </c>
      <c r="CH21" s="36" t="s">
        <v>2080</v>
      </c>
      <c r="CI21" s="37">
        <f t="shared" si="52"/>
        <v>0</v>
      </c>
      <c r="CJ21" s="37">
        <f t="shared" si="53"/>
        <v>0</v>
      </c>
      <c r="CK21" s="37">
        <f t="shared" si="54"/>
        <v>0</v>
      </c>
      <c r="CL21" s="37">
        <f t="shared" si="55"/>
        <v>0</v>
      </c>
      <c r="CM21" s="37">
        <f t="shared" si="56"/>
        <v>0</v>
      </c>
      <c r="CN21" s="37">
        <f t="shared" si="57"/>
        <v>0</v>
      </c>
      <c r="CO21" s="37">
        <f t="shared" si="58"/>
        <v>0</v>
      </c>
      <c r="CP21" s="37">
        <f t="shared" si="59"/>
        <v>0</v>
      </c>
      <c r="CQ21" s="37">
        <f t="shared" si="60"/>
        <v>3.3333333333333339</v>
      </c>
      <c r="CR21" s="37">
        <f t="shared" si="61"/>
        <v>5</v>
      </c>
      <c r="CS21" s="37">
        <f t="shared" si="62"/>
        <v>0</v>
      </c>
      <c r="CT21" s="37">
        <f t="shared" si="63"/>
        <v>10</v>
      </c>
      <c r="CU21" s="37">
        <f t="shared" si="64"/>
        <v>0</v>
      </c>
      <c r="CV21" s="37">
        <f t="shared" si="65"/>
        <v>0</v>
      </c>
      <c r="CW21" s="37">
        <f t="shared" si="66"/>
        <v>0</v>
      </c>
      <c r="CX21" s="37">
        <f t="shared" si="67"/>
        <v>0</v>
      </c>
      <c r="CY21" s="37">
        <f t="shared" si="68"/>
        <v>0</v>
      </c>
      <c r="CZ21" s="37">
        <f t="shared" si="69"/>
        <v>18.333333333333336</v>
      </c>
    </row>
    <row r="22" spans="1:104" x14ac:dyDescent="0.25">
      <c r="A22" s="149" t="s">
        <v>2184</v>
      </c>
      <c r="B22" s="53" t="s">
        <v>1947</v>
      </c>
      <c r="C22" s="53" t="s">
        <v>1948</v>
      </c>
      <c r="D22" s="53" t="s">
        <v>1947</v>
      </c>
      <c r="E22" s="61">
        <f t="shared" si="0"/>
        <v>0</v>
      </c>
      <c r="F22" s="61">
        <f t="shared" si="1"/>
        <v>1</v>
      </c>
      <c r="G22" s="61">
        <f t="shared" si="2"/>
        <v>0</v>
      </c>
      <c r="H22" s="61">
        <f t="shared" si="3"/>
        <v>1</v>
      </c>
      <c r="I22" s="53" t="s">
        <v>2165</v>
      </c>
      <c r="J22" s="53" t="s">
        <v>2165</v>
      </c>
      <c r="K22" s="53" t="s">
        <v>1948</v>
      </c>
      <c r="L22" s="61">
        <f t="shared" si="4"/>
        <v>0</v>
      </c>
      <c r="M22" s="61">
        <f t="shared" si="5"/>
        <v>0</v>
      </c>
      <c r="N22" s="61">
        <f t="shared" si="6"/>
        <v>1</v>
      </c>
      <c r="O22" s="61">
        <f t="shared" si="7"/>
        <v>1</v>
      </c>
      <c r="P22" s="61">
        <f t="shared" si="8"/>
        <v>33.333333333333336</v>
      </c>
      <c r="Q22" s="53" t="s">
        <v>1948</v>
      </c>
      <c r="R22" s="53" t="s">
        <v>1947</v>
      </c>
      <c r="S22" s="61">
        <f t="shared" si="9"/>
        <v>1</v>
      </c>
      <c r="T22" s="61">
        <f t="shared" si="10"/>
        <v>0</v>
      </c>
      <c r="U22" s="61">
        <f t="shared" si="11"/>
        <v>1</v>
      </c>
      <c r="V22" s="61">
        <f t="shared" si="12"/>
        <v>50</v>
      </c>
      <c r="W22" s="53" t="s">
        <v>1947</v>
      </c>
      <c r="X22" s="53" t="s">
        <v>1947</v>
      </c>
      <c r="Y22" s="53" t="s">
        <v>1947</v>
      </c>
      <c r="Z22" s="53" t="s">
        <v>1947</v>
      </c>
      <c r="AA22" s="53" t="s">
        <v>1947</v>
      </c>
      <c r="AB22" s="50">
        <f t="shared" si="13"/>
        <v>0</v>
      </c>
      <c r="AC22" s="50">
        <f t="shared" si="14"/>
        <v>0</v>
      </c>
      <c r="AD22" s="50">
        <f t="shared" si="15"/>
        <v>0</v>
      </c>
      <c r="AE22" s="50">
        <f t="shared" si="16"/>
        <v>0</v>
      </c>
      <c r="AF22" s="50">
        <f t="shared" si="17"/>
        <v>0</v>
      </c>
      <c r="AG22" s="50">
        <f t="shared" si="18"/>
        <v>0</v>
      </c>
      <c r="AH22" s="51">
        <f t="shared" si="19"/>
        <v>0</v>
      </c>
      <c r="AI22" s="51">
        <f t="shared" si="20"/>
        <v>83.333333333333343</v>
      </c>
      <c r="AJ22" s="53" t="s">
        <v>1948</v>
      </c>
      <c r="AK22" s="53" t="s">
        <v>1948</v>
      </c>
      <c r="AL22" s="53" t="s">
        <v>1948</v>
      </c>
      <c r="AM22" s="50">
        <f t="shared" si="21"/>
        <v>1</v>
      </c>
      <c r="AN22" s="50">
        <f t="shared" si="22"/>
        <v>1</v>
      </c>
      <c r="AO22" s="50">
        <f t="shared" si="23"/>
        <v>1</v>
      </c>
      <c r="AP22" s="50">
        <f t="shared" si="24"/>
        <v>3</v>
      </c>
      <c r="AQ22" s="50">
        <f t="shared" si="25"/>
        <v>100</v>
      </c>
      <c r="AR22" s="36" t="s">
        <v>2166</v>
      </c>
      <c r="AS22" s="36" t="s">
        <v>2166</v>
      </c>
      <c r="AT22" s="36" t="s">
        <v>2166</v>
      </c>
      <c r="AU22" s="37">
        <f t="shared" si="26"/>
        <v>1</v>
      </c>
      <c r="AV22" s="37">
        <f t="shared" si="27"/>
        <v>1</v>
      </c>
      <c r="AW22" s="37">
        <f t="shared" si="28"/>
        <v>1</v>
      </c>
      <c r="AX22" s="37">
        <f t="shared" si="29"/>
        <v>0</v>
      </c>
      <c r="AY22" s="37">
        <f t="shared" si="30"/>
        <v>0</v>
      </c>
      <c r="AZ22" s="36" t="s">
        <v>2167</v>
      </c>
      <c r="BA22" s="36" t="s">
        <v>2167</v>
      </c>
      <c r="BB22" s="37">
        <f t="shared" si="31"/>
        <v>1</v>
      </c>
      <c r="BC22" s="37">
        <f t="shared" si="32"/>
        <v>0.75</v>
      </c>
      <c r="BD22" s="37">
        <f t="shared" si="33"/>
        <v>0.75</v>
      </c>
      <c r="BE22" s="37">
        <f t="shared" si="34"/>
        <v>0</v>
      </c>
      <c r="BF22" s="36" t="s">
        <v>2167</v>
      </c>
      <c r="BG22" s="36" t="s">
        <v>2167</v>
      </c>
      <c r="BH22" s="37">
        <f t="shared" si="35"/>
        <v>1</v>
      </c>
      <c r="BI22" s="37">
        <f t="shared" si="36"/>
        <v>0.75</v>
      </c>
      <c r="BJ22" s="37">
        <f t="shared" si="37"/>
        <v>0.75</v>
      </c>
      <c r="BK22" s="37">
        <f t="shared" si="38"/>
        <v>0</v>
      </c>
      <c r="BL22" s="36" t="s">
        <v>2167</v>
      </c>
      <c r="BM22" s="36" t="s">
        <v>2167</v>
      </c>
      <c r="BN22" s="37">
        <f t="shared" si="39"/>
        <v>1</v>
      </c>
      <c r="BO22" s="37">
        <f t="shared" si="40"/>
        <v>0.75</v>
      </c>
      <c r="BP22" s="37">
        <f t="shared" si="41"/>
        <v>0.75</v>
      </c>
      <c r="BQ22" s="37">
        <f t="shared" si="42"/>
        <v>0</v>
      </c>
      <c r="BR22" s="37">
        <f t="shared" si="43"/>
        <v>0</v>
      </c>
      <c r="BS22" s="36" t="s">
        <v>2080</v>
      </c>
      <c r="BT22" s="36" t="s">
        <v>2080</v>
      </c>
      <c r="BU22" s="36" t="s">
        <v>2080</v>
      </c>
      <c r="BV22" s="36" t="s">
        <v>2080</v>
      </c>
      <c r="BW22" s="37">
        <f t="shared" si="44"/>
        <v>0</v>
      </c>
      <c r="BX22" s="37">
        <f t="shared" si="45"/>
        <v>0</v>
      </c>
      <c r="BY22" s="37">
        <f t="shared" si="46"/>
        <v>0</v>
      </c>
      <c r="BZ22" s="37">
        <f t="shared" si="47"/>
        <v>0</v>
      </c>
      <c r="CA22" s="37">
        <f t="shared" si="48"/>
        <v>0</v>
      </c>
      <c r="CB22" s="37">
        <f t="shared" si="49"/>
        <v>0</v>
      </c>
      <c r="CC22" s="37">
        <f t="shared" si="50"/>
        <v>0</v>
      </c>
      <c r="CD22" s="37">
        <f t="shared" si="51"/>
        <v>0</v>
      </c>
      <c r="CE22" s="36" t="s">
        <v>2067</v>
      </c>
      <c r="CF22" s="36" t="s">
        <v>2067</v>
      </c>
      <c r="CG22" s="36" t="s">
        <v>2067</v>
      </c>
      <c r="CH22" s="36" t="s">
        <v>2080</v>
      </c>
      <c r="CI22" s="37">
        <f t="shared" si="52"/>
        <v>0</v>
      </c>
      <c r="CJ22" s="37">
        <f t="shared" si="53"/>
        <v>0</v>
      </c>
      <c r="CK22" s="37">
        <f t="shared" si="54"/>
        <v>0</v>
      </c>
      <c r="CL22" s="37">
        <f t="shared" si="55"/>
        <v>0</v>
      </c>
      <c r="CM22" s="37">
        <f t="shared" si="56"/>
        <v>0</v>
      </c>
      <c r="CN22" s="37">
        <f t="shared" si="57"/>
        <v>0</v>
      </c>
      <c r="CO22" s="37">
        <f t="shared" si="58"/>
        <v>0</v>
      </c>
      <c r="CP22" s="37">
        <f t="shared" si="59"/>
        <v>0</v>
      </c>
      <c r="CQ22" s="37">
        <f t="shared" si="60"/>
        <v>3.3333333333333339</v>
      </c>
      <c r="CR22" s="37">
        <f t="shared" si="61"/>
        <v>5</v>
      </c>
      <c r="CS22" s="37">
        <f t="shared" si="62"/>
        <v>0</v>
      </c>
      <c r="CT22" s="37">
        <f t="shared" si="63"/>
        <v>10</v>
      </c>
      <c r="CU22" s="37">
        <f t="shared" si="64"/>
        <v>0</v>
      </c>
      <c r="CV22" s="37">
        <f t="shared" si="65"/>
        <v>0</v>
      </c>
      <c r="CW22" s="37">
        <f t="shared" si="66"/>
        <v>0</v>
      </c>
      <c r="CX22" s="37">
        <f t="shared" si="67"/>
        <v>0</v>
      </c>
      <c r="CY22" s="37">
        <f t="shared" si="68"/>
        <v>0</v>
      </c>
      <c r="CZ22" s="37">
        <f t="shared" si="69"/>
        <v>18.333333333333336</v>
      </c>
    </row>
    <row r="23" spans="1:104" x14ac:dyDescent="0.25">
      <c r="A23" s="149" t="s">
        <v>2185</v>
      </c>
      <c r="B23" s="53" t="s">
        <v>1947</v>
      </c>
      <c r="C23" s="53" t="s">
        <v>1948</v>
      </c>
      <c r="D23" s="53" t="s">
        <v>1947</v>
      </c>
      <c r="E23" s="61">
        <f t="shared" si="0"/>
        <v>0</v>
      </c>
      <c r="F23" s="61">
        <f t="shared" si="1"/>
        <v>1</v>
      </c>
      <c r="G23" s="61">
        <f t="shared" si="2"/>
        <v>0</v>
      </c>
      <c r="H23" s="61">
        <f t="shared" si="3"/>
        <v>1</v>
      </c>
      <c r="I23" s="53" t="s">
        <v>2165</v>
      </c>
      <c r="J23" s="53" t="s">
        <v>2165</v>
      </c>
      <c r="K23" s="53" t="s">
        <v>1948</v>
      </c>
      <c r="L23" s="61">
        <f t="shared" si="4"/>
        <v>0</v>
      </c>
      <c r="M23" s="61">
        <f t="shared" si="5"/>
        <v>0</v>
      </c>
      <c r="N23" s="61">
        <f t="shared" si="6"/>
        <v>1</v>
      </c>
      <c r="O23" s="61">
        <f t="shared" si="7"/>
        <v>1</v>
      </c>
      <c r="P23" s="61">
        <f t="shared" si="8"/>
        <v>33.333333333333336</v>
      </c>
      <c r="Q23" s="53" t="s">
        <v>1948</v>
      </c>
      <c r="R23" s="53" t="s">
        <v>1947</v>
      </c>
      <c r="S23" s="61">
        <f t="shared" si="9"/>
        <v>1</v>
      </c>
      <c r="T23" s="61">
        <f t="shared" si="10"/>
        <v>0</v>
      </c>
      <c r="U23" s="61">
        <f t="shared" si="11"/>
        <v>1</v>
      </c>
      <c r="V23" s="61">
        <f t="shared" si="12"/>
        <v>50</v>
      </c>
      <c r="W23" s="53" t="s">
        <v>1947</v>
      </c>
      <c r="X23" s="53" t="s">
        <v>1947</v>
      </c>
      <c r="Y23" s="53" t="s">
        <v>1947</v>
      </c>
      <c r="Z23" s="53" t="s">
        <v>1947</v>
      </c>
      <c r="AA23" s="53" t="s">
        <v>1947</v>
      </c>
      <c r="AB23" s="50">
        <f t="shared" si="13"/>
        <v>0</v>
      </c>
      <c r="AC23" s="50">
        <f t="shared" si="14"/>
        <v>0</v>
      </c>
      <c r="AD23" s="50">
        <f t="shared" si="15"/>
        <v>0</v>
      </c>
      <c r="AE23" s="50">
        <f t="shared" si="16"/>
        <v>0</v>
      </c>
      <c r="AF23" s="50">
        <f t="shared" si="17"/>
        <v>0</v>
      </c>
      <c r="AG23" s="50">
        <f t="shared" si="18"/>
        <v>0</v>
      </c>
      <c r="AH23" s="51">
        <f t="shared" si="19"/>
        <v>0</v>
      </c>
      <c r="AI23" s="51">
        <f t="shared" si="20"/>
        <v>83.333333333333343</v>
      </c>
      <c r="AJ23" s="53" t="s">
        <v>1948</v>
      </c>
      <c r="AK23" s="53" t="s">
        <v>1948</v>
      </c>
      <c r="AL23" s="53" t="s">
        <v>1948</v>
      </c>
      <c r="AM23" s="50">
        <f t="shared" si="21"/>
        <v>1</v>
      </c>
      <c r="AN23" s="50">
        <f t="shared" si="22"/>
        <v>1</v>
      </c>
      <c r="AO23" s="50">
        <f t="shared" si="23"/>
        <v>1</v>
      </c>
      <c r="AP23" s="50">
        <f t="shared" si="24"/>
        <v>3</v>
      </c>
      <c r="AQ23" s="50">
        <f t="shared" si="25"/>
        <v>100</v>
      </c>
      <c r="AR23" s="36" t="s">
        <v>2166</v>
      </c>
      <c r="AS23" s="36" t="s">
        <v>2166</v>
      </c>
      <c r="AT23" s="36" t="s">
        <v>2166</v>
      </c>
      <c r="AU23" s="37">
        <f t="shared" si="26"/>
        <v>1</v>
      </c>
      <c r="AV23" s="37">
        <f t="shared" si="27"/>
        <v>1</v>
      </c>
      <c r="AW23" s="37">
        <f t="shared" si="28"/>
        <v>1</v>
      </c>
      <c r="AX23" s="37">
        <f t="shared" si="29"/>
        <v>0</v>
      </c>
      <c r="AY23" s="37">
        <f t="shared" si="30"/>
        <v>0</v>
      </c>
      <c r="AZ23" s="36" t="s">
        <v>2167</v>
      </c>
      <c r="BA23" s="36" t="s">
        <v>2167</v>
      </c>
      <c r="BB23" s="37">
        <f t="shared" si="31"/>
        <v>1</v>
      </c>
      <c r="BC23" s="37">
        <f t="shared" si="32"/>
        <v>0.75</v>
      </c>
      <c r="BD23" s="37">
        <f t="shared" si="33"/>
        <v>0.75</v>
      </c>
      <c r="BE23" s="37">
        <f t="shared" si="34"/>
        <v>0</v>
      </c>
      <c r="BF23" s="36" t="s">
        <v>2167</v>
      </c>
      <c r="BG23" s="36" t="s">
        <v>2167</v>
      </c>
      <c r="BH23" s="37">
        <f t="shared" si="35"/>
        <v>1</v>
      </c>
      <c r="BI23" s="37">
        <f t="shared" si="36"/>
        <v>0.75</v>
      </c>
      <c r="BJ23" s="37">
        <f t="shared" si="37"/>
        <v>0.75</v>
      </c>
      <c r="BK23" s="37">
        <f t="shared" si="38"/>
        <v>0</v>
      </c>
      <c r="BL23" s="36" t="s">
        <v>2167</v>
      </c>
      <c r="BM23" s="36" t="s">
        <v>2167</v>
      </c>
      <c r="BN23" s="37">
        <f t="shared" si="39"/>
        <v>1</v>
      </c>
      <c r="BO23" s="37">
        <f t="shared" si="40"/>
        <v>0.75</v>
      </c>
      <c r="BP23" s="37">
        <f t="shared" si="41"/>
        <v>0.75</v>
      </c>
      <c r="BQ23" s="37">
        <f t="shared" si="42"/>
        <v>0</v>
      </c>
      <c r="BR23" s="37">
        <f t="shared" si="43"/>
        <v>0</v>
      </c>
      <c r="BS23" s="36" t="s">
        <v>2080</v>
      </c>
      <c r="BT23" s="36" t="s">
        <v>2080</v>
      </c>
      <c r="BU23" s="36" t="s">
        <v>2080</v>
      </c>
      <c r="BV23" s="36" t="s">
        <v>2080</v>
      </c>
      <c r="BW23" s="37">
        <f t="shared" si="44"/>
        <v>0</v>
      </c>
      <c r="BX23" s="37">
        <f t="shared" si="45"/>
        <v>0</v>
      </c>
      <c r="BY23" s="37">
        <f t="shared" si="46"/>
        <v>0</v>
      </c>
      <c r="BZ23" s="37">
        <f t="shared" si="47"/>
        <v>0</v>
      </c>
      <c r="CA23" s="37">
        <f t="shared" si="48"/>
        <v>0</v>
      </c>
      <c r="CB23" s="37">
        <f t="shared" si="49"/>
        <v>0</v>
      </c>
      <c r="CC23" s="37">
        <f t="shared" si="50"/>
        <v>0</v>
      </c>
      <c r="CD23" s="37">
        <f t="shared" si="51"/>
        <v>0</v>
      </c>
      <c r="CE23" s="36" t="s">
        <v>2067</v>
      </c>
      <c r="CF23" s="36" t="s">
        <v>2067</v>
      </c>
      <c r="CG23" s="36" t="s">
        <v>2067</v>
      </c>
      <c r="CH23" s="36" t="s">
        <v>2080</v>
      </c>
      <c r="CI23" s="37">
        <f t="shared" si="52"/>
        <v>0</v>
      </c>
      <c r="CJ23" s="37">
        <f t="shared" si="53"/>
        <v>0</v>
      </c>
      <c r="CK23" s="37">
        <f t="shared" si="54"/>
        <v>0</v>
      </c>
      <c r="CL23" s="37">
        <f t="shared" si="55"/>
        <v>0</v>
      </c>
      <c r="CM23" s="37">
        <f t="shared" si="56"/>
        <v>0</v>
      </c>
      <c r="CN23" s="37">
        <f t="shared" si="57"/>
        <v>0</v>
      </c>
      <c r="CO23" s="37">
        <f t="shared" si="58"/>
        <v>0</v>
      </c>
      <c r="CP23" s="37">
        <f t="shared" si="59"/>
        <v>0</v>
      </c>
      <c r="CQ23" s="37">
        <f t="shared" si="60"/>
        <v>3.3333333333333339</v>
      </c>
      <c r="CR23" s="37">
        <f t="shared" si="61"/>
        <v>5</v>
      </c>
      <c r="CS23" s="37">
        <f t="shared" si="62"/>
        <v>0</v>
      </c>
      <c r="CT23" s="37">
        <f t="shared" si="63"/>
        <v>10</v>
      </c>
      <c r="CU23" s="37">
        <f t="shared" si="64"/>
        <v>0</v>
      </c>
      <c r="CV23" s="37">
        <f t="shared" si="65"/>
        <v>0</v>
      </c>
      <c r="CW23" s="37">
        <f t="shared" si="66"/>
        <v>0</v>
      </c>
      <c r="CX23" s="37">
        <f t="shared" si="67"/>
        <v>0</v>
      </c>
      <c r="CY23" s="37">
        <f t="shared" si="68"/>
        <v>0</v>
      </c>
      <c r="CZ23" s="37">
        <f t="shared" si="69"/>
        <v>18.333333333333336</v>
      </c>
    </row>
    <row r="24" spans="1:104" x14ac:dyDescent="0.25">
      <c r="A24" s="149" t="s">
        <v>2186</v>
      </c>
      <c r="B24" s="53" t="s">
        <v>1947</v>
      </c>
      <c r="C24" s="53" t="s">
        <v>1948</v>
      </c>
      <c r="D24" s="53" t="s">
        <v>1947</v>
      </c>
      <c r="E24" s="61">
        <f t="shared" si="0"/>
        <v>0</v>
      </c>
      <c r="F24" s="61">
        <f t="shared" si="1"/>
        <v>1</v>
      </c>
      <c r="G24" s="61">
        <f t="shared" si="2"/>
        <v>0</v>
      </c>
      <c r="H24" s="61">
        <f t="shared" si="3"/>
        <v>1</v>
      </c>
      <c r="I24" s="53" t="s">
        <v>2165</v>
      </c>
      <c r="J24" s="53" t="s">
        <v>2165</v>
      </c>
      <c r="K24" s="53" t="s">
        <v>1948</v>
      </c>
      <c r="L24" s="61">
        <f t="shared" si="4"/>
        <v>0</v>
      </c>
      <c r="M24" s="61">
        <f t="shared" si="5"/>
        <v>0</v>
      </c>
      <c r="N24" s="61">
        <f t="shared" si="6"/>
        <v>1</v>
      </c>
      <c r="O24" s="61">
        <f t="shared" si="7"/>
        <v>1</v>
      </c>
      <c r="P24" s="61">
        <f t="shared" si="8"/>
        <v>33.333333333333336</v>
      </c>
      <c r="Q24" s="53" t="s">
        <v>1948</v>
      </c>
      <c r="R24" s="53" t="s">
        <v>1947</v>
      </c>
      <c r="S24" s="61">
        <f t="shared" si="9"/>
        <v>1</v>
      </c>
      <c r="T24" s="61">
        <f t="shared" si="10"/>
        <v>0</v>
      </c>
      <c r="U24" s="61">
        <f t="shared" si="11"/>
        <v>1</v>
      </c>
      <c r="V24" s="61">
        <f t="shared" si="12"/>
        <v>50</v>
      </c>
      <c r="W24" s="53" t="s">
        <v>1947</v>
      </c>
      <c r="X24" s="53" t="s">
        <v>1947</v>
      </c>
      <c r="Y24" s="53" t="s">
        <v>1947</v>
      </c>
      <c r="Z24" s="53" t="s">
        <v>1947</v>
      </c>
      <c r="AA24" s="53" t="s">
        <v>1947</v>
      </c>
      <c r="AB24" s="50">
        <f t="shared" si="13"/>
        <v>0</v>
      </c>
      <c r="AC24" s="50">
        <f t="shared" si="14"/>
        <v>0</v>
      </c>
      <c r="AD24" s="50">
        <f t="shared" si="15"/>
        <v>0</v>
      </c>
      <c r="AE24" s="50">
        <f t="shared" si="16"/>
        <v>0</v>
      </c>
      <c r="AF24" s="50">
        <f t="shared" si="17"/>
        <v>0</v>
      </c>
      <c r="AG24" s="50">
        <f t="shared" si="18"/>
        <v>0</v>
      </c>
      <c r="AH24" s="51">
        <f t="shared" si="19"/>
        <v>0</v>
      </c>
      <c r="AI24" s="51">
        <f t="shared" si="20"/>
        <v>83.333333333333343</v>
      </c>
      <c r="AJ24" s="53" t="s">
        <v>1948</v>
      </c>
      <c r="AK24" s="53" t="s">
        <v>1948</v>
      </c>
      <c r="AL24" s="53" t="s">
        <v>1948</v>
      </c>
      <c r="AM24" s="50">
        <f t="shared" si="21"/>
        <v>1</v>
      </c>
      <c r="AN24" s="50">
        <f t="shared" si="22"/>
        <v>1</v>
      </c>
      <c r="AO24" s="50">
        <f t="shared" si="23"/>
        <v>1</v>
      </c>
      <c r="AP24" s="50">
        <f t="shared" si="24"/>
        <v>3</v>
      </c>
      <c r="AQ24" s="50">
        <f t="shared" si="25"/>
        <v>100</v>
      </c>
      <c r="AR24" s="36" t="s">
        <v>2166</v>
      </c>
      <c r="AS24" s="36" t="s">
        <v>2166</v>
      </c>
      <c r="AT24" s="36" t="s">
        <v>2166</v>
      </c>
      <c r="AU24" s="37">
        <f t="shared" si="26"/>
        <v>1</v>
      </c>
      <c r="AV24" s="37">
        <f t="shared" si="27"/>
        <v>1</v>
      </c>
      <c r="AW24" s="37">
        <f t="shared" si="28"/>
        <v>1</v>
      </c>
      <c r="AX24" s="37">
        <f t="shared" si="29"/>
        <v>0</v>
      </c>
      <c r="AY24" s="37">
        <f t="shared" si="30"/>
        <v>0</v>
      </c>
      <c r="AZ24" s="36" t="s">
        <v>2167</v>
      </c>
      <c r="BA24" s="36" t="s">
        <v>2167</v>
      </c>
      <c r="BB24" s="37">
        <f t="shared" si="31"/>
        <v>1</v>
      </c>
      <c r="BC24" s="37">
        <f t="shared" si="32"/>
        <v>0.75</v>
      </c>
      <c r="BD24" s="37">
        <f t="shared" si="33"/>
        <v>0.75</v>
      </c>
      <c r="BE24" s="37">
        <f t="shared" si="34"/>
        <v>0</v>
      </c>
      <c r="BF24" s="36" t="s">
        <v>2167</v>
      </c>
      <c r="BG24" s="36" t="s">
        <v>2167</v>
      </c>
      <c r="BH24" s="37">
        <f t="shared" si="35"/>
        <v>1</v>
      </c>
      <c r="BI24" s="37">
        <f t="shared" si="36"/>
        <v>0.75</v>
      </c>
      <c r="BJ24" s="37">
        <f t="shared" si="37"/>
        <v>0.75</v>
      </c>
      <c r="BK24" s="37">
        <f t="shared" si="38"/>
        <v>0</v>
      </c>
      <c r="BL24" s="36" t="s">
        <v>2167</v>
      </c>
      <c r="BM24" s="36" t="s">
        <v>2167</v>
      </c>
      <c r="BN24" s="37">
        <f t="shared" si="39"/>
        <v>1</v>
      </c>
      <c r="BO24" s="37">
        <f t="shared" si="40"/>
        <v>0.75</v>
      </c>
      <c r="BP24" s="37">
        <f t="shared" si="41"/>
        <v>0.75</v>
      </c>
      <c r="BQ24" s="37">
        <f t="shared" si="42"/>
        <v>0</v>
      </c>
      <c r="BR24" s="37">
        <f t="shared" si="43"/>
        <v>0</v>
      </c>
      <c r="BS24" s="36" t="s">
        <v>2080</v>
      </c>
      <c r="BT24" s="36" t="s">
        <v>2080</v>
      </c>
      <c r="BU24" s="36" t="s">
        <v>2080</v>
      </c>
      <c r="BV24" s="36" t="s">
        <v>2080</v>
      </c>
      <c r="BW24" s="37">
        <f t="shared" si="44"/>
        <v>0</v>
      </c>
      <c r="BX24" s="37">
        <f t="shared" si="45"/>
        <v>0</v>
      </c>
      <c r="BY24" s="37">
        <f t="shared" si="46"/>
        <v>0</v>
      </c>
      <c r="BZ24" s="37">
        <f t="shared" si="47"/>
        <v>0</v>
      </c>
      <c r="CA24" s="37">
        <f t="shared" si="48"/>
        <v>0</v>
      </c>
      <c r="CB24" s="37">
        <f t="shared" si="49"/>
        <v>0</v>
      </c>
      <c r="CC24" s="37">
        <f t="shared" si="50"/>
        <v>0</v>
      </c>
      <c r="CD24" s="37">
        <f t="shared" si="51"/>
        <v>0</v>
      </c>
      <c r="CE24" s="36" t="s">
        <v>2067</v>
      </c>
      <c r="CF24" s="36" t="s">
        <v>2067</v>
      </c>
      <c r="CG24" s="36" t="s">
        <v>2067</v>
      </c>
      <c r="CH24" s="36" t="s">
        <v>2080</v>
      </c>
      <c r="CI24" s="37">
        <f t="shared" si="52"/>
        <v>0</v>
      </c>
      <c r="CJ24" s="37">
        <f t="shared" si="53"/>
        <v>0</v>
      </c>
      <c r="CK24" s="37">
        <f t="shared" si="54"/>
        <v>0</v>
      </c>
      <c r="CL24" s="37">
        <f t="shared" si="55"/>
        <v>0</v>
      </c>
      <c r="CM24" s="37">
        <f t="shared" si="56"/>
        <v>0</v>
      </c>
      <c r="CN24" s="37">
        <f t="shared" si="57"/>
        <v>0</v>
      </c>
      <c r="CO24" s="37">
        <f t="shared" si="58"/>
        <v>0</v>
      </c>
      <c r="CP24" s="37">
        <f t="shared" si="59"/>
        <v>0</v>
      </c>
      <c r="CQ24" s="37">
        <f t="shared" si="60"/>
        <v>3.3333333333333339</v>
      </c>
      <c r="CR24" s="37">
        <f t="shared" si="61"/>
        <v>5</v>
      </c>
      <c r="CS24" s="37">
        <f t="shared" si="62"/>
        <v>0</v>
      </c>
      <c r="CT24" s="37">
        <f t="shared" si="63"/>
        <v>10</v>
      </c>
      <c r="CU24" s="37">
        <f t="shared" si="64"/>
        <v>0</v>
      </c>
      <c r="CV24" s="37">
        <f t="shared" si="65"/>
        <v>0</v>
      </c>
      <c r="CW24" s="37">
        <f t="shared" si="66"/>
        <v>0</v>
      </c>
      <c r="CX24" s="37">
        <f t="shared" si="67"/>
        <v>0</v>
      </c>
      <c r="CY24" s="37">
        <f t="shared" si="68"/>
        <v>0</v>
      </c>
      <c r="CZ24" s="37">
        <f t="shared" si="69"/>
        <v>18.333333333333336</v>
      </c>
    </row>
    <row r="25" spans="1:104" x14ac:dyDescent="0.25">
      <c r="A25" s="149" t="s">
        <v>2187</v>
      </c>
      <c r="B25" s="53" t="s">
        <v>1947</v>
      </c>
      <c r="C25" s="53" t="s">
        <v>1948</v>
      </c>
      <c r="D25" s="53" t="s">
        <v>1947</v>
      </c>
      <c r="E25" s="61">
        <f t="shared" si="0"/>
        <v>0</v>
      </c>
      <c r="F25" s="61">
        <f t="shared" si="1"/>
        <v>1</v>
      </c>
      <c r="G25" s="61">
        <f t="shared" si="2"/>
        <v>0</v>
      </c>
      <c r="H25" s="61">
        <f t="shared" si="3"/>
        <v>1</v>
      </c>
      <c r="I25" s="53" t="s">
        <v>2165</v>
      </c>
      <c r="J25" s="53" t="s">
        <v>2165</v>
      </c>
      <c r="K25" s="53" t="s">
        <v>1948</v>
      </c>
      <c r="L25" s="61">
        <f t="shared" si="4"/>
        <v>0</v>
      </c>
      <c r="M25" s="61">
        <f t="shared" si="5"/>
        <v>0</v>
      </c>
      <c r="N25" s="61">
        <f t="shared" si="6"/>
        <v>1</v>
      </c>
      <c r="O25" s="61">
        <f t="shared" si="7"/>
        <v>1</v>
      </c>
      <c r="P25" s="61">
        <f t="shared" si="8"/>
        <v>33.333333333333336</v>
      </c>
      <c r="Q25" s="53" t="s">
        <v>1948</v>
      </c>
      <c r="R25" s="53" t="s">
        <v>1947</v>
      </c>
      <c r="S25" s="61">
        <f t="shared" si="9"/>
        <v>1</v>
      </c>
      <c r="T25" s="61">
        <f t="shared" si="10"/>
        <v>0</v>
      </c>
      <c r="U25" s="61">
        <f t="shared" si="11"/>
        <v>1</v>
      </c>
      <c r="V25" s="61">
        <f t="shared" si="12"/>
        <v>50</v>
      </c>
      <c r="W25" s="53" t="s">
        <v>1947</v>
      </c>
      <c r="X25" s="53" t="s">
        <v>1947</v>
      </c>
      <c r="Y25" s="53" t="s">
        <v>1947</v>
      </c>
      <c r="Z25" s="53" t="s">
        <v>1947</v>
      </c>
      <c r="AA25" s="53" t="s">
        <v>1947</v>
      </c>
      <c r="AB25" s="50">
        <f t="shared" si="13"/>
        <v>0</v>
      </c>
      <c r="AC25" s="50">
        <f t="shared" si="14"/>
        <v>0</v>
      </c>
      <c r="AD25" s="50">
        <f t="shared" si="15"/>
        <v>0</v>
      </c>
      <c r="AE25" s="50">
        <f t="shared" si="16"/>
        <v>0</v>
      </c>
      <c r="AF25" s="50">
        <f t="shared" si="17"/>
        <v>0</v>
      </c>
      <c r="AG25" s="50">
        <f t="shared" si="18"/>
        <v>0</v>
      </c>
      <c r="AH25" s="51">
        <f t="shared" si="19"/>
        <v>0</v>
      </c>
      <c r="AI25" s="51">
        <f t="shared" si="20"/>
        <v>83.333333333333343</v>
      </c>
      <c r="AJ25" s="53" t="s">
        <v>1948</v>
      </c>
      <c r="AK25" s="53" t="s">
        <v>1948</v>
      </c>
      <c r="AL25" s="53" t="s">
        <v>1948</v>
      </c>
      <c r="AM25" s="50">
        <f t="shared" si="21"/>
        <v>1</v>
      </c>
      <c r="AN25" s="50">
        <f t="shared" si="22"/>
        <v>1</v>
      </c>
      <c r="AO25" s="50">
        <f t="shared" si="23"/>
        <v>1</v>
      </c>
      <c r="AP25" s="50">
        <f t="shared" si="24"/>
        <v>3</v>
      </c>
      <c r="AQ25" s="50">
        <f t="shared" si="25"/>
        <v>100</v>
      </c>
      <c r="AR25" s="36" t="s">
        <v>2166</v>
      </c>
      <c r="AS25" s="36" t="s">
        <v>2166</v>
      </c>
      <c r="AT25" s="36" t="s">
        <v>2166</v>
      </c>
      <c r="AU25" s="37">
        <f t="shared" si="26"/>
        <v>1</v>
      </c>
      <c r="AV25" s="37">
        <f t="shared" si="27"/>
        <v>1</v>
      </c>
      <c r="AW25" s="37">
        <f t="shared" si="28"/>
        <v>1</v>
      </c>
      <c r="AX25" s="37">
        <f t="shared" si="29"/>
        <v>0</v>
      </c>
      <c r="AY25" s="37">
        <f t="shared" si="30"/>
        <v>0</v>
      </c>
      <c r="AZ25" s="36" t="s">
        <v>2167</v>
      </c>
      <c r="BA25" s="36" t="s">
        <v>2167</v>
      </c>
      <c r="BB25" s="37">
        <f t="shared" si="31"/>
        <v>1</v>
      </c>
      <c r="BC25" s="37">
        <f t="shared" si="32"/>
        <v>0.75</v>
      </c>
      <c r="BD25" s="37">
        <f t="shared" si="33"/>
        <v>0.75</v>
      </c>
      <c r="BE25" s="37">
        <f t="shared" si="34"/>
        <v>0</v>
      </c>
      <c r="BF25" s="36" t="s">
        <v>2167</v>
      </c>
      <c r="BG25" s="36" t="s">
        <v>2167</v>
      </c>
      <c r="BH25" s="37">
        <f t="shared" si="35"/>
        <v>1</v>
      </c>
      <c r="BI25" s="37">
        <f t="shared" si="36"/>
        <v>0.75</v>
      </c>
      <c r="BJ25" s="37">
        <f t="shared" si="37"/>
        <v>0.75</v>
      </c>
      <c r="BK25" s="37">
        <f t="shared" si="38"/>
        <v>0</v>
      </c>
      <c r="BL25" s="36" t="s">
        <v>2167</v>
      </c>
      <c r="BM25" s="36" t="s">
        <v>2167</v>
      </c>
      <c r="BN25" s="37">
        <f t="shared" si="39"/>
        <v>1</v>
      </c>
      <c r="BO25" s="37">
        <f t="shared" si="40"/>
        <v>0.75</v>
      </c>
      <c r="BP25" s="37">
        <f t="shared" si="41"/>
        <v>0.75</v>
      </c>
      <c r="BQ25" s="37">
        <f t="shared" si="42"/>
        <v>0</v>
      </c>
      <c r="BR25" s="37">
        <f t="shared" si="43"/>
        <v>0</v>
      </c>
      <c r="BS25" s="36" t="s">
        <v>2080</v>
      </c>
      <c r="BT25" s="36" t="s">
        <v>2080</v>
      </c>
      <c r="BU25" s="36" t="s">
        <v>2080</v>
      </c>
      <c r="BV25" s="36" t="s">
        <v>2080</v>
      </c>
      <c r="BW25" s="37">
        <f t="shared" si="44"/>
        <v>0</v>
      </c>
      <c r="BX25" s="37">
        <f t="shared" si="45"/>
        <v>0</v>
      </c>
      <c r="BY25" s="37">
        <f t="shared" si="46"/>
        <v>0</v>
      </c>
      <c r="BZ25" s="37">
        <f t="shared" si="47"/>
        <v>0</v>
      </c>
      <c r="CA25" s="37">
        <f t="shared" si="48"/>
        <v>0</v>
      </c>
      <c r="CB25" s="37">
        <f t="shared" si="49"/>
        <v>0</v>
      </c>
      <c r="CC25" s="37">
        <f t="shared" si="50"/>
        <v>0</v>
      </c>
      <c r="CD25" s="37">
        <f t="shared" si="51"/>
        <v>0</v>
      </c>
      <c r="CE25" s="36" t="s">
        <v>2067</v>
      </c>
      <c r="CF25" s="36" t="s">
        <v>2067</v>
      </c>
      <c r="CG25" s="36" t="s">
        <v>2067</v>
      </c>
      <c r="CH25" s="36" t="s">
        <v>2080</v>
      </c>
      <c r="CI25" s="37">
        <f t="shared" si="52"/>
        <v>0</v>
      </c>
      <c r="CJ25" s="37">
        <f t="shared" si="53"/>
        <v>0</v>
      </c>
      <c r="CK25" s="37">
        <f t="shared" si="54"/>
        <v>0</v>
      </c>
      <c r="CL25" s="37">
        <f t="shared" si="55"/>
        <v>0</v>
      </c>
      <c r="CM25" s="37">
        <f t="shared" si="56"/>
        <v>0</v>
      </c>
      <c r="CN25" s="37">
        <f t="shared" si="57"/>
        <v>0</v>
      </c>
      <c r="CO25" s="37">
        <f t="shared" si="58"/>
        <v>0</v>
      </c>
      <c r="CP25" s="37">
        <f t="shared" si="59"/>
        <v>0</v>
      </c>
      <c r="CQ25" s="37">
        <f t="shared" si="60"/>
        <v>3.3333333333333339</v>
      </c>
      <c r="CR25" s="37">
        <f t="shared" si="61"/>
        <v>5</v>
      </c>
      <c r="CS25" s="37">
        <f t="shared" si="62"/>
        <v>0</v>
      </c>
      <c r="CT25" s="37">
        <f t="shared" si="63"/>
        <v>10</v>
      </c>
      <c r="CU25" s="37">
        <f t="shared" si="64"/>
        <v>0</v>
      </c>
      <c r="CV25" s="37">
        <f t="shared" si="65"/>
        <v>0</v>
      </c>
      <c r="CW25" s="37">
        <f t="shared" si="66"/>
        <v>0</v>
      </c>
      <c r="CX25" s="37">
        <f t="shared" si="67"/>
        <v>0</v>
      </c>
      <c r="CY25" s="37">
        <f t="shared" si="68"/>
        <v>0</v>
      </c>
      <c r="CZ25" s="37">
        <f t="shared" si="69"/>
        <v>18.333333333333336</v>
      </c>
    </row>
    <row r="26" spans="1:104" x14ac:dyDescent="0.25">
      <c r="A26" s="149" t="s">
        <v>2188</v>
      </c>
      <c r="B26" s="53" t="s">
        <v>1948</v>
      </c>
      <c r="C26" s="53" t="s">
        <v>1948</v>
      </c>
      <c r="D26" s="53" t="s">
        <v>1948</v>
      </c>
      <c r="E26" s="61">
        <f t="shared" si="0"/>
        <v>1</v>
      </c>
      <c r="F26" s="61">
        <f t="shared" si="1"/>
        <v>1</v>
      </c>
      <c r="G26" s="61">
        <f t="shared" si="2"/>
        <v>1</v>
      </c>
      <c r="H26" s="61">
        <f t="shared" si="3"/>
        <v>3</v>
      </c>
      <c r="I26" s="53" t="s">
        <v>2165</v>
      </c>
      <c r="J26" s="53" t="s">
        <v>2165</v>
      </c>
      <c r="K26" s="53" t="s">
        <v>1948</v>
      </c>
      <c r="L26" s="61">
        <f t="shared" si="4"/>
        <v>0</v>
      </c>
      <c r="M26" s="61">
        <f t="shared" si="5"/>
        <v>0</v>
      </c>
      <c r="N26" s="61">
        <f t="shared" si="6"/>
        <v>1</v>
      </c>
      <c r="O26" s="61">
        <f t="shared" si="7"/>
        <v>1</v>
      </c>
      <c r="P26" s="61">
        <f t="shared" si="8"/>
        <v>66.666666666666671</v>
      </c>
      <c r="Q26" s="53" t="s">
        <v>1948</v>
      </c>
      <c r="R26" s="53" t="s">
        <v>1948</v>
      </c>
      <c r="S26" s="61">
        <f t="shared" si="9"/>
        <v>1</v>
      </c>
      <c r="T26" s="61">
        <f t="shared" si="10"/>
        <v>1</v>
      </c>
      <c r="U26" s="61">
        <f t="shared" si="11"/>
        <v>2</v>
      </c>
      <c r="V26" s="61">
        <f t="shared" si="12"/>
        <v>100</v>
      </c>
      <c r="W26" s="53" t="s">
        <v>1948</v>
      </c>
      <c r="X26" s="53" t="s">
        <v>1947</v>
      </c>
      <c r="Y26" s="53" t="s">
        <v>1947</v>
      </c>
      <c r="Z26" s="53" t="s">
        <v>1947</v>
      </c>
      <c r="AA26" s="53" t="s">
        <v>1948</v>
      </c>
      <c r="AB26" s="50">
        <f t="shared" si="13"/>
        <v>1</v>
      </c>
      <c r="AC26" s="50">
        <f t="shared" si="14"/>
        <v>0</v>
      </c>
      <c r="AD26" s="50">
        <f t="shared" si="15"/>
        <v>0</v>
      </c>
      <c r="AE26" s="50">
        <f t="shared" si="16"/>
        <v>0</v>
      </c>
      <c r="AF26" s="50">
        <f t="shared" si="17"/>
        <v>1</v>
      </c>
      <c r="AG26" s="50">
        <f t="shared" si="18"/>
        <v>2</v>
      </c>
      <c r="AH26" s="51">
        <f t="shared" si="19"/>
        <v>40</v>
      </c>
      <c r="AI26" s="51">
        <f t="shared" si="20"/>
        <v>206.66666666666669</v>
      </c>
      <c r="AJ26" s="53" t="s">
        <v>1948</v>
      </c>
      <c r="AK26" s="53" t="s">
        <v>1948</v>
      </c>
      <c r="AL26" s="53" t="s">
        <v>1948</v>
      </c>
      <c r="AM26" s="50">
        <f t="shared" si="21"/>
        <v>1</v>
      </c>
      <c r="AN26" s="50">
        <f t="shared" si="22"/>
        <v>1</v>
      </c>
      <c r="AO26" s="50">
        <f t="shared" si="23"/>
        <v>1</v>
      </c>
      <c r="AP26" s="50">
        <f t="shared" si="24"/>
        <v>3</v>
      </c>
      <c r="AQ26" s="50">
        <f t="shared" si="25"/>
        <v>100</v>
      </c>
      <c r="AR26" s="36" t="s">
        <v>2166</v>
      </c>
      <c r="AS26" s="36" t="s">
        <v>2166</v>
      </c>
      <c r="AT26" s="36" t="s">
        <v>2166</v>
      </c>
      <c r="AU26" s="37">
        <f t="shared" si="26"/>
        <v>1</v>
      </c>
      <c r="AV26" s="37">
        <f t="shared" si="27"/>
        <v>1</v>
      </c>
      <c r="AW26" s="37">
        <f t="shared" si="28"/>
        <v>1</v>
      </c>
      <c r="AX26" s="37">
        <f t="shared" si="29"/>
        <v>0</v>
      </c>
      <c r="AY26" s="37">
        <f t="shared" si="30"/>
        <v>0</v>
      </c>
      <c r="AZ26" s="36" t="s">
        <v>2167</v>
      </c>
      <c r="BA26" s="36" t="s">
        <v>2167</v>
      </c>
      <c r="BB26" s="37">
        <f t="shared" si="31"/>
        <v>1</v>
      </c>
      <c r="BC26" s="37">
        <f t="shared" si="32"/>
        <v>0.75</v>
      </c>
      <c r="BD26" s="37">
        <f t="shared" si="33"/>
        <v>0.75</v>
      </c>
      <c r="BE26" s="37">
        <f t="shared" si="34"/>
        <v>0</v>
      </c>
      <c r="BF26" s="36" t="s">
        <v>2167</v>
      </c>
      <c r="BG26" s="36" t="s">
        <v>2167</v>
      </c>
      <c r="BH26" s="37">
        <f t="shared" si="35"/>
        <v>1</v>
      </c>
      <c r="BI26" s="37">
        <f t="shared" si="36"/>
        <v>0.75</v>
      </c>
      <c r="BJ26" s="37">
        <f t="shared" si="37"/>
        <v>0.75</v>
      </c>
      <c r="BK26" s="37">
        <f t="shared" si="38"/>
        <v>0</v>
      </c>
      <c r="BL26" s="36" t="s">
        <v>2167</v>
      </c>
      <c r="BM26" s="36" t="s">
        <v>2167</v>
      </c>
      <c r="BN26" s="37">
        <f t="shared" si="39"/>
        <v>1</v>
      </c>
      <c r="BO26" s="37">
        <f t="shared" si="40"/>
        <v>0.75</v>
      </c>
      <c r="BP26" s="37">
        <f t="shared" si="41"/>
        <v>0.75</v>
      </c>
      <c r="BQ26" s="37">
        <f t="shared" si="42"/>
        <v>0</v>
      </c>
      <c r="BR26" s="37">
        <f t="shared" si="43"/>
        <v>0</v>
      </c>
      <c r="BS26" s="36" t="s">
        <v>2080</v>
      </c>
      <c r="BT26" s="36" t="s">
        <v>2080</v>
      </c>
      <c r="BU26" s="36" t="s">
        <v>2080</v>
      </c>
      <c r="BV26" s="36" t="s">
        <v>2080</v>
      </c>
      <c r="BW26" s="37">
        <f t="shared" si="44"/>
        <v>0</v>
      </c>
      <c r="BX26" s="37">
        <f t="shared" si="45"/>
        <v>0</v>
      </c>
      <c r="BY26" s="37">
        <f t="shared" si="46"/>
        <v>0</v>
      </c>
      <c r="BZ26" s="37">
        <f t="shared" si="47"/>
        <v>0</v>
      </c>
      <c r="CA26" s="37">
        <f t="shared" si="48"/>
        <v>0</v>
      </c>
      <c r="CB26" s="37">
        <f t="shared" si="49"/>
        <v>0</v>
      </c>
      <c r="CC26" s="37">
        <f t="shared" si="50"/>
        <v>0</v>
      </c>
      <c r="CD26" s="37">
        <f t="shared" si="51"/>
        <v>0</v>
      </c>
      <c r="CE26" s="36" t="s">
        <v>2067</v>
      </c>
      <c r="CF26" s="36" t="s">
        <v>2067</v>
      </c>
      <c r="CG26" s="36" t="s">
        <v>2067</v>
      </c>
      <c r="CH26" s="36" t="s">
        <v>2080</v>
      </c>
      <c r="CI26" s="37">
        <f t="shared" si="52"/>
        <v>0</v>
      </c>
      <c r="CJ26" s="37">
        <f t="shared" si="53"/>
        <v>0</v>
      </c>
      <c r="CK26" s="37">
        <f t="shared" si="54"/>
        <v>0</v>
      </c>
      <c r="CL26" s="37">
        <f t="shared" si="55"/>
        <v>0</v>
      </c>
      <c r="CM26" s="37">
        <f t="shared" si="56"/>
        <v>0</v>
      </c>
      <c r="CN26" s="37">
        <f t="shared" si="57"/>
        <v>0</v>
      </c>
      <c r="CO26" s="37">
        <f t="shared" si="58"/>
        <v>0</v>
      </c>
      <c r="CP26" s="37">
        <f t="shared" si="59"/>
        <v>0</v>
      </c>
      <c r="CQ26" s="37">
        <f t="shared" si="60"/>
        <v>6.6666666666666679</v>
      </c>
      <c r="CR26" s="37">
        <f t="shared" si="61"/>
        <v>10</v>
      </c>
      <c r="CS26" s="37">
        <f t="shared" si="62"/>
        <v>4</v>
      </c>
      <c r="CT26" s="37">
        <f t="shared" si="63"/>
        <v>10</v>
      </c>
      <c r="CU26" s="37">
        <f t="shared" si="64"/>
        <v>0</v>
      </c>
      <c r="CV26" s="37">
        <f t="shared" si="65"/>
        <v>0</v>
      </c>
      <c r="CW26" s="37">
        <f t="shared" si="66"/>
        <v>0</v>
      </c>
      <c r="CX26" s="37">
        <f t="shared" si="67"/>
        <v>0</v>
      </c>
      <c r="CY26" s="37">
        <f t="shared" si="68"/>
        <v>0</v>
      </c>
      <c r="CZ26" s="37">
        <f t="shared" si="69"/>
        <v>30.666666666666668</v>
      </c>
    </row>
    <row r="27" spans="1:104" x14ac:dyDescent="0.25">
      <c r="A27" s="149" t="s">
        <v>2189</v>
      </c>
      <c r="B27" s="53" t="s">
        <v>1948</v>
      </c>
      <c r="C27" s="53" t="s">
        <v>1948</v>
      </c>
      <c r="D27" s="53" t="s">
        <v>1947</v>
      </c>
      <c r="E27" s="61">
        <f t="shared" si="0"/>
        <v>1</v>
      </c>
      <c r="F27" s="61">
        <f t="shared" si="1"/>
        <v>1</v>
      </c>
      <c r="G27" s="61">
        <f t="shared" si="2"/>
        <v>0</v>
      </c>
      <c r="H27" s="61">
        <f t="shared" si="3"/>
        <v>2</v>
      </c>
      <c r="I27" s="53" t="s">
        <v>2165</v>
      </c>
      <c r="J27" s="53" t="s">
        <v>2165</v>
      </c>
      <c r="K27" s="53" t="s">
        <v>1948</v>
      </c>
      <c r="L27" s="61">
        <f t="shared" si="4"/>
        <v>0</v>
      </c>
      <c r="M27" s="61">
        <f t="shared" si="5"/>
        <v>0</v>
      </c>
      <c r="N27" s="61">
        <f t="shared" si="6"/>
        <v>1</v>
      </c>
      <c r="O27" s="61">
        <f t="shared" si="7"/>
        <v>1</v>
      </c>
      <c r="P27" s="61">
        <f t="shared" si="8"/>
        <v>50</v>
      </c>
      <c r="Q27" s="53" t="s">
        <v>1948</v>
      </c>
      <c r="R27" s="53" t="s">
        <v>1948</v>
      </c>
      <c r="S27" s="61">
        <f t="shared" si="9"/>
        <v>1</v>
      </c>
      <c r="T27" s="61">
        <f t="shared" si="10"/>
        <v>1</v>
      </c>
      <c r="U27" s="61">
        <f t="shared" si="11"/>
        <v>2</v>
      </c>
      <c r="V27" s="61">
        <f t="shared" si="12"/>
        <v>100</v>
      </c>
      <c r="W27" s="53" t="s">
        <v>1947</v>
      </c>
      <c r="X27" s="53" t="s">
        <v>1947</v>
      </c>
      <c r="Y27" s="53" t="s">
        <v>1947</v>
      </c>
      <c r="Z27" s="53" t="s">
        <v>1948</v>
      </c>
      <c r="AA27" s="53" t="s">
        <v>1948</v>
      </c>
      <c r="AB27" s="50">
        <f t="shared" si="13"/>
        <v>0</v>
      </c>
      <c r="AC27" s="50">
        <f t="shared" si="14"/>
        <v>0</v>
      </c>
      <c r="AD27" s="50">
        <f t="shared" si="15"/>
        <v>0</v>
      </c>
      <c r="AE27" s="50">
        <f t="shared" si="16"/>
        <v>1</v>
      </c>
      <c r="AF27" s="50">
        <f t="shared" si="17"/>
        <v>1</v>
      </c>
      <c r="AG27" s="50">
        <f t="shared" si="18"/>
        <v>2</v>
      </c>
      <c r="AH27" s="51">
        <f t="shared" si="19"/>
        <v>40</v>
      </c>
      <c r="AI27" s="51">
        <f t="shared" si="20"/>
        <v>190</v>
      </c>
      <c r="AJ27" s="53" t="s">
        <v>1948</v>
      </c>
      <c r="AK27" s="53" t="s">
        <v>1948</v>
      </c>
      <c r="AL27" s="53" t="s">
        <v>1948</v>
      </c>
      <c r="AM27" s="50">
        <f t="shared" si="21"/>
        <v>1</v>
      </c>
      <c r="AN27" s="50">
        <f t="shared" si="22"/>
        <v>1</v>
      </c>
      <c r="AO27" s="50">
        <f t="shared" si="23"/>
        <v>1</v>
      </c>
      <c r="AP27" s="50">
        <f t="shared" si="24"/>
        <v>3</v>
      </c>
      <c r="AQ27" s="50">
        <f t="shared" si="25"/>
        <v>100</v>
      </c>
      <c r="AR27" s="36" t="s">
        <v>2166</v>
      </c>
      <c r="AS27" s="36" t="s">
        <v>2166</v>
      </c>
      <c r="AT27" s="36" t="s">
        <v>2166</v>
      </c>
      <c r="AU27" s="37">
        <f t="shared" si="26"/>
        <v>1</v>
      </c>
      <c r="AV27" s="37">
        <f t="shared" si="27"/>
        <v>1</v>
      </c>
      <c r="AW27" s="37">
        <f t="shared" si="28"/>
        <v>1</v>
      </c>
      <c r="AX27" s="37">
        <f t="shared" si="29"/>
        <v>0</v>
      </c>
      <c r="AY27" s="37">
        <f t="shared" si="30"/>
        <v>0</v>
      </c>
      <c r="AZ27" s="36" t="s">
        <v>2167</v>
      </c>
      <c r="BA27" s="36" t="s">
        <v>2167</v>
      </c>
      <c r="BB27" s="37">
        <f t="shared" si="31"/>
        <v>1</v>
      </c>
      <c r="BC27" s="37">
        <f t="shared" si="32"/>
        <v>0.75</v>
      </c>
      <c r="BD27" s="37">
        <f t="shared" si="33"/>
        <v>0.75</v>
      </c>
      <c r="BE27" s="37">
        <f t="shared" si="34"/>
        <v>0</v>
      </c>
      <c r="BF27" s="36" t="s">
        <v>2167</v>
      </c>
      <c r="BG27" s="36" t="s">
        <v>2167</v>
      </c>
      <c r="BH27" s="37">
        <f t="shared" si="35"/>
        <v>1</v>
      </c>
      <c r="BI27" s="37">
        <f t="shared" si="36"/>
        <v>0.75</v>
      </c>
      <c r="BJ27" s="37">
        <f t="shared" si="37"/>
        <v>0.75</v>
      </c>
      <c r="BK27" s="37">
        <f t="shared" si="38"/>
        <v>0</v>
      </c>
      <c r="BL27" s="36" t="s">
        <v>2167</v>
      </c>
      <c r="BM27" s="36" t="s">
        <v>2167</v>
      </c>
      <c r="BN27" s="37">
        <f t="shared" si="39"/>
        <v>1</v>
      </c>
      <c r="BO27" s="37">
        <f t="shared" si="40"/>
        <v>0.75</v>
      </c>
      <c r="BP27" s="37">
        <f t="shared" si="41"/>
        <v>0.75</v>
      </c>
      <c r="BQ27" s="37">
        <f t="shared" si="42"/>
        <v>0</v>
      </c>
      <c r="BR27" s="37">
        <f t="shared" si="43"/>
        <v>0</v>
      </c>
      <c r="BS27" s="36" t="s">
        <v>2080</v>
      </c>
      <c r="BT27" s="36" t="s">
        <v>2080</v>
      </c>
      <c r="BU27" s="36" t="s">
        <v>2080</v>
      </c>
      <c r="BV27" s="36" t="s">
        <v>2080</v>
      </c>
      <c r="BW27" s="37">
        <f t="shared" si="44"/>
        <v>0</v>
      </c>
      <c r="BX27" s="37">
        <f t="shared" si="45"/>
        <v>0</v>
      </c>
      <c r="BY27" s="37">
        <f t="shared" si="46"/>
        <v>0</v>
      </c>
      <c r="BZ27" s="37">
        <f t="shared" si="47"/>
        <v>0</v>
      </c>
      <c r="CA27" s="37">
        <f t="shared" si="48"/>
        <v>0</v>
      </c>
      <c r="CB27" s="37">
        <f t="shared" si="49"/>
        <v>0</v>
      </c>
      <c r="CC27" s="37">
        <f t="shared" si="50"/>
        <v>0</v>
      </c>
      <c r="CD27" s="37">
        <f t="shared" si="51"/>
        <v>0</v>
      </c>
      <c r="CE27" s="36" t="s">
        <v>2067</v>
      </c>
      <c r="CF27" s="36" t="s">
        <v>2067</v>
      </c>
      <c r="CG27" s="36" t="s">
        <v>2067</v>
      </c>
      <c r="CH27" s="36" t="s">
        <v>2080</v>
      </c>
      <c r="CI27" s="37">
        <f t="shared" si="52"/>
        <v>0</v>
      </c>
      <c r="CJ27" s="37">
        <f t="shared" si="53"/>
        <v>0</v>
      </c>
      <c r="CK27" s="37">
        <f t="shared" si="54"/>
        <v>0</v>
      </c>
      <c r="CL27" s="37">
        <f t="shared" si="55"/>
        <v>0</v>
      </c>
      <c r="CM27" s="37">
        <f t="shared" si="56"/>
        <v>0</v>
      </c>
      <c r="CN27" s="37">
        <f t="shared" si="57"/>
        <v>0</v>
      </c>
      <c r="CO27" s="37">
        <f t="shared" si="58"/>
        <v>0</v>
      </c>
      <c r="CP27" s="37">
        <f t="shared" si="59"/>
        <v>0</v>
      </c>
      <c r="CQ27" s="37">
        <f t="shared" si="60"/>
        <v>5</v>
      </c>
      <c r="CR27" s="37">
        <f t="shared" si="61"/>
        <v>10</v>
      </c>
      <c r="CS27" s="37">
        <f t="shared" si="62"/>
        <v>4</v>
      </c>
      <c r="CT27" s="37">
        <f t="shared" si="63"/>
        <v>10</v>
      </c>
      <c r="CU27" s="37">
        <f t="shared" si="64"/>
        <v>0</v>
      </c>
      <c r="CV27" s="37">
        <f t="shared" si="65"/>
        <v>0</v>
      </c>
      <c r="CW27" s="37">
        <f t="shared" si="66"/>
        <v>0</v>
      </c>
      <c r="CX27" s="37">
        <f t="shared" si="67"/>
        <v>0</v>
      </c>
      <c r="CY27" s="37">
        <f t="shared" si="68"/>
        <v>0</v>
      </c>
      <c r="CZ27" s="37">
        <f t="shared" si="69"/>
        <v>29</v>
      </c>
    </row>
    <row r="28" spans="1:104" x14ac:dyDescent="0.25">
      <c r="A28" s="149" t="s">
        <v>2190</v>
      </c>
      <c r="B28" s="53" t="s">
        <v>1947</v>
      </c>
      <c r="C28" s="53" t="s">
        <v>1948</v>
      </c>
      <c r="D28" s="53" t="s">
        <v>1947</v>
      </c>
      <c r="E28" s="61">
        <f t="shared" si="0"/>
        <v>0</v>
      </c>
      <c r="F28" s="61">
        <f t="shared" si="1"/>
        <v>1</v>
      </c>
      <c r="G28" s="61">
        <f t="shared" si="2"/>
        <v>0</v>
      </c>
      <c r="H28" s="61">
        <f t="shared" si="3"/>
        <v>1</v>
      </c>
      <c r="I28" s="53" t="s">
        <v>2165</v>
      </c>
      <c r="J28" s="53" t="s">
        <v>2165</v>
      </c>
      <c r="K28" s="53" t="s">
        <v>1948</v>
      </c>
      <c r="L28" s="61">
        <f t="shared" si="4"/>
        <v>0</v>
      </c>
      <c r="M28" s="61">
        <f t="shared" si="5"/>
        <v>0</v>
      </c>
      <c r="N28" s="61">
        <f t="shared" si="6"/>
        <v>1</v>
      </c>
      <c r="O28" s="61">
        <f t="shared" si="7"/>
        <v>1</v>
      </c>
      <c r="P28" s="61">
        <f t="shared" si="8"/>
        <v>33.333333333333336</v>
      </c>
      <c r="Q28" s="53" t="s">
        <v>1948</v>
      </c>
      <c r="R28" s="53" t="s">
        <v>1947</v>
      </c>
      <c r="S28" s="61">
        <f t="shared" si="9"/>
        <v>1</v>
      </c>
      <c r="T28" s="61">
        <f t="shared" si="10"/>
        <v>0</v>
      </c>
      <c r="U28" s="61">
        <f t="shared" si="11"/>
        <v>1</v>
      </c>
      <c r="V28" s="61">
        <f t="shared" si="12"/>
        <v>50</v>
      </c>
      <c r="W28" s="53" t="s">
        <v>1947</v>
      </c>
      <c r="X28" s="53" t="s">
        <v>1947</v>
      </c>
      <c r="Y28" s="53" t="s">
        <v>1947</v>
      </c>
      <c r="Z28" s="53" t="s">
        <v>1947</v>
      </c>
      <c r="AA28" s="53" t="s">
        <v>1947</v>
      </c>
      <c r="AB28" s="50">
        <f t="shared" si="13"/>
        <v>0</v>
      </c>
      <c r="AC28" s="50">
        <f t="shared" si="14"/>
        <v>0</v>
      </c>
      <c r="AD28" s="50">
        <f t="shared" si="15"/>
        <v>0</v>
      </c>
      <c r="AE28" s="50">
        <f t="shared" si="16"/>
        <v>0</v>
      </c>
      <c r="AF28" s="50">
        <f t="shared" si="17"/>
        <v>0</v>
      </c>
      <c r="AG28" s="50">
        <f t="shared" si="18"/>
        <v>0</v>
      </c>
      <c r="AH28" s="51">
        <f t="shared" si="19"/>
        <v>0</v>
      </c>
      <c r="AI28" s="51">
        <f t="shared" si="20"/>
        <v>83.333333333333343</v>
      </c>
      <c r="AJ28" s="53" t="s">
        <v>1948</v>
      </c>
      <c r="AK28" s="53" t="s">
        <v>1948</v>
      </c>
      <c r="AL28" s="53" t="s">
        <v>1948</v>
      </c>
      <c r="AM28" s="50">
        <f t="shared" si="21"/>
        <v>1</v>
      </c>
      <c r="AN28" s="50">
        <f t="shared" si="22"/>
        <v>1</v>
      </c>
      <c r="AO28" s="50">
        <f t="shared" si="23"/>
        <v>1</v>
      </c>
      <c r="AP28" s="50">
        <f t="shared" si="24"/>
        <v>3</v>
      </c>
      <c r="AQ28" s="50">
        <f t="shared" si="25"/>
        <v>100</v>
      </c>
      <c r="AR28" s="36" t="s">
        <v>2166</v>
      </c>
      <c r="AS28" s="36" t="s">
        <v>2166</v>
      </c>
      <c r="AT28" s="36" t="s">
        <v>2166</v>
      </c>
      <c r="AU28" s="37">
        <f t="shared" si="26"/>
        <v>1</v>
      </c>
      <c r="AV28" s="37">
        <f t="shared" si="27"/>
        <v>1</v>
      </c>
      <c r="AW28" s="37">
        <f t="shared" si="28"/>
        <v>1</v>
      </c>
      <c r="AX28" s="37">
        <f t="shared" si="29"/>
        <v>0</v>
      </c>
      <c r="AY28" s="37">
        <f t="shared" si="30"/>
        <v>0</v>
      </c>
      <c r="AZ28" s="36" t="s">
        <v>2167</v>
      </c>
      <c r="BA28" s="36" t="s">
        <v>2167</v>
      </c>
      <c r="BB28" s="37">
        <f t="shared" si="31"/>
        <v>1</v>
      </c>
      <c r="BC28" s="37">
        <f t="shared" si="32"/>
        <v>0.75</v>
      </c>
      <c r="BD28" s="37">
        <f t="shared" si="33"/>
        <v>0.75</v>
      </c>
      <c r="BE28" s="37">
        <f t="shared" si="34"/>
        <v>0</v>
      </c>
      <c r="BF28" s="36" t="s">
        <v>2167</v>
      </c>
      <c r="BG28" s="36" t="s">
        <v>2167</v>
      </c>
      <c r="BH28" s="37">
        <f t="shared" si="35"/>
        <v>1</v>
      </c>
      <c r="BI28" s="37">
        <f t="shared" si="36"/>
        <v>0.75</v>
      </c>
      <c r="BJ28" s="37">
        <f t="shared" si="37"/>
        <v>0.75</v>
      </c>
      <c r="BK28" s="37">
        <f t="shared" si="38"/>
        <v>0</v>
      </c>
      <c r="BL28" s="36" t="s">
        <v>2167</v>
      </c>
      <c r="BM28" s="36" t="s">
        <v>2167</v>
      </c>
      <c r="BN28" s="37">
        <f t="shared" si="39"/>
        <v>1</v>
      </c>
      <c r="BO28" s="37">
        <f t="shared" si="40"/>
        <v>0.75</v>
      </c>
      <c r="BP28" s="37">
        <f t="shared" si="41"/>
        <v>0.75</v>
      </c>
      <c r="BQ28" s="37">
        <f t="shared" si="42"/>
        <v>0</v>
      </c>
      <c r="BR28" s="37">
        <f t="shared" si="43"/>
        <v>0</v>
      </c>
      <c r="BS28" s="36" t="s">
        <v>2080</v>
      </c>
      <c r="BT28" s="36" t="s">
        <v>2080</v>
      </c>
      <c r="BU28" s="36" t="s">
        <v>2080</v>
      </c>
      <c r="BV28" s="36" t="s">
        <v>2080</v>
      </c>
      <c r="BW28" s="37">
        <f t="shared" si="44"/>
        <v>0</v>
      </c>
      <c r="BX28" s="37">
        <f t="shared" si="45"/>
        <v>0</v>
      </c>
      <c r="BY28" s="37">
        <f t="shared" si="46"/>
        <v>0</v>
      </c>
      <c r="BZ28" s="37">
        <f t="shared" si="47"/>
        <v>0</v>
      </c>
      <c r="CA28" s="37">
        <f t="shared" si="48"/>
        <v>0</v>
      </c>
      <c r="CB28" s="37">
        <f t="shared" si="49"/>
        <v>0</v>
      </c>
      <c r="CC28" s="37">
        <f t="shared" si="50"/>
        <v>0</v>
      </c>
      <c r="CD28" s="37">
        <f t="shared" si="51"/>
        <v>0</v>
      </c>
      <c r="CE28" s="36" t="s">
        <v>2067</v>
      </c>
      <c r="CF28" s="36" t="s">
        <v>2067</v>
      </c>
      <c r="CG28" s="36" t="s">
        <v>2067</v>
      </c>
      <c r="CH28" s="36" t="s">
        <v>2080</v>
      </c>
      <c r="CI28" s="37">
        <f t="shared" si="52"/>
        <v>0</v>
      </c>
      <c r="CJ28" s="37">
        <f t="shared" si="53"/>
        <v>0</v>
      </c>
      <c r="CK28" s="37">
        <f t="shared" si="54"/>
        <v>0</v>
      </c>
      <c r="CL28" s="37">
        <f t="shared" si="55"/>
        <v>0</v>
      </c>
      <c r="CM28" s="37">
        <f t="shared" si="56"/>
        <v>0</v>
      </c>
      <c r="CN28" s="37">
        <f t="shared" si="57"/>
        <v>0</v>
      </c>
      <c r="CO28" s="37">
        <f t="shared" si="58"/>
        <v>0</v>
      </c>
      <c r="CP28" s="37">
        <f t="shared" si="59"/>
        <v>0</v>
      </c>
      <c r="CQ28" s="37">
        <f t="shared" si="60"/>
        <v>3.3333333333333339</v>
      </c>
      <c r="CR28" s="37">
        <f t="shared" si="61"/>
        <v>5</v>
      </c>
      <c r="CS28" s="37">
        <f t="shared" si="62"/>
        <v>0</v>
      </c>
      <c r="CT28" s="37">
        <f t="shared" si="63"/>
        <v>10</v>
      </c>
      <c r="CU28" s="37">
        <f t="shared" si="64"/>
        <v>0</v>
      </c>
      <c r="CV28" s="37">
        <f t="shared" si="65"/>
        <v>0</v>
      </c>
      <c r="CW28" s="37">
        <f t="shared" si="66"/>
        <v>0</v>
      </c>
      <c r="CX28" s="37">
        <f t="shared" si="67"/>
        <v>0</v>
      </c>
      <c r="CY28" s="37">
        <f t="shared" si="68"/>
        <v>0</v>
      </c>
      <c r="CZ28" s="37">
        <f t="shared" si="69"/>
        <v>18.333333333333336</v>
      </c>
    </row>
    <row r="29" spans="1:104" x14ac:dyDescent="0.25">
      <c r="A29" s="149" t="s">
        <v>2191</v>
      </c>
      <c r="B29" s="53" t="s">
        <v>1947</v>
      </c>
      <c r="C29" s="53" t="s">
        <v>1948</v>
      </c>
      <c r="D29" s="53" t="s">
        <v>1947</v>
      </c>
      <c r="E29" s="61">
        <f t="shared" si="0"/>
        <v>0</v>
      </c>
      <c r="F29" s="61">
        <f t="shared" si="1"/>
        <v>1</v>
      </c>
      <c r="G29" s="61">
        <f t="shared" si="2"/>
        <v>0</v>
      </c>
      <c r="H29" s="61">
        <f t="shared" si="3"/>
        <v>1</v>
      </c>
      <c r="I29" s="53" t="s">
        <v>2165</v>
      </c>
      <c r="J29" s="53" t="s">
        <v>2165</v>
      </c>
      <c r="K29" s="53" t="s">
        <v>1948</v>
      </c>
      <c r="L29" s="61">
        <f t="shared" si="4"/>
        <v>0</v>
      </c>
      <c r="M29" s="61">
        <f t="shared" si="5"/>
        <v>0</v>
      </c>
      <c r="N29" s="61">
        <f t="shared" si="6"/>
        <v>1</v>
      </c>
      <c r="O29" s="61">
        <f t="shared" si="7"/>
        <v>1</v>
      </c>
      <c r="P29" s="61">
        <f t="shared" si="8"/>
        <v>33.333333333333336</v>
      </c>
      <c r="Q29" s="53" t="s">
        <v>1948</v>
      </c>
      <c r="R29" s="53" t="s">
        <v>1947</v>
      </c>
      <c r="S29" s="61">
        <f t="shared" si="9"/>
        <v>1</v>
      </c>
      <c r="T29" s="61">
        <f t="shared" si="10"/>
        <v>0</v>
      </c>
      <c r="U29" s="61">
        <f t="shared" si="11"/>
        <v>1</v>
      </c>
      <c r="V29" s="61">
        <f t="shared" si="12"/>
        <v>50</v>
      </c>
      <c r="W29" s="53" t="s">
        <v>1947</v>
      </c>
      <c r="X29" s="53" t="s">
        <v>1947</v>
      </c>
      <c r="Y29" s="53" t="s">
        <v>1947</v>
      </c>
      <c r="Z29" s="53" t="s">
        <v>1947</v>
      </c>
      <c r="AA29" s="53" t="s">
        <v>1947</v>
      </c>
      <c r="AB29" s="50">
        <f t="shared" si="13"/>
        <v>0</v>
      </c>
      <c r="AC29" s="50">
        <f t="shared" si="14"/>
        <v>0</v>
      </c>
      <c r="AD29" s="50">
        <f t="shared" si="15"/>
        <v>0</v>
      </c>
      <c r="AE29" s="50">
        <f t="shared" si="16"/>
        <v>0</v>
      </c>
      <c r="AF29" s="50">
        <f t="shared" si="17"/>
        <v>0</v>
      </c>
      <c r="AG29" s="50">
        <f t="shared" si="18"/>
        <v>0</v>
      </c>
      <c r="AH29" s="51">
        <f t="shared" si="19"/>
        <v>0</v>
      </c>
      <c r="AI29" s="51">
        <f t="shared" si="20"/>
        <v>83.333333333333343</v>
      </c>
      <c r="AJ29" s="53" t="s">
        <v>1948</v>
      </c>
      <c r="AK29" s="53" t="s">
        <v>1948</v>
      </c>
      <c r="AL29" s="53" t="s">
        <v>1948</v>
      </c>
      <c r="AM29" s="50">
        <f t="shared" si="21"/>
        <v>1</v>
      </c>
      <c r="AN29" s="50">
        <f t="shared" si="22"/>
        <v>1</v>
      </c>
      <c r="AO29" s="50">
        <f t="shared" si="23"/>
        <v>1</v>
      </c>
      <c r="AP29" s="50">
        <f t="shared" si="24"/>
        <v>3</v>
      </c>
      <c r="AQ29" s="50">
        <f t="shared" si="25"/>
        <v>100</v>
      </c>
      <c r="AR29" s="36" t="s">
        <v>2166</v>
      </c>
      <c r="AS29" s="36" t="s">
        <v>2166</v>
      </c>
      <c r="AT29" s="36" t="s">
        <v>2166</v>
      </c>
      <c r="AU29" s="37">
        <f t="shared" si="26"/>
        <v>1</v>
      </c>
      <c r="AV29" s="37">
        <f t="shared" si="27"/>
        <v>1</v>
      </c>
      <c r="AW29" s="37">
        <f t="shared" si="28"/>
        <v>1</v>
      </c>
      <c r="AX29" s="37">
        <f t="shared" si="29"/>
        <v>0</v>
      </c>
      <c r="AY29" s="37">
        <f t="shared" si="30"/>
        <v>0</v>
      </c>
      <c r="AZ29" s="36" t="s">
        <v>2167</v>
      </c>
      <c r="BA29" s="36" t="s">
        <v>2167</v>
      </c>
      <c r="BB29" s="37">
        <f t="shared" si="31"/>
        <v>1</v>
      </c>
      <c r="BC29" s="37">
        <f t="shared" si="32"/>
        <v>0.75</v>
      </c>
      <c r="BD29" s="37">
        <f t="shared" si="33"/>
        <v>0.75</v>
      </c>
      <c r="BE29" s="37">
        <f t="shared" si="34"/>
        <v>0</v>
      </c>
      <c r="BF29" s="36" t="s">
        <v>2167</v>
      </c>
      <c r="BG29" s="36" t="s">
        <v>2167</v>
      </c>
      <c r="BH29" s="37">
        <f t="shared" si="35"/>
        <v>1</v>
      </c>
      <c r="BI29" s="37">
        <f t="shared" si="36"/>
        <v>0.75</v>
      </c>
      <c r="BJ29" s="37">
        <f t="shared" si="37"/>
        <v>0.75</v>
      </c>
      <c r="BK29" s="37">
        <f t="shared" si="38"/>
        <v>0</v>
      </c>
      <c r="BL29" s="36" t="s">
        <v>2167</v>
      </c>
      <c r="BM29" s="36" t="s">
        <v>2167</v>
      </c>
      <c r="BN29" s="37">
        <f t="shared" si="39"/>
        <v>1</v>
      </c>
      <c r="BO29" s="37">
        <f t="shared" si="40"/>
        <v>0.75</v>
      </c>
      <c r="BP29" s="37">
        <f t="shared" si="41"/>
        <v>0.75</v>
      </c>
      <c r="BQ29" s="37">
        <f t="shared" si="42"/>
        <v>0</v>
      </c>
      <c r="BR29" s="37">
        <f t="shared" si="43"/>
        <v>0</v>
      </c>
      <c r="BS29" s="36" t="s">
        <v>2080</v>
      </c>
      <c r="BT29" s="36" t="s">
        <v>2080</v>
      </c>
      <c r="BU29" s="36" t="s">
        <v>2080</v>
      </c>
      <c r="BV29" s="36" t="s">
        <v>2080</v>
      </c>
      <c r="BW29" s="37">
        <f t="shared" si="44"/>
        <v>0</v>
      </c>
      <c r="BX29" s="37">
        <f t="shared" si="45"/>
        <v>0</v>
      </c>
      <c r="BY29" s="37">
        <f t="shared" si="46"/>
        <v>0</v>
      </c>
      <c r="BZ29" s="37">
        <f t="shared" si="47"/>
        <v>0</v>
      </c>
      <c r="CA29" s="37">
        <f t="shared" si="48"/>
        <v>0</v>
      </c>
      <c r="CB29" s="37">
        <f t="shared" si="49"/>
        <v>0</v>
      </c>
      <c r="CC29" s="37">
        <f t="shared" si="50"/>
        <v>0</v>
      </c>
      <c r="CD29" s="37">
        <f t="shared" si="51"/>
        <v>0</v>
      </c>
      <c r="CE29" s="36" t="s">
        <v>2067</v>
      </c>
      <c r="CF29" s="36" t="s">
        <v>2067</v>
      </c>
      <c r="CG29" s="36" t="s">
        <v>2067</v>
      </c>
      <c r="CH29" s="36" t="s">
        <v>2080</v>
      </c>
      <c r="CI29" s="37">
        <f t="shared" si="52"/>
        <v>0</v>
      </c>
      <c r="CJ29" s="37">
        <f t="shared" si="53"/>
        <v>0</v>
      </c>
      <c r="CK29" s="37">
        <f t="shared" si="54"/>
        <v>0</v>
      </c>
      <c r="CL29" s="37">
        <f t="shared" si="55"/>
        <v>0</v>
      </c>
      <c r="CM29" s="37">
        <f t="shared" si="56"/>
        <v>0</v>
      </c>
      <c r="CN29" s="37">
        <f t="shared" si="57"/>
        <v>0</v>
      </c>
      <c r="CO29" s="37">
        <f t="shared" si="58"/>
        <v>0</v>
      </c>
      <c r="CP29" s="37">
        <f t="shared" si="59"/>
        <v>0</v>
      </c>
      <c r="CQ29" s="37">
        <f t="shared" si="60"/>
        <v>3.3333333333333339</v>
      </c>
      <c r="CR29" s="37">
        <f t="shared" si="61"/>
        <v>5</v>
      </c>
      <c r="CS29" s="37">
        <f t="shared" si="62"/>
        <v>0</v>
      </c>
      <c r="CT29" s="37">
        <f t="shared" si="63"/>
        <v>10</v>
      </c>
      <c r="CU29" s="37">
        <f t="shared" si="64"/>
        <v>0</v>
      </c>
      <c r="CV29" s="37">
        <f t="shared" si="65"/>
        <v>0</v>
      </c>
      <c r="CW29" s="37">
        <f t="shared" si="66"/>
        <v>0</v>
      </c>
      <c r="CX29" s="37">
        <f t="shared" si="67"/>
        <v>0</v>
      </c>
      <c r="CY29" s="37">
        <f t="shared" si="68"/>
        <v>0</v>
      </c>
      <c r="CZ29" s="37">
        <f t="shared" si="69"/>
        <v>18.333333333333336</v>
      </c>
    </row>
    <row r="30" spans="1:104" x14ac:dyDescent="0.25">
      <c r="A30" s="149" t="s">
        <v>2192</v>
      </c>
      <c r="B30" s="53" t="s">
        <v>1947</v>
      </c>
      <c r="C30" s="53" t="s">
        <v>1948</v>
      </c>
      <c r="D30" s="53" t="s">
        <v>1947</v>
      </c>
      <c r="E30" s="61">
        <f t="shared" si="0"/>
        <v>0</v>
      </c>
      <c r="F30" s="61">
        <f t="shared" si="1"/>
        <v>1</v>
      </c>
      <c r="G30" s="61">
        <f t="shared" si="2"/>
        <v>0</v>
      </c>
      <c r="H30" s="61">
        <f t="shared" si="3"/>
        <v>1</v>
      </c>
      <c r="I30" s="53" t="s">
        <v>2165</v>
      </c>
      <c r="J30" s="53" t="s">
        <v>2165</v>
      </c>
      <c r="K30" s="53" t="s">
        <v>1948</v>
      </c>
      <c r="L30" s="61">
        <f t="shared" si="4"/>
        <v>0</v>
      </c>
      <c r="M30" s="61">
        <f t="shared" si="5"/>
        <v>0</v>
      </c>
      <c r="N30" s="61">
        <f t="shared" si="6"/>
        <v>1</v>
      </c>
      <c r="O30" s="61">
        <f t="shared" si="7"/>
        <v>1</v>
      </c>
      <c r="P30" s="61">
        <f t="shared" si="8"/>
        <v>33.333333333333336</v>
      </c>
      <c r="Q30" s="53" t="s">
        <v>1948</v>
      </c>
      <c r="R30" s="53" t="s">
        <v>1947</v>
      </c>
      <c r="S30" s="61">
        <f t="shared" si="9"/>
        <v>1</v>
      </c>
      <c r="T30" s="61">
        <f t="shared" si="10"/>
        <v>0</v>
      </c>
      <c r="U30" s="61">
        <f t="shared" si="11"/>
        <v>1</v>
      </c>
      <c r="V30" s="61">
        <f t="shared" si="12"/>
        <v>50</v>
      </c>
      <c r="W30" s="53" t="s">
        <v>1947</v>
      </c>
      <c r="X30" s="53" t="s">
        <v>1947</v>
      </c>
      <c r="Y30" s="53" t="s">
        <v>1947</v>
      </c>
      <c r="Z30" s="53" t="s">
        <v>1947</v>
      </c>
      <c r="AA30" s="53" t="s">
        <v>1947</v>
      </c>
      <c r="AB30" s="50">
        <f t="shared" si="13"/>
        <v>0</v>
      </c>
      <c r="AC30" s="50">
        <f t="shared" si="14"/>
        <v>0</v>
      </c>
      <c r="AD30" s="50">
        <f t="shared" si="15"/>
        <v>0</v>
      </c>
      <c r="AE30" s="50">
        <f t="shared" si="16"/>
        <v>0</v>
      </c>
      <c r="AF30" s="50">
        <f t="shared" si="17"/>
        <v>0</v>
      </c>
      <c r="AG30" s="50">
        <f t="shared" si="18"/>
        <v>0</v>
      </c>
      <c r="AH30" s="51">
        <f t="shared" si="19"/>
        <v>0</v>
      </c>
      <c r="AI30" s="51">
        <f t="shared" si="20"/>
        <v>83.333333333333343</v>
      </c>
      <c r="AJ30" s="53" t="s">
        <v>1948</v>
      </c>
      <c r="AK30" s="53" t="s">
        <v>1948</v>
      </c>
      <c r="AL30" s="53" t="s">
        <v>1948</v>
      </c>
      <c r="AM30" s="50">
        <f t="shared" si="21"/>
        <v>1</v>
      </c>
      <c r="AN30" s="50">
        <f t="shared" si="22"/>
        <v>1</v>
      </c>
      <c r="AO30" s="50">
        <f t="shared" si="23"/>
        <v>1</v>
      </c>
      <c r="AP30" s="50">
        <f t="shared" si="24"/>
        <v>3</v>
      </c>
      <c r="AQ30" s="50">
        <f t="shared" si="25"/>
        <v>100</v>
      </c>
      <c r="AR30" s="36" t="s">
        <v>2166</v>
      </c>
      <c r="AS30" s="36" t="s">
        <v>2166</v>
      </c>
      <c r="AT30" s="36" t="s">
        <v>2166</v>
      </c>
      <c r="AU30" s="37">
        <f t="shared" si="26"/>
        <v>1</v>
      </c>
      <c r="AV30" s="37">
        <f t="shared" si="27"/>
        <v>1</v>
      </c>
      <c r="AW30" s="37">
        <f t="shared" si="28"/>
        <v>1</v>
      </c>
      <c r="AX30" s="37">
        <f t="shared" si="29"/>
        <v>0</v>
      </c>
      <c r="AY30" s="37">
        <f t="shared" si="30"/>
        <v>0</v>
      </c>
      <c r="AZ30" s="36" t="s">
        <v>2167</v>
      </c>
      <c r="BA30" s="36" t="s">
        <v>2167</v>
      </c>
      <c r="BB30" s="37">
        <f t="shared" si="31"/>
        <v>1</v>
      </c>
      <c r="BC30" s="37">
        <f t="shared" si="32"/>
        <v>0.75</v>
      </c>
      <c r="BD30" s="37">
        <f t="shared" si="33"/>
        <v>0.75</v>
      </c>
      <c r="BE30" s="37">
        <f t="shared" si="34"/>
        <v>0</v>
      </c>
      <c r="BF30" s="36" t="s">
        <v>2167</v>
      </c>
      <c r="BG30" s="36" t="s">
        <v>2167</v>
      </c>
      <c r="BH30" s="37">
        <f t="shared" si="35"/>
        <v>1</v>
      </c>
      <c r="BI30" s="37">
        <f t="shared" si="36"/>
        <v>0.75</v>
      </c>
      <c r="BJ30" s="37">
        <f t="shared" si="37"/>
        <v>0.75</v>
      </c>
      <c r="BK30" s="37">
        <f t="shared" si="38"/>
        <v>0</v>
      </c>
      <c r="BL30" s="36" t="s">
        <v>2167</v>
      </c>
      <c r="BM30" s="36" t="s">
        <v>2167</v>
      </c>
      <c r="BN30" s="37">
        <f t="shared" si="39"/>
        <v>1</v>
      </c>
      <c r="BO30" s="37">
        <f t="shared" si="40"/>
        <v>0.75</v>
      </c>
      <c r="BP30" s="37">
        <f t="shared" si="41"/>
        <v>0.75</v>
      </c>
      <c r="BQ30" s="37">
        <f t="shared" si="42"/>
        <v>0</v>
      </c>
      <c r="BR30" s="37">
        <f t="shared" si="43"/>
        <v>0</v>
      </c>
      <c r="BS30" s="36" t="s">
        <v>2080</v>
      </c>
      <c r="BT30" s="36" t="s">
        <v>2080</v>
      </c>
      <c r="BU30" s="36" t="s">
        <v>2080</v>
      </c>
      <c r="BV30" s="36" t="s">
        <v>2080</v>
      </c>
      <c r="BW30" s="37">
        <f t="shared" si="44"/>
        <v>0</v>
      </c>
      <c r="BX30" s="37">
        <f t="shared" si="45"/>
        <v>0</v>
      </c>
      <c r="BY30" s="37">
        <f t="shared" si="46"/>
        <v>0</v>
      </c>
      <c r="BZ30" s="37">
        <f t="shared" si="47"/>
        <v>0</v>
      </c>
      <c r="CA30" s="37">
        <f t="shared" si="48"/>
        <v>0</v>
      </c>
      <c r="CB30" s="37">
        <f t="shared" si="49"/>
        <v>0</v>
      </c>
      <c r="CC30" s="37">
        <f t="shared" si="50"/>
        <v>0</v>
      </c>
      <c r="CD30" s="37">
        <f t="shared" si="51"/>
        <v>0</v>
      </c>
      <c r="CE30" s="36" t="s">
        <v>2067</v>
      </c>
      <c r="CF30" s="36" t="s">
        <v>2067</v>
      </c>
      <c r="CG30" s="36" t="s">
        <v>2067</v>
      </c>
      <c r="CH30" s="36" t="s">
        <v>2080</v>
      </c>
      <c r="CI30" s="37">
        <f t="shared" si="52"/>
        <v>0</v>
      </c>
      <c r="CJ30" s="37">
        <f t="shared" si="53"/>
        <v>0</v>
      </c>
      <c r="CK30" s="37">
        <f t="shared" si="54"/>
        <v>0</v>
      </c>
      <c r="CL30" s="37">
        <f t="shared" si="55"/>
        <v>0</v>
      </c>
      <c r="CM30" s="37">
        <f t="shared" si="56"/>
        <v>0</v>
      </c>
      <c r="CN30" s="37">
        <f t="shared" si="57"/>
        <v>0</v>
      </c>
      <c r="CO30" s="37">
        <f t="shared" si="58"/>
        <v>0</v>
      </c>
      <c r="CP30" s="37">
        <f t="shared" si="59"/>
        <v>0</v>
      </c>
      <c r="CQ30" s="37">
        <f t="shared" si="60"/>
        <v>3.3333333333333339</v>
      </c>
      <c r="CR30" s="37">
        <f t="shared" si="61"/>
        <v>5</v>
      </c>
      <c r="CS30" s="37">
        <f t="shared" si="62"/>
        <v>0</v>
      </c>
      <c r="CT30" s="37">
        <f t="shared" si="63"/>
        <v>10</v>
      </c>
      <c r="CU30" s="37">
        <f t="shared" si="64"/>
        <v>0</v>
      </c>
      <c r="CV30" s="37">
        <f t="shared" si="65"/>
        <v>0</v>
      </c>
      <c r="CW30" s="37">
        <f t="shared" si="66"/>
        <v>0</v>
      </c>
      <c r="CX30" s="37">
        <f t="shared" si="67"/>
        <v>0</v>
      </c>
      <c r="CY30" s="37">
        <f t="shared" si="68"/>
        <v>0</v>
      </c>
      <c r="CZ30" s="37">
        <f t="shared" si="69"/>
        <v>18.333333333333336</v>
      </c>
    </row>
    <row r="31" spans="1:104" x14ac:dyDescent="0.25">
      <c r="A31" s="149" t="s">
        <v>2193</v>
      </c>
      <c r="B31" s="53" t="s">
        <v>1947</v>
      </c>
      <c r="C31" s="53" t="s">
        <v>1948</v>
      </c>
      <c r="D31" s="53" t="s">
        <v>1948</v>
      </c>
      <c r="E31" s="61">
        <f t="shared" si="0"/>
        <v>0</v>
      </c>
      <c r="F31" s="61">
        <f t="shared" si="1"/>
        <v>1</v>
      </c>
      <c r="G31" s="61">
        <f t="shared" si="2"/>
        <v>1</v>
      </c>
      <c r="H31" s="61">
        <f t="shared" si="3"/>
        <v>2</v>
      </c>
      <c r="I31" s="53" t="s">
        <v>2165</v>
      </c>
      <c r="J31" s="53" t="s">
        <v>2165</v>
      </c>
      <c r="K31" s="53" t="s">
        <v>1948</v>
      </c>
      <c r="L31" s="61">
        <f t="shared" si="4"/>
        <v>0</v>
      </c>
      <c r="M31" s="61">
        <f t="shared" si="5"/>
        <v>0</v>
      </c>
      <c r="N31" s="61">
        <f t="shared" si="6"/>
        <v>1</v>
      </c>
      <c r="O31" s="61">
        <f t="shared" si="7"/>
        <v>1</v>
      </c>
      <c r="P31" s="61">
        <f t="shared" si="8"/>
        <v>50</v>
      </c>
      <c r="Q31" s="53" t="s">
        <v>1948</v>
      </c>
      <c r="R31" s="53" t="s">
        <v>1948</v>
      </c>
      <c r="S31" s="61">
        <f t="shared" si="9"/>
        <v>1</v>
      </c>
      <c r="T31" s="61">
        <f t="shared" si="10"/>
        <v>1</v>
      </c>
      <c r="U31" s="61">
        <f t="shared" si="11"/>
        <v>2</v>
      </c>
      <c r="V31" s="61">
        <f t="shared" si="12"/>
        <v>100</v>
      </c>
      <c r="W31" s="53" t="s">
        <v>1947</v>
      </c>
      <c r="X31" s="53" t="s">
        <v>1948</v>
      </c>
      <c r="Y31" s="53" t="s">
        <v>1947</v>
      </c>
      <c r="Z31" s="53" t="s">
        <v>1947</v>
      </c>
      <c r="AA31" s="53" t="s">
        <v>1947</v>
      </c>
      <c r="AB31" s="50">
        <f t="shared" si="13"/>
        <v>0</v>
      </c>
      <c r="AC31" s="50">
        <f t="shared" si="14"/>
        <v>1</v>
      </c>
      <c r="AD31" s="50">
        <f t="shared" si="15"/>
        <v>0</v>
      </c>
      <c r="AE31" s="50">
        <f t="shared" si="16"/>
        <v>0</v>
      </c>
      <c r="AF31" s="50">
        <f t="shared" si="17"/>
        <v>0</v>
      </c>
      <c r="AG31" s="50">
        <f t="shared" si="18"/>
        <v>1</v>
      </c>
      <c r="AH31" s="51">
        <f t="shared" si="19"/>
        <v>20</v>
      </c>
      <c r="AI31" s="51">
        <f t="shared" si="20"/>
        <v>170</v>
      </c>
      <c r="AJ31" s="53" t="s">
        <v>1948</v>
      </c>
      <c r="AK31" s="53" t="s">
        <v>1948</v>
      </c>
      <c r="AL31" s="53" t="s">
        <v>1948</v>
      </c>
      <c r="AM31" s="50">
        <f t="shared" si="21"/>
        <v>1</v>
      </c>
      <c r="AN31" s="50">
        <f t="shared" si="22"/>
        <v>1</v>
      </c>
      <c r="AO31" s="50">
        <f t="shared" si="23"/>
        <v>1</v>
      </c>
      <c r="AP31" s="50">
        <f t="shared" si="24"/>
        <v>3</v>
      </c>
      <c r="AQ31" s="50">
        <f t="shared" si="25"/>
        <v>100</v>
      </c>
      <c r="AR31" s="36" t="s">
        <v>2166</v>
      </c>
      <c r="AS31" s="36" t="s">
        <v>2166</v>
      </c>
      <c r="AT31" s="36" t="s">
        <v>2166</v>
      </c>
      <c r="AU31" s="37">
        <f t="shared" si="26"/>
        <v>1</v>
      </c>
      <c r="AV31" s="37">
        <f t="shared" si="27"/>
        <v>1</v>
      </c>
      <c r="AW31" s="37">
        <f t="shared" si="28"/>
        <v>1</v>
      </c>
      <c r="AX31" s="37">
        <f t="shared" si="29"/>
        <v>0</v>
      </c>
      <c r="AY31" s="37">
        <f t="shared" si="30"/>
        <v>0</v>
      </c>
      <c r="AZ31" s="36" t="s">
        <v>2167</v>
      </c>
      <c r="BA31" s="36" t="s">
        <v>2167</v>
      </c>
      <c r="BB31" s="37">
        <f t="shared" si="31"/>
        <v>1</v>
      </c>
      <c r="BC31" s="37">
        <f t="shared" si="32"/>
        <v>0.75</v>
      </c>
      <c r="BD31" s="37">
        <f t="shared" si="33"/>
        <v>0.75</v>
      </c>
      <c r="BE31" s="37">
        <f t="shared" si="34"/>
        <v>0</v>
      </c>
      <c r="BF31" s="36" t="s">
        <v>2167</v>
      </c>
      <c r="BG31" s="36" t="s">
        <v>2167</v>
      </c>
      <c r="BH31" s="37">
        <f t="shared" si="35"/>
        <v>1</v>
      </c>
      <c r="BI31" s="37">
        <f t="shared" si="36"/>
        <v>0.75</v>
      </c>
      <c r="BJ31" s="37">
        <f t="shared" si="37"/>
        <v>0.75</v>
      </c>
      <c r="BK31" s="37">
        <f t="shared" si="38"/>
        <v>0</v>
      </c>
      <c r="BL31" s="36" t="s">
        <v>2167</v>
      </c>
      <c r="BM31" s="36" t="s">
        <v>2167</v>
      </c>
      <c r="BN31" s="37">
        <f t="shared" si="39"/>
        <v>1</v>
      </c>
      <c r="BO31" s="37">
        <f t="shared" si="40"/>
        <v>0.75</v>
      </c>
      <c r="BP31" s="37">
        <f t="shared" si="41"/>
        <v>0.75</v>
      </c>
      <c r="BQ31" s="37">
        <f t="shared" si="42"/>
        <v>0</v>
      </c>
      <c r="BR31" s="37">
        <f t="shared" si="43"/>
        <v>0</v>
      </c>
      <c r="BS31" s="36" t="s">
        <v>2080</v>
      </c>
      <c r="BT31" s="36" t="s">
        <v>2080</v>
      </c>
      <c r="BU31" s="36" t="s">
        <v>2080</v>
      </c>
      <c r="BV31" s="36" t="s">
        <v>2080</v>
      </c>
      <c r="BW31" s="37">
        <f t="shared" si="44"/>
        <v>0</v>
      </c>
      <c r="BX31" s="37">
        <f t="shared" si="45"/>
        <v>0</v>
      </c>
      <c r="BY31" s="37">
        <f t="shared" si="46"/>
        <v>0</v>
      </c>
      <c r="BZ31" s="37">
        <f t="shared" si="47"/>
        <v>0</v>
      </c>
      <c r="CA31" s="37">
        <f t="shared" si="48"/>
        <v>0</v>
      </c>
      <c r="CB31" s="37">
        <f t="shared" si="49"/>
        <v>0</v>
      </c>
      <c r="CC31" s="37">
        <f t="shared" si="50"/>
        <v>0</v>
      </c>
      <c r="CD31" s="37">
        <f t="shared" si="51"/>
        <v>0</v>
      </c>
      <c r="CE31" s="36" t="s">
        <v>2067</v>
      </c>
      <c r="CF31" s="36" t="s">
        <v>2067</v>
      </c>
      <c r="CG31" s="36" t="s">
        <v>2067</v>
      </c>
      <c r="CH31" s="36" t="s">
        <v>2080</v>
      </c>
      <c r="CI31" s="37">
        <f t="shared" si="52"/>
        <v>0</v>
      </c>
      <c r="CJ31" s="37">
        <f t="shared" si="53"/>
        <v>0</v>
      </c>
      <c r="CK31" s="37">
        <f t="shared" si="54"/>
        <v>0</v>
      </c>
      <c r="CL31" s="37">
        <f t="shared" si="55"/>
        <v>0</v>
      </c>
      <c r="CM31" s="37">
        <f t="shared" si="56"/>
        <v>0</v>
      </c>
      <c r="CN31" s="37">
        <f t="shared" si="57"/>
        <v>0</v>
      </c>
      <c r="CO31" s="37">
        <f t="shared" si="58"/>
        <v>0</v>
      </c>
      <c r="CP31" s="37">
        <f t="shared" si="59"/>
        <v>0</v>
      </c>
      <c r="CQ31" s="37">
        <f t="shared" si="60"/>
        <v>5</v>
      </c>
      <c r="CR31" s="37">
        <f t="shared" si="61"/>
        <v>10</v>
      </c>
      <c r="CS31" s="37">
        <f t="shared" si="62"/>
        <v>2</v>
      </c>
      <c r="CT31" s="37">
        <f t="shared" si="63"/>
        <v>10</v>
      </c>
      <c r="CU31" s="37">
        <f t="shared" si="64"/>
        <v>0</v>
      </c>
      <c r="CV31" s="37">
        <f t="shared" si="65"/>
        <v>0</v>
      </c>
      <c r="CW31" s="37">
        <f t="shared" si="66"/>
        <v>0</v>
      </c>
      <c r="CX31" s="37">
        <f t="shared" si="67"/>
        <v>0</v>
      </c>
      <c r="CY31" s="37">
        <f t="shared" si="68"/>
        <v>0</v>
      </c>
      <c r="CZ31" s="37">
        <f t="shared" si="69"/>
        <v>27</v>
      </c>
    </row>
    <row r="32" spans="1:104" x14ac:dyDescent="0.25">
      <c r="A32" s="149" t="s">
        <v>2194</v>
      </c>
      <c r="B32" s="53" t="s">
        <v>1947</v>
      </c>
      <c r="C32" s="53" t="s">
        <v>1948</v>
      </c>
      <c r="D32" s="53" t="s">
        <v>1947</v>
      </c>
      <c r="E32" s="61">
        <f t="shared" si="0"/>
        <v>0</v>
      </c>
      <c r="F32" s="61">
        <f t="shared" si="1"/>
        <v>1</v>
      </c>
      <c r="G32" s="61">
        <f t="shared" si="2"/>
        <v>0</v>
      </c>
      <c r="H32" s="61">
        <f t="shared" si="3"/>
        <v>1</v>
      </c>
      <c r="I32" s="53" t="s">
        <v>2165</v>
      </c>
      <c r="J32" s="53" t="s">
        <v>2165</v>
      </c>
      <c r="K32" s="53" t="s">
        <v>1948</v>
      </c>
      <c r="L32" s="61">
        <f t="shared" si="4"/>
        <v>0</v>
      </c>
      <c r="M32" s="61">
        <f t="shared" si="5"/>
        <v>0</v>
      </c>
      <c r="N32" s="61">
        <f t="shared" si="6"/>
        <v>1</v>
      </c>
      <c r="O32" s="61">
        <f t="shared" si="7"/>
        <v>1</v>
      </c>
      <c r="P32" s="61">
        <f t="shared" si="8"/>
        <v>33.333333333333336</v>
      </c>
      <c r="Q32" s="53" t="s">
        <v>1948</v>
      </c>
      <c r="R32" s="53" t="s">
        <v>1947</v>
      </c>
      <c r="S32" s="61">
        <f t="shared" si="9"/>
        <v>1</v>
      </c>
      <c r="T32" s="61">
        <f t="shared" si="10"/>
        <v>0</v>
      </c>
      <c r="U32" s="61">
        <f t="shared" si="11"/>
        <v>1</v>
      </c>
      <c r="V32" s="61">
        <f t="shared" si="12"/>
        <v>50</v>
      </c>
      <c r="W32" s="53" t="s">
        <v>1947</v>
      </c>
      <c r="X32" s="53" t="s">
        <v>1947</v>
      </c>
      <c r="Y32" s="53" t="s">
        <v>1947</v>
      </c>
      <c r="Z32" s="53" t="s">
        <v>1947</v>
      </c>
      <c r="AA32" s="53" t="s">
        <v>1947</v>
      </c>
      <c r="AB32" s="50">
        <f t="shared" si="13"/>
        <v>0</v>
      </c>
      <c r="AC32" s="50">
        <f t="shared" si="14"/>
        <v>0</v>
      </c>
      <c r="AD32" s="50">
        <f t="shared" si="15"/>
        <v>0</v>
      </c>
      <c r="AE32" s="50">
        <f t="shared" si="16"/>
        <v>0</v>
      </c>
      <c r="AF32" s="50">
        <f t="shared" si="17"/>
        <v>0</v>
      </c>
      <c r="AG32" s="50">
        <f t="shared" si="18"/>
        <v>0</v>
      </c>
      <c r="AH32" s="51">
        <f t="shared" si="19"/>
        <v>0</v>
      </c>
      <c r="AI32" s="51">
        <f t="shared" si="20"/>
        <v>83.333333333333343</v>
      </c>
      <c r="AJ32" s="53" t="s">
        <v>1948</v>
      </c>
      <c r="AK32" s="53" t="s">
        <v>1948</v>
      </c>
      <c r="AL32" s="53" t="s">
        <v>1948</v>
      </c>
      <c r="AM32" s="50">
        <f t="shared" si="21"/>
        <v>1</v>
      </c>
      <c r="AN32" s="50">
        <f t="shared" si="22"/>
        <v>1</v>
      </c>
      <c r="AO32" s="50">
        <f t="shared" si="23"/>
        <v>1</v>
      </c>
      <c r="AP32" s="50">
        <f t="shared" si="24"/>
        <v>3</v>
      </c>
      <c r="AQ32" s="50">
        <f t="shared" si="25"/>
        <v>100</v>
      </c>
      <c r="AR32" s="36" t="s">
        <v>2166</v>
      </c>
      <c r="AS32" s="36" t="s">
        <v>2166</v>
      </c>
      <c r="AT32" s="36" t="s">
        <v>2166</v>
      </c>
      <c r="AU32" s="37">
        <f t="shared" si="26"/>
        <v>1</v>
      </c>
      <c r="AV32" s="37">
        <f t="shared" si="27"/>
        <v>1</v>
      </c>
      <c r="AW32" s="37">
        <f t="shared" si="28"/>
        <v>1</v>
      </c>
      <c r="AX32" s="37">
        <f t="shared" si="29"/>
        <v>0</v>
      </c>
      <c r="AY32" s="37">
        <f t="shared" si="30"/>
        <v>0</v>
      </c>
      <c r="AZ32" s="36" t="s">
        <v>2167</v>
      </c>
      <c r="BA32" s="36" t="s">
        <v>2167</v>
      </c>
      <c r="BB32" s="37">
        <f t="shared" si="31"/>
        <v>1</v>
      </c>
      <c r="BC32" s="37">
        <f t="shared" si="32"/>
        <v>0.75</v>
      </c>
      <c r="BD32" s="37">
        <f t="shared" si="33"/>
        <v>0.75</v>
      </c>
      <c r="BE32" s="37">
        <f t="shared" si="34"/>
        <v>0</v>
      </c>
      <c r="BF32" s="36" t="s">
        <v>2167</v>
      </c>
      <c r="BG32" s="36" t="s">
        <v>2167</v>
      </c>
      <c r="BH32" s="37">
        <f t="shared" si="35"/>
        <v>1</v>
      </c>
      <c r="BI32" s="37">
        <f t="shared" si="36"/>
        <v>0.75</v>
      </c>
      <c r="BJ32" s="37">
        <f t="shared" si="37"/>
        <v>0.75</v>
      </c>
      <c r="BK32" s="37">
        <f t="shared" si="38"/>
        <v>0</v>
      </c>
      <c r="BL32" s="36" t="s">
        <v>2167</v>
      </c>
      <c r="BM32" s="36" t="s">
        <v>2167</v>
      </c>
      <c r="BN32" s="37">
        <f t="shared" si="39"/>
        <v>1</v>
      </c>
      <c r="BO32" s="37">
        <f t="shared" si="40"/>
        <v>0.75</v>
      </c>
      <c r="BP32" s="37">
        <f t="shared" si="41"/>
        <v>0.75</v>
      </c>
      <c r="BQ32" s="37">
        <f t="shared" si="42"/>
        <v>0</v>
      </c>
      <c r="BR32" s="37">
        <f t="shared" si="43"/>
        <v>0</v>
      </c>
      <c r="BS32" s="36" t="s">
        <v>2080</v>
      </c>
      <c r="BT32" s="36" t="s">
        <v>2080</v>
      </c>
      <c r="BU32" s="36" t="s">
        <v>2080</v>
      </c>
      <c r="BV32" s="36" t="s">
        <v>2080</v>
      </c>
      <c r="BW32" s="37">
        <f t="shared" si="44"/>
        <v>0</v>
      </c>
      <c r="BX32" s="37">
        <f t="shared" si="45"/>
        <v>0</v>
      </c>
      <c r="BY32" s="37">
        <f t="shared" si="46"/>
        <v>0</v>
      </c>
      <c r="BZ32" s="37">
        <f t="shared" si="47"/>
        <v>0</v>
      </c>
      <c r="CA32" s="37">
        <f t="shared" si="48"/>
        <v>0</v>
      </c>
      <c r="CB32" s="37">
        <f t="shared" si="49"/>
        <v>0</v>
      </c>
      <c r="CC32" s="37">
        <f t="shared" si="50"/>
        <v>0</v>
      </c>
      <c r="CD32" s="37">
        <f t="shared" si="51"/>
        <v>0</v>
      </c>
      <c r="CE32" s="36" t="s">
        <v>2067</v>
      </c>
      <c r="CF32" s="36" t="s">
        <v>2067</v>
      </c>
      <c r="CG32" s="36" t="s">
        <v>2067</v>
      </c>
      <c r="CH32" s="36" t="s">
        <v>2080</v>
      </c>
      <c r="CI32" s="37">
        <f t="shared" si="52"/>
        <v>0</v>
      </c>
      <c r="CJ32" s="37">
        <f t="shared" si="53"/>
        <v>0</v>
      </c>
      <c r="CK32" s="37">
        <f t="shared" si="54"/>
        <v>0</v>
      </c>
      <c r="CL32" s="37">
        <f t="shared" si="55"/>
        <v>0</v>
      </c>
      <c r="CM32" s="37">
        <f t="shared" si="56"/>
        <v>0</v>
      </c>
      <c r="CN32" s="37">
        <f t="shared" si="57"/>
        <v>0</v>
      </c>
      <c r="CO32" s="37">
        <f t="shared" si="58"/>
        <v>0</v>
      </c>
      <c r="CP32" s="37">
        <f t="shared" si="59"/>
        <v>0</v>
      </c>
      <c r="CQ32" s="37">
        <f t="shared" si="60"/>
        <v>3.3333333333333339</v>
      </c>
      <c r="CR32" s="37">
        <f t="shared" si="61"/>
        <v>5</v>
      </c>
      <c r="CS32" s="37">
        <f t="shared" si="62"/>
        <v>0</v>
      </c>
      <c r="CT32" s="37">
        <f t="shared" si="63"/>
        <v>10</v>
      </c>
      <c r="CU32" s="37">
        <f t="shared" si="64"/>
        <v>0</v>
      </c>
      <c r="CV32" s="37">
        <f t="shared" si="65"/>
        <v>0</v>
      </c>
      <c r="CW32" s="37">
        <f t="shared" si="66"/>
        <v>0</v>
      </c>
      <c r="CX32" s="37">
        <f t="shared" si="67"/>
        <v>0</v>
      </c>
      <c r="CY32" s="37">
        <f t="shared" si="68"/>
        <v>0</v>
      </c>
      <c r="CZ32" s="37">
        <f t="shared" si="69"/>
        <v>18.333333333333336</v>
      </c>
    </row>
    <row r="33" spans="1:104" x14ac:dyDescent="0.25">
      <c r="A33" s="149" t="s">
        <v>2195</v>
      </c>
      <c r="B33" s="53" t="s">
        <v>1947</v>
      </c>
      <c r="C33" s="53" t="s">
        <v>1948</v>
      </c>
      <c r="D33" s="53" t="s">
        <v>1947</v>
      </c>
      <c r="E33" s="61">
        <f t="shared" si="0"/>
        <v>0</v>
      </c>
      <c r="F33" s="61">
        <f t="shared" si="1"/>
        <v>1</v>
      </c>
      <c r="G33" s="61">
        <f t="shared" si="2"/>
        <v>0</v>
      </c>
      <c r="H33" s="61">
        <f t="shared" si="3"/>
        <v>1</v>
      </c>
      <c r="I33" s="53" t="s">
        <v>2165</v>
      </c>
      <c r="J33" s="53" t="s">
        <v>2165</v>
      </c>
      <c r="K33" s="53" t="s">
        <v>1948</v>
      </c>
      <c r="L33" s="61">
        <f t="shared" si="4"/>
        <v>0</v>
      </c>
      <c r="M33" s="61">
        <f t="shared" si="5"/>
        <v>0</v>
      </c>
      <c r="N33" s="61">
        <f t="shared" si="6"/>
        <v>1</v>
      </c>
      <c r="O33" s="61">
        <f t="shared" si="7"/>
        <v>1</v>
      </c>
      <c r="P33" s="61">
        <f t="shared" si="8"/>
        <v>33.333333333333336</v>
      </c>
      <c r="Q33" s="53" t="s">
        <v>1948</v>
      </c>
      <c r="R33" s="53" t="s">
        <v>1947</v>
      </c>
      <c r="S33" s="61">
        <f t="shared" si="9"/>
        <v>1</v>
      </c>
      <c r="T33" s="61">
        <f t="shared" si="10"/>
        <v>0</v>
      </c>
      <c r="U33" s="61">
        <f t="shared" si="11"/>
        <v>1</v>
      </c>
      <c r="V33" s="61">
        <f t="shared" si="12"/>
        <v>50</v>
      </c>
      <c r="W33" s="53" t="s">
        <v>1947</v>
      </c>
      <c r="X33" s="53" t="s">
        <v>1947</v>
      </c>
      <c r="Y33" s="53" t="s">
        <v>1947</v>
      </c>
      <c r="Z33" s="53" t="s">
        <v>1947</v>
      </c>
      <c r="AA33" s="53" t="s">
        <v>1947</v>
      </c>
      <c r="AB33" s="50">
        <f t="shared" si="13"/>
        <v>0</v>
      </c>
      <c r="AC33" s="50">
        <f t="shared" si="14"/>
        <v>0</v>
      </c>
      <c r="AD33" s="50">
        <f t="shared" si="15"/>
        <v>0</v>
      </c>
      <c r="AE33" s="50">
        <f t="shared" si="16"/>
        <v>0</v>
      </c>
      <c r="AF33" s="50">
        <f t="shared" si="17"/>
        <v>0</v>
      </c>
      <c r="AG33" s="50">
        <f t="shared" si="18"/>
        <v>0</v>
      </c>
      <c r="AH33" s="51">
        <f t="shared" si="19"/>
        <v>0</v>
      </c>
      <c r="AI33" s="51">
        <f t="shared" si="20"/>
        <v>83.333333333333343</v>
      </c>
      <c r="AJ33" s="53" t="s">
        <v>1948</v>
      </c>
      <c r="AK33" s="53" t="s">
        <v>1948</v>
      </c>
      <c r="AL33" s="53" t="s">
        <v>1948</v>
      </c>
      <c r="AM33" s="50">
        <f t="shared" si="21"/>
        <v>1</v>
      </c>
      <c r="AN33" s="50">
        <f t="shared" si="22"/>
        <v>1</v>
      </c>
      <c r="AO33" s="50">
        <f t="shared" si="23"/>
        <v>1</v>
      </c>
      <c r="AP33" s="50">
        <f t="shared" si="24"/>
        <v>3</v>
      </c>
      <c r="AQ33" s="50">
        <f t="shared" si="25"/>
        <v>100</v>
      </c>
      <c r="AR33" s="36" t="s">
        <v>2166</v>
      </c>
      <c r="AS33" s="36" t="s">
        <v>2166</v>
      </c>
      <c r="AT33" s="36" t="s">
        <v>2166</v>
      </c>
      <c r="AU33" s="37">
        <f t="shared" si="26"/>
        <v>1</v>
      </c>
      <c r="AV33" s="37">
        <f t="shared" si="27"/>
        <v>1</v>
      </c>
      <c r="AW33" s="37">
        <f t="shared" si="28"/>
        <v>1</v>
      </c>
      <c r="AX33" s="37">
        <f t="shared" si="29"/>
        <v>0</v>
      </c>
      <c r="AY33" s="37">
        <f t="shared" si="30"/>
        <v>0</v>
      </c>
      <c r="AZ33" s="36" t="s">
        <v>2167</v>
      </c>
      <c r="BA33" s="36" t="s">
        <v>2167</v>
      </c>
      <c r="BB33" s="37">
        <f t="shared" si="31"/>
        <v>1</v>
      </c>
      <c r="BC33" s="37">
        <f t="shared" si="32"/>
        <v>0.75</v>
      </c>
      <c r="BD33" s="37">
        <f t="shared" si="33"/>
        <v>0.75</v>
      </c>
      <c r="BE33" s="37">
        <f t="shared" si="34"/>
        <v>0</v>
      </c>
      <c r="BF33" s="36" t="s">
        <v>2167</v>
      </c>
      <c r="BG33" s="36" t="s">
        <v>2167</v>
      </c>
      <c r="BH33" s="37">
        <f t="shared" si="35"/>
        <v>1</v>
      </c>
      <c r="BI33" s="37">
        <f t="shared" si="36"/>
        <v>0.75</v>
      </c>
      <c r="BJ33" s="37">
        <f t="shared" si="37"/>
        <v>0.75</v>
      </c>
      <c r="BK33" s="37">
        <f t="shared" si="38"/>
        <v>0</v>
      </c>
      <c r="BL33" s="36" t="s">
        <v>2167</v>
      </c>
      <c r="BM33" s="36" t="s">
        <v>2167</v>
      </c>
      <c r="BN33" s="37">
        <f t="shared" si="39"/>
        <v>1</v>
      </c>
      <c r="BO33" s="37">
        <f t="shared" si="40"/>
        <v>0.75</v>
      </c>
      <c r="BP33" s="37">
        <f t="shared" si="41"/>
        <v>0.75</v>
      </c>
      <c r="BQ33" s="37">
        <f t="shared" si="42"/>
        <v>0</v>
      </c>
      <c r="BR33" s="37">
        <f t="shared" si="43"/>
        <v>0</v>
      </c>
      <c r="BS33" s="36" t="s">
        <v>2080</v>
      </c>
      <c r="BT33" s="36" t="s">
        <v>2080</v>
      </c>
      <c r="BU33" s="36" t="s">
        <v>2080</v>
      </c>
      <c r="BV33" s="36" t="s">
        <v>2080</v>
      </c>
      <c r="BW33" s="37">
        <f t="shared" si="44"/>
        <v>0</v>
      </c>
      <c r="BX33" s="37">
        <f t="shared" si="45"/>
        <v>0</v>
      </c>
      <c r="BY33" s="37">
        <f t="shared" si="46"/>
        <v>0</v>
      </c>
      <c r="BZ33" s="37">
        <f t="shared" si="47"/>
        <v>0</v>
      </c>
      <c r="CA33" s="37">
        <f t="shared" si="48"/>
        <v>0</v>
      </c>
      <c r="CB33" s="37">
        <f t="shared" si="49"/>
        <v>0</v>
      </c>
      <c r="CC33" s="37">
        <f t="shared" si="50"/>
        <v>0</v>
      </c>
      <c r="CD33" s="37">
        <f t="shared" si="51"/>
        <v>0</v>
      </c>
      <c r="CE33" s="36" t="s">
        <v>2067</v>
      </c>
      <c r="CF33" s="36" t="s">
        <v>2067</v>
      </c>
      <c r="CG33" s="36" t="s">
        <v>2067</v>
      </c>
      <c r="CH33" s="36" t="s">
        <v>2080</v>
      </c>
      <c r="CI33" s="37">
        <f t="shared" si="52"/>
        <v>0</v>
      </c>
      <c r="CJ33" s="37">
        <f t="shared" si="53"/>
        <v>0</v>
      </c>
      <c r="CK33" s="37">
        <f t="shared" si="54"/>
        <v>0</v>
      </c>
      <c r="CL33" s="37">
        <f t="shared" si="55"/>
        <v>0</v>
      </c>
      <c r="CM33" s="37">
        <f t="shared" si="56"/>
        <v>0</v>
      </c>
      <c r="CN33" s="37">
        <f t="shared" si="57"/>
        <v>0</v>
      </c>
      <c r="CO33" s="37">
        <f t="shared" si="58"/>
        <v>0</v>
      </c>
      <c r="CP33" s="37">
        <f t="shared" si="59"/>
        <v>0</v>
      </c>
      <c r="CQ33" s="37">
        <f t="shared" si="60"/>
        <v>3.3333333333333339</v>
      </c>
      <c r="CR33" s="37">
        <f t="shared" si="61"/>
        <v>5</v>
      </c>
      <c r="CS33" s="37">
        <f t="shared" si="62"/>
        <v>0</v>
      </c>
      <c r="CT33" s="37">
        <f t="shared" si="63"/>
        <v>10</v>
      </c>
      <c r="CU33" s="37">
        <f t="shared" si="64"/>
        <v>0</v>
      </c>
      <c r="CV33" s="37">
        <f t="shared" si="65"/>
        <v>0</v>
      </c>
      <c r="CW33" s="37">
        <f t="shared" si="66"/>
        <v>0</v>
      </c>
      <c r="CX33" s="37">
        <f t="shared" si="67"/>
        <v>0</v>
      </c>
      <c r="CY33" s="37">
        <f t="shared" si="68"/>
        <v>0</v>
      </c>
      <c r="CZ33" s="37">
        <f t="shared" si="69"/>
        <v>18.333333333333336</v>
      </c>
    </row>
    <row r="34" spans="1:104" x14ac:dyDescent="0.25">
      <c r="A34" s="149" t="s">
        <v>2196</v>
      </c>
      <c r="B34" s="53" t="s">
        <v>1947</v>
      </c>
      <c r="C34" s="53" t="s">
        <v>1948</v>
      </c>
      <c r="D34" s="53" t="s">
        <v>1947</v>
      </c>
      <c r="E34" s="61">
        <f t="shared" si="0"/>
        <v>0</v>
      </c>
      <c r="F34" s="61">
        <f t="shared" si="1"/>
        <v>1</v>
      </c>
      <c r="G34" s="61">
        <f t="shared" si="2"/>
        <v>0</v>
      </c>
      <c r="H34" s="61">
        <f t="shared" si="3"/>
        <v>1</v>
      </c>
      <c r="I34" s="53" t="s">
        <v>2165</v>
      </c>
      <c r="J34" s="53" t="s">
        <v>2165</v>
      </c>
      <c r="K34" s="53" t="s">
        <v>1948</v>
      </c>
      <c r="L34" s="61">
        <f t="shared" si="4"/>
        <v>0</v>
      </c>
      <c r="M34" s="61">
        <f t="shared" si="5"/>
        <v>0</v>
      </c>
      <c r="N34" s="61">
        <f t="shared" si="6"/>
        <v>1</v>
      </c>
      <c r="O34" s="61">
        <f t="shared" si="7"/>
        <v>1</v>
      </c>
      <c r="P34" s="61">
        <f t="shared" si="8"/>
        <v>33.333333333333336</v>
      </c>
      <c r="Q34" s="53" t="s">
        <v>1948</v>
      </c>
      <c r="R34" s="53" t="s">
        <v>1947</v>
      </c>
      <c r="S34" s="61">
        <f t="shared" si="9"/>
        <v>1</v>
      </c>
      <c r="T34" s="61">
        <f t="shared" si="10"/>
        <v>0</v>
      </c>
      <c r="U34" s="61">
        <f t="shared" si="11"/>
        <v>1</v>
      </c>
      <c r="V34" s="61">
        <f t="shared" si="12"/>
        <v>50</v>
      </c>
      <c r="W34" s="53" t="s">
        <v>1947</v>
      </c>
      <c r="X34" s="53" t="s">
        <v>1947</v>
      </c>
      <c r="Y34" s="53" t="s">
        <v>1947</v>
      </c>
      <c r="Z34" s="53" t="s">
        <v>1947</v>
      </c>
      <c r="AA34" s="53" t="s">
        <v>1947</v>
      </c>
      <c r="AB34" s="50">
        <f t="shared" si="13"/>
        <v>0</v>
      </c>
      <c r="AC34" s="50">
        <f t="shared" si="14"/>
        <v>0</v>
      </c>
      <c r="AD34" s="50">
        <f t="shared" si="15"/>
        <v>0</v>
      </c>
      <c r="AE34" s="50">
        <f t="shared" si="16"/>
        <v>0</v>
      </c>
      <c r="AF34" s="50">
        <f t="shared" si="17"/>
        <v>0</v>
      </c>
      <c r="AG34" s="50">
        <f t="shared" si="18"/>
        <v>0</v>
      </c>
      <c r="AH34" s="51">
        <f t="shared" si="19"/>
        <v>0</v>
      </c>
      <c r="AI34" s="51">
        <f t="shared" si="20"/>
        <v>83.333333333333343</v>
      </c>
      <c r="AJ34" s="53" t="s">
        <v>1948</v>
      </c>
      <c r="AK34" s="53" t="s">
        <v>1948</v>
      </c>
      <c r="AL34" s="53" t="s">
        <v>1948</v>
      </c>
      <c r="AM34" s="50">
        <f t="shared" si="21"/>
        <v>1</v>
      </c>
      <c r="AN34" s="50">
        <f t="shared" si="22"/>
        <v>1</v>
      </c>
      <c r="AO34" s="50">
        <f t="shared" si="23"/>
        <v>1</v>
      </c>
      <c r="AP34" s="50">
        <f t="shared" si="24"/>
        <v>3</v>
      </c>
      <c r="AQ34" s="50">
        <f t="shared" si="25"/>
        <v>100</v>
      </c>
      <c r="AR34" s="36" t="s">
        <v>2166</v>
      </c>
      <c r="AS34" s="36" t="s">
        <v>2166</v>
      </c>
      <c r="AT34" s="36" t="s">
        <v>2166</v>
      </c>
      <c r="AU34" s="37">
        <f t="shared" si="26"/>
        <v>1</v>
      </c>
      <c r="AV34" s="37">
        <f t="shared" si="27"/>
        <v>1</v>
      </c>
      <c r="AW34" s="37">
        <f t="shared" si="28"/>
        <v>1</v>
      </c>
      <c r="AX34" s="37">
        <f t="shared" si="29"/>
        <v>0</v>
      </c>
      <c r="AY34" s="37">
        <f t="shared" si="30"/>
        <v>0</v>
      </c>
      <c r="AZ34" s="36" t="s">
        <v>2167</v>
      </c>
      <c r="BA34" s="36" t="s">
        <v>2167</v>
      </c>
      <c r="BB34" s="37">
        <f t="shared" si="31"/>
        <v>1</v>
      </c>
      <c r="BC34" s="37">
        <f t="shared" si="32"/>
        <v>0.75</v>
      </c>
      <c r="BD34" s="37">
        <f t="shared" si="33"/>
        <v>0.75</v>
      </c>
      <c r="BE34" s="37">
        <f t="shared" si="34"/>
        <v>0</v>
      </c>
      <c r="BF34" s="36" t="s">
        <v>2167</v>
      </c>
      <c r="BG34" s="36" t="s">
        <v>2167</v>
      </c>
      <c r="BH34" s="37">
        <f t="shared" si="35"/>
        <v>1</v>
      </c>
      <c r="BI34" s="37">
        <f t="shared" si="36"/>
        <v>0.75</v>
      </c>
      <c r="BJ34" s="37">
        <f t="shared" si="37"/>
        <v>0.75</v>
      </c>
      <c r="BK34" s="37">
        <f t="shared" si="38"/>
        <v>0</v>
      </c>
      <c r="BL34" s="36" t="s">
        <v>2167</v>
      </c>
      <c r="BM34" s="36" t="s">
        <v>2167</v>
      </c>
      <c r="BN34" s="37">
        <f t="shared" si="39"/>
        <v>1</v>
      </c>
      <c r="BO34" s="37">
        <f t="shared" si="40"/>
        <v>0.75</v>
      </c>
      <c r="BP34" s="37">
        <f t="shared" si="41"/>
        <v>0.75</v>
      </c>
      <c r="BQ34" s="37">
        <f t="shared" si="42"/>
        <v>0</v>
      </c>
      <c r="BR34" s="37">
        <f t="shared" si="43"/>
        <v>0</v>
      </c>
      <c r="BS34" s="36" t="s">
        <v>2080</v>
      </c>
      <c r="BT34" s="36" t="s">
        <v>2080</v>
      </c>
      <c r="BU34" s="36" t="s">
        <v>2080</v>
      </c>
      <c r="BV34" s="36" t="s">
        <v>2080</v>
      </c>
      <c r="BW34" s="37">
        <f t="shared" si="44"/>
        <v>0</v>
      </c>
      <c r="BX34" s="37">
        <f t="shared" si="45"/>
        <v>0</v>
      </c>
      <c r="BY34" s="37">
        <f t="shared" si="46"/>
        <v>0</v>
      </c>
      <c r="BZ34" s="37">
        <f t="shared" si="47"/>
        <v>0</v>
      </c>
      <c r="CA34" s="37">
        <f t="shared" si="48"/>
        <v>0</v>
      </c>
      <c r="CB34" s="37">
        <f t="shared" si="49"/>
        <v>0</v>
      </c>
      <c r="CC34" s="37">
        <f t="shared" si="50"/>
        <v>0</v>
      </c>
      <c r="CD34" s="37">
        <f t="shared" si="51"/>
        <v>0</v>
      </c>
      <c r="CE34" s="36" t="s">
        <v>2067</v>
      </c>
      <c r="CF34" s="36" t="s">
        <v>2067</v>
      </c>
      <c r="CG34" s="36" t="s">
        <v>2067</v>
      </c>
      <c r="CH34" s="36" t="s">
        <v>2080</v>
      </c>
      <c r="CI34" s="37">
        <f t="shared" si="52"/>
        <v>0</v>
      </c>
      <c r="CJ34" s="37">
        <f t="shared" si="53"/>
        <v>0</v>
      </c>
      <c r="CK34" s="37">
        <f t="shared" si="54"/>
        <v>0</v>
      </c>
      <c r="CL34" s="37">
        <f t="shared" si="55"/>
        <v>0</v>
      </c>
      <c r="CM34" s="37">
        <f t="shared" si="56"/>
        <v>0</v>
      </c>
      <c r="CN34" s="37">
        <f t="shared" si="57"/>
        <v>0</v>
      </c>
      <c r="CO34" s="37">
        <f t="shared" si="58"/>
        <v>0</v>
      </c>
      <c r="CP34" s="37">
        <f t="shared" si="59"/>
        <v>0</v>
      </c>
      <c r="CQ34" s="37">
        <f t="shared" si="60"/>
        <v>3.3333333333333339</v>
      </c>
      <c r="CR34" s="37">
        <f t="shared" si="61"/>
        <v>5</v>
      </c>
      <c r="CS34" s="37">
        <f t="shared" si="62"/>
        <v>0</v>
      </c>
      <c r="CT34" s="37">
        <f t="shared" si="63"/>
        <v>10</v>
      </c>
      <c r="CU34" s="37">
        <f t="shared" si="64"/>
        <v>0</v>
      </c>
      <c r="CV34" s="37">
        <f t="shared" si="65"/>
        <v>0</v>
      </c>
      <c r="CW34" s="37">
        <f t="shared" si="66"/>
        <v>0</v>
      </c>
      <c r="CX34" s="37">
        <f t="shared" si="67"/>
        <v>0</v>
      </c>
      <c r="CY34" s="37">
        <f t="shared" si="68"/>
        <v>0</v>
      </c>
      <c r="CZ34" s="37">
        <f t="shared" si="69"/>
        <v>18.333333333333336</v>
      </c>
    </row>
    <row r="35" spans="1:104" x14ac:dyDescent="0.25">
      <c r="A35" s="149" t="s">
        <v>2197</v>
      </c>
      <c r="B35" s="53" t="s">
        <v>1947</v>
      </c>
      <c r="C35" s="53" t="s">
        <v>1948</v>
      </c>
      <c r="D35" s="53" t="s">
        <v>1947</v>
      </c>
      <c r="E35" s="61">
        <f t="shared" si="0"/>
        <v>0</v>
      </c>
      <c r="F35" s="61">
        <f t="shared" si="1"/>
        <v>1</v>
      </c>
      <c r="G35" s="61">
        <f t="shared" si="2"/>
        <v>0</v>
      </c>
      <c r="H35" s="61">
        <f t="shared" si="3"/>
        <v>1</v>
      </c>
      <c r="I35" s="53" t="s">
        <v>2165</v>
      </c>
      <c r="J35" s="53" t="s">
        <v>2165</v>
      </c>
      <c r="K35" s="53" t="s">
        <v>1948</v>
      </c>
      <c r="L35" s="61">
        <f t="shared" si="4"/>
        <v>0</v>
      </c>
      <c r="M35" s="61">
        <f t="shared" si="5"/>
        <v>0</v>
      </c>
      <c r="N35" s="61">
        <f t="shared" si="6"/>
        <v>1</v>
      </c>
      <c r="O35" s="61">
        <f t="shared" si="7"/>
        <v>1</v>
      </c>
      <c r="P35" s="61">
        <f t="shared" si="8"/>
        <v>33.333333333333336</v>
      </c>
      <c r="Q35" s="53" t="s">
        <v>1948</v>
      </c>
      <c r="R35" s="53" t="s">
        <v>1947</v>
      </c>
      <c r="S35" s="61">
        <f t="shared" si="9"/>
        <v>1</v>
      </c>
      <c r="T35" s="61">
        <f t="shared" si="10"/>
        <v>0</v>
      </c>
      <c r="U35" s="61">
        <f t="shared" si="11"/>
        <v>1</v>
      </c>
      <c r="V35" s="61">
        <f t="shared" si="12"/>
        <v>50</v>
      </c>
      <c r="W35" s="53" t="s">
        <v>1947</v>
      </c>
      <c r="X35" s="53" t="s">
        <v>1947</v>
      </c>
      <c r="Y35" s="53" t="s">
        <v>1947</v>
      </c>
      <c r="Z35" s="53" t="s">
        <v>1947</v>
      </c>
      <c r="AA35" s="53" t="s">
        <v>1947</v>
      </c>
      <c r="AB35" s="50">
        <f t="shared" si="13"/>
        <v>0</v>
      </c>
      <c r="AC35" s="50">
        <f t="shared" si="14"/>
        <v>0</v>
      </c>
      <c r="AD35" s="50">
        <f t="shared" si="15"/>
        <v>0</v>
      </c>
      <c r="AE35" s="50">
        <f t="shared" si="16"/>
        <v>0</v>
      </c>
      <c r="AF35" s="50">
        <f t="shared" si="17"/>
        <v>0</v>
      </c>
      <c r="AG35" s="50">
        <f t="shared" si="18"/>
        <v>0</v>
      </c>
      <c r="AH35" s="51">
        <f t="shared" si="19"/>
        <v>0</v>
      </c>
      <c r="AI35" s="51">
        <f t="shared" si="20"/>
        <v>83.333333333333343</v>
      </c>
      <c r="AJ35" s="53" t="s">
        <v>1948</v>
      </c>
      <c r="AK35" s="53" t="s">
        <v>1948</v>
      </c>
      <c r="AL35" s="53" t="s">
        <v>1948</v>
      </c>
      <c r="AM35" s="50">
        <f t="shared" si="21"/>
        <v>1</v>
      </c>
      <c r="AN35" s="50">
        <f t="shared" si="22"/>
        <v>1</v>
      </c>
      <c r="AO35" s="50">
        <f t="shared" si="23"/>
        <v>1</v>
      </c>
      <c r="AP35" s="50">
        <f t="shared" si="24"/>
        <v>3</v>
      </c>
      <c r="AQ35" s="50">
        <f t="shared" si="25"/>
        <v>100</v>
      </c>
      <c r="AR35" s="36" t="s">
        <v>2166</v>
      </c>
      <c r="AS35" s="36" t="s">
        <v>2166</v>
      </c>
      <c r="AT35" s="36" t="s">
        <v>2166</v>
      </c>
      <c r="AU35" s="37">
        <f t="shared" si="26"/>
        <v>1</v>
      </c>
      <c r="AV35" s="37">
        <f t="shared" si="27"/>
        <v>1</v>
      </c>
      <c r="AW35" s="37">
        <f t="shared" si="28"/>
        <v>1</v>
      </c>
      <c r="AX35" s="37">
        <f t="shared" si="29"/>
        <v>0</v>
      </c>
      <c r="AY35" s="37">
        <f t="shared" si="30"/>
        <v>0</v>
      </c>
      <c r="AZ35" s="36" t="s">
        <v>2167</v>
      </c>
      <c r="BA35" s="36" t="s">
        <v>2167</v>
      </c>
      <c r="BB35" s="37">
        <f t="shared" si="31"/>
        <v>1</v>
      </c>
      <c r="BC35" s="37">
        <f t="shared" si="32"/>
        <v>0.75</v>
      </c>
      <c r="BD35" s="37">
        <f t="shared" si="33"/>
        <v>0.75</v>
      </c>
      <c r="BE35" s="37">
        <f t="shared" si="34"/>
        <v>0</v>
      </c>
      <c r="BF35" s="36" t="s">
        <v>2167</v>
      </c>
      <c r="BG35" s="36" t="s">
        <v>2167</v>
      </c>
      <c r="BH35" s="37">
        <f t="shared" si="35"/>
        <v>1</v>
      </c>
      <c r="BI35" s="37">
        <f t="shared" si="36"/>
        <v>0.75</v>
      </c>
      <c r="BJ35" s="37">
        <f t="shared" si="37"/>
        <v>0.75</v>
      </c>
      <c r="BK35" s="37">
        <f t="shared" si="38"/>
        <v>0</v>
      </c>
      <c r="BL35" s="36" t="s">
        <v>2167</v>
      </c>
      <c r="BM35" s="36" t="s">
        <v>2167</v>
      </c>
      <c r="BN35" s="37">
        <f t="shared" si="39"/>
        <v>1</v>
      </c>
      <c r="BO35" s="37">
        <f t="shared" si="40"/>
        <v>0.75</v>
      </c>
      <c r="BP35" s="37">
        <f t="shared" si="41"/>
        <v>0.75</v>
      </c>
      <c r="BQ35" s="37">
        <f t="shared" si="42"/>
        <v>0</v>
      </c>
      <c r="BR35" s="37">
        <f t="shared" si="43"/>
        <v>0</v>
      </c>
      <c r="BS35" s="36" t="s">
        <v>2080</v>
      </c>
      <c r="BT35" s="36" t="s">
        <v>2080</v>
      </c>
      <c r="BU35" s="36" t="s">
        <v>2080</v>
      </c>
      <c r="BV35" s="36" t="s">
        <v>2080</v>
      </c>
      <c r="BW35" s="37">
        <f t="shared" si="44"/>
        <v>0</v>
      </c>
      <c r="BX35" s="37">
        <f t="shared" si="45"/>
        <v>0</v>
      </c>
      <c r="BY35" s="37">
        <f t="shared" si="46"/>
        <v>0</v>
      </c>
      <c r="BZ35" s="37">
        <f t="shared" si="47"/>
        <v>0</v>
      </c>
      <c r="CA35" s="37">
        <f t="shared" si="48"/>
        <v>0</v>
      </c>
      <c r="CB35" s="37">
        <f t="shared" si="49"/>
        <v>0</v>
      </c>
      <c r="CC35" s="37">
        <f t="shared" si="50"/>
        <v>0</v>
      </c>
      <c r="CD35" s="37">
        <f t="shared" si="51"/>
        <v>0</v>
      </c>
      <c r="CE35" s="36" t="s">
        <v>2067</v>
      </c>
      <c r="CF35" s="36" t="s">
        <v>2067</v>
      </c>
      <c r="CG35" s="36" t="s">
        <v>2067</v>
      </c>
      <c r="CH35" s="36" t="s">
        <v>2080</v>
      </c>
      <c r="CI35" s="37">
        <f t="shared" si="52"/>
        <v>0</v>
      </c>
      <c r="CJ35" s="37">
        <f t="shared" si="53"/>
        <v>0</v>
      </c>
      <c r="CK35" s="37">
        <f t="shared" si="54"/>
        <v>0</v>
      </c>
      <c r="CL35" s="37">
        <f t="shared" si="55"/>
        <v>0</v>
      </c>
      <c r="CM35" s="37">
        <f t="shared" si="56"/>
        <v>0</v>
      </c>
      <c r="CN35" s="37">
        <f t="shared" si="57"/>
        <v>0</v>
      </c>
      <c r="CO35" s="37">
        <f t="shared" si="58"/>
        <v>0</v>
      </c>
      <c r="CP35" s="37">
        <f t="shared" si="59"/>
        <v>0</v>
      </c>
      <c r="CQ35" s="37">
        <f t="shared" si="60"/>
        <v>3.3333333333333339</v>
      </c>
      <c r="CR35" s="37">
        <f t="shared" si="61"/>
        <v>5</v>
      </c>
      <c r="CS35" s="37">
        <f t="shared" si="62"/>
        <v>0</v>
      </c>
      <c r="CT35" s="37">
        <f t="shared" si="63"/>
        <v>10</v>
      </c>
      <c r="CU35" s="37">
        <f t="shared" si="64"/>
        <v>0</v>
      </c>
      <c r="CV35" s="37">
        <f t="shared" si="65"/>
        <v>0</v>
      </c>
      <c r="CW35" s="37">
        <f t="shared" si="66"/>
        <v>0</v>
      </c>
      <c r="CX35" s="37">
        <f t="shared" si="67"/>
        <v>0</v>
      </c>
      <c r="CY35" s="37">
        <f t="shared" si="68"/>
        <v>0</v>
      </c>
      <c r="CZ35" s="37">
        <f t="shared" si="69"/>
        <v>18.333333333333336</v>
      </c>
    </row>
    <row r="36" spans="1:104" x14ac:dyDescent="0.25">
      <c r="A36" s="149" t="s">
        <v>2198</v>
      </c>
      <c r="B36" s="53" t="s">
        <v>1947</v>
      </c>
      <c r="C36" s="53" t="s">
        <v>1948</v>
      </c>
      <c r="D36" s="53" t="s">
        <v>1947</v>
      </c>
      <c r="E36" s="61">
        <f t="shared" si="0"/>
        <v>0</v>
      </c>
      <c r="F36" s="61">
        <f t="shared" si="1"/>
        <v>1</v>
      </c>
      <c r="G36" s="61">
        <f t="shared" si="2"/>
        <v>0</v>
      </c>
      <c r="H36" s="61">
        <f t="shared" si="3"/>
        <v>1</v>
      </c>
      <c r="I36" s="53" t="s">
        <v>2165</v>
      </c>
      <c r="J36" s="53" t="s">
        <v>2165</v>
      </c>
      <c r="K36" s="53" t="s">
        <v>1948</v>
      </c>
      <c r="L36" s="61">
        <f t="shared" si="4"/>
        <v>0</v>
      </c>
      <c r="M36" s="61">
        <f t="shared" si="5"/>
        <v>0</v>
      </c>
      <c r="N36" s="61">
        <f t="shared" si="6"/>
        <v>1</v>
      </c>
      <c r="O36" s="61">
        <f t="shared" si="7"/>
        <v>1</v>
      </c>
      <c r="P36" s="61">
        <f t="shared" si="8"/>
        <v>33.333333333333336</v>
      </c>
      <c r="Q36" s="53" t="s">
        <v>1948</v>
      </c>
      <c r="R36" s="53" t="s">
        <v>1947</v>
      </c>
      <c r="S36" s="61">
        <f t="shared" si="9"/>
        <v>1</v>
      </c>
      <c r="T36" s="61">
        <f t="shared" si="10"/>
        <v>0</v>
      </c>
      <c r="U36" s="61">
        <f t="shared" si="11"/>
        <v>1</v>
      </c>
      <c r="V36" s="61">
        <f t="shared" si="12"/>
        <v>50</v>
      </c>
      <c r="W36" s="53" t="s">
        <v>1947</v>
      </c>
      <c r="X36" s="53" t="s">
        <v>1947</v>
      </c>
      <c r="Y36" s="53" t="s">
        <v>1947</v>
      </c>
      <c r="Z36" s="53" t="s">
        <v>1947</v>
      </c>
      <c r="AA36" s="53" t="s">
        <v>1947</v>
      </c>
      <c r="AB36" s="50">
        <f t="shared" si="13"/>
        <v>0</v>
      </c>
      <c r="AC36" s="50">
        <f t="shared" si="14"/>
        <v>0</v>
      </c>
      <c r="AD36" s="50">
        <f t="shared" si="15"/>
        <v>0</v>
      </c>
      <c r="AE36" s="50">
        <f t="shared" si="16"/>
        <v>0</v>
      </c>
      <c r="AF36" s="50">
        <f t="shared" si="17"/>
        <v>0</v>
      </c>
      <c r="AG36" s="50">
        <f t="shared" si="18"/>
        <v>0</v>
      </c>
      <c r="AH36" s="51">
        <f t="shared" si="19"/>
        <v>0</v>
      </c>
      <c r="AI36" s="51">
        <f t="shared" si="20"/>
        <v>83.333333333333343</v>
      </c>
      <c r="AJ36" s="53" t="s">
        <v>1948</v>
      </c>
      <c r="AK36" s="53" t="s">
        <v>1948</v>
      </c>
      <c r="AL36" s="53" t="s">
        <v>1948</v>
      </c>
      <c r="AM36" s="50">
        <f t="shared" si="21"/>
        <v>1</v>
      </c>
      <c r="AN36" s="50">
        <f t="shared" si="22"/>
        <v>1</v>
      </c>
      <c r="AO36" s="50">
        <f t="shared" si="23"/>
        <v>1</v>
      </c>
      <c r="AP36" s="50">
        <f t="shared" si="24"/>
        <v>3</v>
      </c>
      <c r="AQ36" s="50">
        <f t="shared" si="25"/>
        <v>100</v>
      </c>
      <c r="AR36" s="36" t="s">
        <v>2166</v>
      </c>
      <c r="AS36" s="36" t="s">
        <v>2166</v>
      </c>
      <c r="AT36" s="36" t="s">
        <v>2166</v>
      </c>
      <c r="AU36" s="37">
        <f t="shared" si="26"/>
        <v>1</v>
      </c>
      <c r="AV36" s="37">
        <f t="shared" si="27"/>
        <v>1</v>
      </c>
      <c r="AW36" s="37">
        <f t="shared" si="28"/>
        <v>1</v>
      </c>
      <c r="AX36" s="37">
        <f t="shared" si="29"/>
        <v>0</v>
      </c>
      <c r="AY36" s="37">
        <f t="shared" si="30"/>
        <v>0</v>
      </c>
      <c r="AZ36" s="36" t="s">
        <v>2167</v>
      </c>
      <c r="BA36" s="36" t="s">
        <v>2167</v>
      </c>
      <c r="BB36" s="37">
        <f t="shared" si="31"/>
        <v>1</v>
      </c>
      <c r="BC36" s="37">
        <f t="shared" si="32"/>
        <v>0.75</v>
      </c>
      <c r="BD36" s="37">
        <f t="shared" si="33"/>
        <v>0.75</v>
      </c>
      <c r="BE36" s="37">
        <f t="shared" si="34"/>
        <v>0</v>
      </c>
      <c r="BF36" s="36" t="s">
        <v>2167</v>
      </c>
      <c r="BG36" s="36" t="s">
        <v>2167</v>
      </c>
      <c r="BH36" s="37">
        <f t="shared" si="35"/>
        <v>1</v>
      </c>
      <c r="BI36" s="37">
        <f t="shared" si="36"/>
        <v>0.75</v>
      </c>
      <c r="BJ36" s="37">
        <f t="shared" si="37"/>
        <v>0.75</v>
      </c>
      <c r="BK36" s="37">
        <f t="shared" si="38"/>
        <v>0</v>
      </c>
      <c r="BL36" s="36" t="s">
        <v>2167</v>
      </c>
      <c r="BM36" s="36" t="s">
        <v>2167</v>
      </c>
      <c r="BN36" s="37">
        <f t="shared" si="39"/>
        <v>1</v>
      </c>
      <c r="BO36" s="37">
        <f t="shared" si="40"/>
        <v>0.75</v>
      </c>
      <c r="BP36" s="37">
        <f t="shared" si="41"/>
        <v>0.75</v>
      </c>
      <c r="BQ36" s="37">
        <f t="shared" si="42"/>
        <v>0</v>
      </c>
      <c r="BR36" s="37">
        <f t="shared" si="43"/>
        <v>0</v>
      </c>
      <c r="BS36" s="36" t="s">
        <v>2080</v>
      </c>
      <c r="BT36" s="36" t="s">
        <v>2080</v>
      </c>
      <c r="BU36" s="36" t="s">
        <v>2080</v>
      </c>
      <c r="BV36" s="36" t="s">
        <v>2080</v>
      </c>
      <c r="BW36" s="37">
        <f t="shared" si="44"/>
        <v>0</v>
      </c>
      <c r="BX36" s="37">
        <f t="shared" si="45"/>
        <v>0</v>
      </c>
      <c r="BY36" s="37">
        <f t="shared" si="46"/>
        <v>0</v>
      </c>
      <c r="BZ36" s="37">
        <f t="shared" si="47"/>
        <v>0</v>
      </c>
      <c r="CA36" s="37">
        <f t="shared" si="48"/>
        <v>0</v>
      </c>
      <c r="CB36" s="37">
        <f t="shared" si="49"/>
        <v>0</v>
      </c>
      <c r="CC36" s="37">
        <f t="shared" si="50"/>
        <v>0</v>
      </c>
      <c r="CD36" s="37">
        <f t="shared" si="51"/>
        <v>0</v>
      </c>
      <c r="CE36" s="36" t="s">
        <v>2067</v>
      </c>
      <c r="CF36" s="36" t="s">
        <v>2067</v>
      </c>
      <c r="CG36" s="36" t="s">
        <v>2067</v>
      </c>
      <c r="CH36" s="36" t="s">
        <v>2080</v>
      </c>
      <c r="CI36" s="37">
        <f t="shared" si="52"/>
        <v>0</v>
      </c>
      <c r="CJ36" s="37">
        <f t="shared" si="53"/>
        <v>0</v>
      </c>
      <c r="CK36" s="37">
        <f t="shared" si="54"/>
        <v>0</v>
      </c>
      <c r="CL36" s="37">
        <f t="shared" si="55"/>
        <v>0</v>
      </c>
      <c r="CM36" s="37">
        <f t="shared" si="56"/>
        <v>0</v>
      </c>
      <c r="CN36" s="37">
        <f t="shared" si="57"/>
        <v>0</v>
      </c>
      <c r="CO36" s="37">
        <f t="shared" si="58"/>
        <v>0</v>
      </c>
      <c r="CP36" s="37">
        <f t="shared" si="59"/>
        <v>0</v>
      </c>
      <c r="CQ36" s="37">
        <f t="shared" si="60"/>
        <v>3.3333333333333339</v>
      </c>
      <c r="CR36" s="37">
        <f t="shared" si="61"/>
        <v>5</v>
      </c>
      <c r="CS36" s="37">
        <f t="shared" si="62"/>
        <v>0</v>
      </c>
      <c r="CT36" s="37">
        <f t="shared" si="63"/>
        <v>10</v>
      </c>
      <c r="CU36" s="37">
        <f t="shared" si="64"/>
        <v>0</v>
      </c>
      <c r="CV36" s="37">
        <f t="shared" si="65"/>
        <v>0</v>
      </c>
      <c r="CW36" s="37">
        <f t="shared" si="66"/>
        <v>0</v>
      </c>
      <c r="CX36" s="37">
        <f t="shared" si="67"/>
        <v>0</v>
      </c>
      <c r="CY36" s="37">
        <f t="shared" si="68"/>
        <v>0</v>
      </c>
      <c r="CZ36" s="37">
        <f t="shared" si="69"/>
        <v>18.333333333333336</v>
      </c>
    </row>
    <row r="37" spans="1:104" x14ac:dyDescent="0.25">
      <c r="A37" s="149" t="s">
        <v>2199</v>
      </c>
      <c r="B37" s="53" t="s">
        <v>1947</v>
      </c>
      <c r="C37" s="53" t="s">
        <v>1948</v>
      </c>
      <c r="D37" s="53" t="s">
        <v>1947</v>
      </c>
      <c r="E37" s="61">
        <f t="shared" ref="E37:E68" si="70">IF(B37="SI",1,0)</f>
        <v>0</v>
      </c>
      <c r="F37" s="61">
        <f t="shared" ref="F37:F68" si="71">IF(C37="SI",1,0)</f>
        <v>1</v>
      </c>
      <c r="G37" s="61">
        <f t="shared" ref="G37:G68" si="72">IF(D37="SI",1,0)</f>
        <v>0</v>
      </c>
      <c r="H37" s="61">
        <f t="shared" ref="H37:H68" si="73">SUM(E37:G37)</f>
        <v>1</v>
      </c>
      <c r="I37" s="53" t="s">
        <v>2165</v>
      </c>
      <c r="J37" s="53" t="s">
        <v>2165</v>
      </c>
      <c r="K37" s="53" t="s">
        <v>1948</v>
      </c>
      <c r="L37" s="61">
        <f t="shared" ref="L37:L68" si="74">IF(I37="MUCHO",1,0)</f>
        <v>0</v>
      </c>
      <c r="M37" s="61">
        <f t="shared" ref="M37:M68" si="75">IF(J37="MUCHO",1,0)</f>
        <v>0</v>
      </c>
      <c r="N37" s="61">
        <f t="shared" ref="N37:N68" si="76">IF(K37="SI",1,0)</f>
        <v>1</v>
      </c>
      <c r="O37" s="61">
        <f t="shared" ref="O37:O68" si="77">SUM(L37:N37)</f>
        <v>1</v>
      </c>
      <c r="P37" s="61">
        <f t="shared" ref="P37:P68" si="78">((O37+H37)*100)/6</f>
        <v>33.333333333333336</v>
      </c>
      <c r="Q37" s="53" t="s">
        <v>1948</v>
      </c>
      <c r="R37" s="53" t="s">
        <v>1947</v>
      </c>
      <c r="S37" s="61">
        <f t="shared" ref="S37:S68" si="79">IF(Q37="SI",1,0)</f>
        <v>1</v>
      </c>
      <c r="T37" s="61">
        <f t="shared" ref="T37:T68" si="80">IF(R37="SI",1,0)</f>
        <v>0</v>
      </c>
      <c r="U37" s="61">
        <f t="shared" ref="U37:U68" si="81">SUM(S37:T37)</f>
        <v>1</v>
      </c>
      <c r="V37" s="61">
        <f t="shared" ref="V37:V68" si="82">((S37+T37)*100)/2</f>
        <v>50</v>
      </c>
      <c r="W37" s="53" t="s">
        <v>1947</v>
      </c>
      <c r="X37" s="53" t="s">
        <v>1947</v>
      </c>
      <c r="Y37" s="53" t="s">
        <v>1947</v>
      </c>
      <c r="Z37" s="53" t="s">
        <v>1947</v>
      </c>
      <c r="AA37" s="53" t="s">
        <v>1947</v>
      </c>
      <c r="AB37" s="50">
        <f t="shared" ref="AB37:AB68" si="83">IF(W37="SI",1,0)</f>
        <v>0</v>
      </c>
      <c r="AC37" s="50">
        <f t="shared" ref="AC37:AC68" si="84">IF(X37="SI",1,0)</f>
        <v>0</v>
      </c>
      <c r="AD37" s="50">
        <f t="shared" ref="AD37:AD68" si="85">IF(Y37="SI",1,0)</f>
        <v>0</v>
      </c>
      <c r="AE37" s="50">
        <f t="shared" ref="AE37:AE68" si="86">IF(Z37="SI",1,0)</f>
        <v>0</v>
      </c>
      <c r="AF37" s="50">
        <f t="shared" ref="AF37:AF68" si="87">IF(AA37="SI",1,0)</f>
        <v>0</v>
      </c>
      <c r="AG37" s="50">
        <f t="shared" ref="AG37:AG68" si="88">SUM(AB37:AF37)</f>
        <v>0</v>
      </c>
      <c r="AH37" s="51">
        <f t="shared" ref="AH37:AH68" si="89">((SUM(AB37:AF37))*100)/5</f>
        <v>0</v>
      </c>
      <c r="AI37" s="51">
        <f t="shared" ref="AI37:AI68" si="90">SUM(AH37,V37,P37)</f>
        <v>83.333333333333343</v>
      </c>
      <c r="AJ37" s="53" t="s">
        <v>1948</v>
      </c>
      <c r="AK37" s="53" t="s">
        <v>1948</v>
      </c>
      <c r="AL37" s="53" t="s">
        <v>1948</v>
      </c>
      <c r="AM37" s="50">
        <f t="shared" ref="AM37:AM68" si="91">IF(AJ37="SI",1,0)</f>
        <v>1</v>
      </c>
      <c r="AN37" s="50">
        <f t="shared" ref="AN37:AN68" si="92">IF(AK37="SI",1,0)</f>
        <v>1</v>
      </c>
      <c r="AO37" s="50">
        <f t="shared" ref="AO37:AO68" si="93">IF(AL37="SI",1,0)</f>
        <v>1</v>
      </c>
      <c r="AP37" s="50">
        <f t="shared" ref="AP37:AP68" si="94">SUM(AM37:AO37)</f>
        <v>3</v>
      </c>
      <c r="AQ37" s="50">
        <f t="shared" ref="AQ37:AQ68" si="95">((SUM(AM37:AO37))*100)/3</f>
        <v>100</v>
      </c>
      <c r="AR37" s="36" t="s">
        <v>2166</v>
      </c>
      <c r="AS37" s="36" t="s">
        <v>2166</v>
      </c>
      <c r="AT37" s="36" t="s">
        <v>2166</v>
      </c>
      <c r="AU37" s="37">
        <f t="shared" ref="AU37:AU68" si="96">IF(AR37="ALTA",1,IF(AR37="MEDIA",2,3))</f>
        <v>1</v>
      </c>
      <c r="AV37" s="37">
        <f t="shared" ref="AV37:AV68" si="97">IF(AS37="ALTA",1,IF(AS37="MEDIA",2,3))</f>
        <v>1</v>
      </c>
      <c r="AW37" s="37">
        <f t="shared" ref="AW37:AW68" si="98">IF(AT37="ALTA",1,IF(AT37="MEDIA",2,3))</f>
        <v>1</v>
      </c>
      <c r="AX37" s="37">
        <f t="shared" ref="AX37:AX68" si="99">IF(SUM(AU37:AW37)&gt;=7,SUM(AU37:AW37),0)</f>
        <v>0</v>
      </c>
      <c r="AY37" s="37">
        <f t="shared" ref="AY37:AY68" si="100">((AX37)*100)/9</f>
        <v>0</v>
      </c>
      <c r="AZ37" s="36" t="s">
        <v>2167</v>
      </c>
      <c r="BA37" s="36" t="s">
        <v>2167</v>
      </c>
      <c r="BB37" s="37">
        <f t="shared" ref="BB37:BB68" si="101">IF(AZ37="ALTO",3,IF(AZ37="MEDIO",2,1))</f>
        <v>1</v>
      </c>
      <c r="BC37" s="37">
        <f t="shared" ref="BC37:BC68" si="102">IF(BA37="ALTO",2.25,IF(BA37="MEDIO",1.5,0.75))</f>
        <v>0.75</v>
      </c>
      <c r="BD37" s="37">
        <f t="shared" ref="BD37:BD68" si="103">IF(BB37=1,BC37,BB37)</f>
        <v>0.75</v>
      </c>
      <c r="BE37" s="37">
        <f t="shared" ref="BE37:BE68" si="104">IF(BD37&gt;=2,BD37,0)</f>
        <v>0</v>
      </c>
      <c r="BF37" s="36" t="s">
        <v>2167</v>
      </c>
      <c r="BG37" s="36" t="s">
        <v>2167</v>
      </c>
      <c r="BH37" s="37">
        <f t="shared" ref="BH37:BH68" si="105">IF(BF37="ALTO",3,IF(BF37="MEDIO",2,1))</f>
        <v>1</v>
      </c>
      <c r="BI37" s="37">
        <f t="shared" ref="BI37:BI68" si="106">IF(BG37="ALTO",2.25,IF(BG37="MEDIO",1.5,0.75))</f>
        <v>0.75</v>
      </c>
      <c r="BJ37" s="37">
        <f t="shared" ref="BJ37:BJ68" si="107">IF(BH37=1,BI37,BH37)</f>
        <v>0.75</v>
      </c>
      <c r="BK37" s="37">
        <f t="shared" ref="BK37:BK68" si="108">IF(BJ37&gt;=2,BJ37,0)</f>
        <v>0</v>
      </c>
      <c r="BL37" s="36" t="s">
        <v>2167</v>
      </c>
      <c r="BM37" s="36" t="s">
        <v>2167</v>
      </c>
      <c r="BN37" s="37">
        <f t="shared" ref="BN37:BN68" si="109">IF(BL37="ALTO",3,IF(BL37="MEDIO",2,1))</f>
        <v>1</v>
      </c>
      <c r="BO37" s="37">
        <f t="shared" ref="BO37:BO68" si="110">IF(BM37="ALTO",2.25,IF(BM37="MEDIO",1.5,0.75))</f>
        <v>0.75</v>
      </c>
      <c r="BP37" s="37">
        <f t="shared" ref="BP37:BP68" si="111">IF(BN37=1,BO37,BN37)</f>
        <v>0.75</v>
      </c>
      <c r="BQ37" s="37">
        <f t="shared" ref="BQ37:BQ68" si="112">IF(BP37&gt;=2,BP37,0)</f>
        <v>0</v>
      </c>
      <c r="BR37" s="37">
        <f t="shared" ref="BR37:BR68" si="113">((BQ37+BK37+BE37)*100)/9</f>
        <v>0</v>
      </c>
      <c r="BS37" s="36" t="s">
        <v>2080</v>
      </c>
      <c r="BT37" s="36" t="s">
        <v>2080</v>
      </c>
      <c r="BU37" s="36" t="s">
        <v>2080</v>
      </c>
      <c r="BV37" s="36" t="s">
        <v>2080</v>
      </c>
      <c r="BW37" s="37">
        <f t="shared" ref="BW37:BW68" si="114">IF(IF(BS37="ALTO",3,IF(BS37="MEDIO",2,IF(BS37="BAJO",1,0)))&gt;=1,IF(BS37="ALTO",3,IF(BS37="MEDIO",2,IF(BS37="BAJO",1,0))),0)</f>
        <v>0</v>
      </c>
      <c r="BX37" s="37">
        <f t="shared" ref="BX37:BX68" si="115">IF(IF(BT37="ALTO",100,IF(BT37="MEDIO",50,IF(BT37="BAJO",25,0)))&gt;=50,IF(BT37="ALTO",100,IF(BT37="MEDIO",50,IF(BT37="BAJO",25,0))),0)</f>
        <v>0</v>
      </c>
      <c r="BY37" s="37">
        <f t="shared" ref="BY37:BY68" si="116">IF(IF(BU37="ALTO",100,IF(BU37="MEDIO",50,IF(BU37="BAJO",25,0)))&gt;=50,IF(BU37="ALTO",100,IF(BU37="MEDIO",50,IF(BU37="BAJO",25,0))),0)</f>
        <v>0</v>
      </c>
      <c r="BZ37" s="37">
        <f t="shared" ref="BZ37:BZ68" si="117">IF(IF(BV37="ALTO",100,IF(BV37="MEDIO",50,IF(BV37="BAJO",25,0)))&gt;=50,IF(BV37="ALTO",100,IF(BV37="MEDIO",50,IF(BV37="BAJO",25,0))),0)</f>
        <v>0</v>
      </c>
      <c r="CA37" s="37">
        <f t="shared" ref="CA37:CA68" si="118">(BW37/3)*100</f>
        <v>0</v>
      </c>
      <c r="CB37" s="37">
        <f t="shared" ref="CB37:CB68" si="119">(SUM(BX37:BZ37)/300)*100</f>
        <v>0</v>
      </c>
      <c r="CC37" s="37">
        <f t="shared" ref="CC37:CC68" si="120">SUM(CA37:CB37)</f>
        <v>0</v>
      </c>
      <c r="CD37" s="37">
        <f t="shared" ref="CD37:CD68" si="121">(CC37*100)/200</f>
        <v>0</v>
      </c>
      <c r="CE37" s="36" t="s">
        <v>2067</v>
      </c>
      <c r="CF37" s="36" t="s">
        <v>2067</v>
      </c>
      <c r="CG37" s="36" t="s">
        <v>2067</v>
      </c>
      <c r="CH37" s="36" t="s">
        <v>2080</v>
      </c>
      <c r="CI37" s="37">
        <f t="shared" ref="CI37:CI68" si="122">IF(IF(CE37="ALTO",1,IF(CE37="MEDIO",2,3))&gt;=2,IF(CE37="ALTO",1,IF(CE37="MEDIO",2,3)),0)</f>
        <v>0</v>
      </c>
      <c r="CJ37" s="37">
        <f t="shared" ref="CJ37:CJ68" si="123">IF(IF(CF37="ALTO",1,IF(CF37="MEDIO",2,IF(CF37="BAJO",3,4)))&gt;=3,IF(CF37="ALTO",1,IF(CF37="MEDIO",2,IF(CF37="BAJO",3,4))),0)</f>
        <v>0</v>
      </c>
      <c r="CK37" s="37">
        <f t="shared" ref="CK37:CK68" si="124">IF(IF(CG37="ALTO",1,IF(CG37="MEDIO",2,IF(CG37="BAJO",3,4)))&gt;=3,IF(CG37="ALTO",1,IF(CG37="MEDIO",2,IF(CG37="BAJO",3,4))),0)</f>
        <v>0</v>
      </c>
      <c r="CL37" s="37">
        <f t="shared" ref="CL37:CL68" si="125">IF(IF(CH37="ALTO",4,IF(CH37="MEDIO",3,IF(CH37="BAJO",2,1)))&gt;=3,IF(CH37="ALTO",4,IF(CH37="MEDIO",3,IF(CH37="BAJO",2,1))),0)</f>
        <v>0</v>
      </c>
      <c r="CM37" s="37">
        <f t="shared" ref="CM37:CM68" si="126">(CI37/3)*100</f>
        <v>0</v>
      </c>
      <c r="CN37" s="37">
        <f t="shared" ref="CN37:CN68" si="127">(SUM(CJ37:CK37)/8)*100</f>
        <v>0</v>
      </c>
      <c r="CO37" s="37">
        <f t="shared" ref="CO37:CO68" si="128">(SUM(CM37:CN37)*100)/200</f>
        <v>0</v>
      </c>
      <c r="CP37" s="37">
        <f t="shared" ref="CP37:CP68" si="129">(CL37*100)/4</f>
        <v>0</v>
      </c>
      <c r="CQ37" s="37">
        <f t="shared" ref="CQ37:CQ68" si="130">P37*CQ$3</f>
        <v>3.3333333333333339</v>
      </c>
      <c r="CR37" s="37">
        <f t="shared" ref="CR37:CR68" si="131">V37*CR$3</f>
        <v>5</v>
      </c>
      <c r="CS37" s="37">
        <f t="shared" ref="CS37:CS68" si="132">AH37*CS$3</f>
        <v>0</v>
      </c>
      <c r="CT37" s="37">
        <f t="shared" ref="CT37:CT68" si="133">AQ37*CT$3</f>
        <v>10</v>
      </c>
      <c r="CU37" s="37">
        <f t="shared" ref="CU37:CU68" si="134">AY37*CU$3</f>
        <v>0</v>
      </c>
      <c r="CV37" s="37">
        <f t="shared" ref="CV37:CV68" si="135">BR37*CV$3</f>
        <v>0</v>
      </c>
      <c r="CW37" s="37">
        <f t="shared" ref="CW37:CW68" si="136">CD37*CW$3</f>
        <v>0</v>
      </c>
      <c r="CX37" s="37">
        <f t="shared" ref="CX37:CX68" si="137">CO37*CX$3</f>
        <v>0</v>
      </c>
      <c r="CY37" s="37">
        <f t="shared" ref="CY37:CY68" si="138">CP37*CY$3</f>
        <v>0</v>
      </c>
      <c r="CZ37" s="37">
        <f t="shared" ref="CZ37:CZ68" si="139">SUM(CQ37:CY37)</f>
        <v>18.333333333333336</v>
      </c>
    </row>
    <row r="38" spans="1:104" x14ac:dyDescent="0.25">
      <c r="A38" s="149" t="s">
        <v>2200</v>
      </c>
      <c r="B38" s="53" t="s">
        <v>1947</v>
      </c>
      <c r="C38" s="53" t="s">
        <v>1948</v>
      </c>
      <c r="D38" s="53" t="s">
        <v>1947</v>
      </c>
      <c r="E38" s="61">
        <f t="shared" si="70"/>
        <v>0</v>
      </c>
      <c r="F38" s="61">
        <f t="shared" si="71"/>
        <v>1</v>
      </c>
      <c r="G38" s="61">
        <f t="shared" si="72"/>
        <v>0</v>
      </c>
      <c r="H38" s="61">
        <f t="shared" si="73"/>
        <v>1</v>
      </c>
      <c r="I38" s="53" t="s">
        <v>2165</v>
      </c>
      <c r="J38" s="53" t="s">
        <v>2165</v>
      </c>
      <c r="K38" s="53" t="s">
        <v>1948</v>
      </c>
      <c r="L38" s="61">
        <f t="shared" si="74"/>
        <v>0</v>
      </c>
      <c r="M38" s="61">
        <f t="shared" si="75"/>
        <v>0</v>
      </c>
      <c r="N38" s="61">
        <f t="shared" si="76"/>
        <v>1</v>
      </c>
      <c r="O38" s="61">
        <f t="shared" si="77"/>
        <v>1</v>
      </c>
      <c r="P38" s="61">
        <f t="shared" si="78"/>
        <v>33.333333333333336</v>
      </c>
      <c r="Q38" s="53" t="s">
        <v>1948</v>
      </c>
      <c r="R38" s="53" t="s">
        <v>1947</v>
      </c>
      <c r="S38" s="61">
        <f t="shared" si="79"/>
        <v>1</v>
      </c>
      <c r="T38" s="61">
        <f t="shared" si="80"/>
        <v>0</v>
      </c>
      <c r="U38" s="61">
        <f t="shared" si="81"/>
        <v>1</v>
      </c>
      <c r="V38" s="61">
        <f t="shared" si="82"/>
        <v>50</v>
      </c>
      <c r="W38" s="53" t="s">
        <v>1947</v>
      </c>
      <c r="X38" s="53" t="s">
        <v>1947</v>
      </c>
      <c r="Y38" s="53" t="s">
        <v>1947</v>
      </c>
      <c r="Z38" s="53" t="s">
        <v>1947</v>
      </c>
      <c r="AA38" s="53" t="s">
        <v>1947</v>
      </c>
      <c r="AB38" s="50">
        <f t="shared" si="83"/>
        <v>0</v>
      </c>
      <c r="AC38" s="50">
        <f t="shared" si="84"/>
        <v>0</v>
      </c>
      <c r="AD38" s="50">
        <f t="shared" si="85"/>
        <v>0</v>
      </c>
      <c r="AE38" s="50">
        <f t="shared" si="86"/>
        <v>0</v>
      </c>
      <c r="AF38" s="50">
        <f t="shared" si="87"/>
        <v>0</v>
      </c>
      <c r="AG38" s="50">
        <f t="shared" si="88"/>
        <v>0</v>
      </c>
      <c r="AH38" s="51">
        <f t="shared" si="89"/>
        <v>0</v>
      </c>
      <c r="AI38" s="51">
        <f t="shared" si="90"/>
        <v>83.333333333333343</v>
      </c>
      <c r="AJ38" s="53" t="s">
        <v>1948</v>
      </c>
      <c r="AK38" s="53" t="s">
        <v>1948</v>
      </c>
      <c r="AL38" s="53" t="s">
        <v>1948</v>
      </c>
      <c r="AM38" s="50">
        <f t="shared" si="91"/>
        <v>1</v>
      </c>
      <c r="AN38" s="50">
        <f t="shared" si="92"/>
        <v>1</v>
      </c>
      <c r="AO38" s="50">
        <f t="shared" si="93"/>
        <v>1</v>
      </c>
      <c r="AP38" s="50">
        <f t="shared" si="94"/>
        <v>3</v>
      </c>
      <c r="AQ38" s="50">
        <f t="shared" si="95"/>
        <v>100</v>
      </c>
      <c r="AR38" s="36" t="s">
        <v>2166</v>
      </c>
      <c r="AS38" s="36" t="s">
        <v>2166</v>
      </c>
      <c r="AT38" s="36" t="s">
        <v>2166</v>
      </c>
      <c r="AU38" s="37">
        <f t="shared" si="96"/>
        <v>1</v>
      </c>
      <c r="AV38" s="37">
        <f t="shared" si="97"/>
        <v>1</v>
      </c>
      <c r="AW38" s="37">
        <f t="shared" si="98"/>
        <v>1</v>
      </c>
      <c r="AX38" s="37">
        <f t="shared" si="99"/>
        <v>0</v>
      </c>
      <c r="AY38" s="37">
        <f t="shared" si="100"/>
        <v>0</v>
      </c>
      <c r="AZ38" s="36" t="s">
        <v>2167</v>
      </c>
      <c r="BA38" s="36" t="s">
        <v>2167</v>
      </c>
      <c r="BB38" s="37">
        <f t="shared" si="101"/>
        <v>1</v>
      </c>
      <c r="BC38" s="37">
        <f t="shared" si="102"/>
        <v>0.75</v>
      </c>
      <c r="BD38" s="37">
        <f t="shared" si="103"/>
        <v>0.75</v>
      </c>
      <c r="BE38" s="37">
        <f t="shared" si="104"/>
        <v>0</v>
      </c>
      <c r="BF38" s="36" t="s">
        <v>2167</v>
      </c>
      <c r="BG38" s="36" t="s">
        <v>2167</v>
      </c>
      <c r="BH38" s="37">
        <f t="shared" si="105"/>
        <v>1</v>
      </c>
      <c r="BI38" s="37">
        <f t="shared" si="106"/>
        <v>0.75</v>
      </c>
      <c r="BJ38" s="37">
        <f t="shared" si="107"/>
        <v>0.75</v>
      </c>
      <c r="BK38" s="37">
        <f t="shared" si="108"/>
        <v>0</v>
      </c>
      <c r="BL38" s="36" t="s">
        <v>2167</v>
      </c>
      <c r="BM38" s="36" t="s">
        <v>2167</v>
      </c>
      <c r="BN38" s="37">
        <f t="shared" si="109"/>
        <v>1</v>
      </c>
      <c r="BO38" s="37">
        <f t="shared" si="110"/>
        <v>0.75</v>
      </c>
      <c r="BP38" s="37">
        <f t="shared" si="111"/>
        <v>0.75</v>
      </c>
      <c r="BQ38" s="37">
        <f t="shared" si="112"/>
        <v>0</v>
      </c>
      <c r="BR38" s="37">
        <f t="shared" si="113"/>
        <v>0</v>
      </c>
      <c r="BS38" s="36" t="s">
        <v>2080</v>
      </c>
      <c r="BT38" s="36" t="s">
        <v>2080</v>
      </c>
      <c r="BU38" s="36" t="s">
        <v>2080</v>
      </c>
      <c r="BV38" s="36" t="s">
        <v>2080</v>
      </c>
      <c r="BW38" s="37">
        <f t="shared" si="114"/>
        <v>0</v>
      </c>
      <c r="BX38" s="37">
        <f t="shared" si="115"/>
        <v>0</v>
      </c>
      <c r="BY38" s="37">
        <f t="shared" si="116"/>
        <v>0</v>
      </c>
      <c r="BZ38" s="37">
        <f t="shared" si="117"/>
        <v>0</v>
      </c>
      <c r="CA38" s="37">
        <f t="shared" si="118"/>
        <v>0</v>
      </c>
      <c r="CB38" s="37">
        <f t="shared" si="119"/>
        <v>0</v>
      </c>
      <c r="CC38" s="37">
        <f t="shared" si="120"/>
        <v>0</v>
      </c>
      <c r="CD38" s="37">
        <f t="shared" si="121"/>
        <v>0</v>
      </c>
      <c r="CE38" s="36" t="s">
        <v>2067</v>
      </c>
      <c r="CF38" s="36" t="s">
        <v>2067</v>
      </c>
      <c r="CG38" s="36" t="s">
        <v>2067</v>
      </c>
      <c r="CH38" s="36" t="s">
        <v>2080</v>
      </c>
      <c r="CI38" s="37">
        <f t="shared" si="122"/>
        <v>0</v>
      </c>
      <c r="CJ38" s="37">
        <f t="shared" si="123"/>
        <v>0</v>
      </c>
      <c r="CK38" s="37">
        <f t="shared" si="124"/>
        <v>0</v>
      </c>
      <c r="CL38" s="37">
        <f t="shared" si="125"/>
        <v>0</v>
      </c>
      <c r="CM38" s="37">
        <f t="shared" si="126"/>
        <v>0</v>
      </c>
      <c r="CN38" s="37">
        <f t="shared" si="127"/>
        <v>0</v>
      </c>
      <c r="CO38" s="37">
        <f t="shared" si="128"/>
        <v>0</v>
      </c>
      <c r="CP38" s="37">
        <f t="shared" si="129"/>
        <v>0</v>
      </c>
      <c r="CQ38" s="37">
        <f t="shared" si="130"/>
        <v>3.3333333333333339</v>
      </c>
      <c r="CR38" s="37">
        <f t="shared" si="131"/>
        <v>5</v>
      </c>
      <c r="CS38" s="37">
        <f t="shared" si="132"/>
        <v>0</v>
      </c>
      <c r="CT38" s="37">
        <f t="shared" si="133"/>
        <v>10</v>
      </c>
      <c r="CU38" s="37">
        <f t="shared" si="134"/>
        <v>0</v>
      </c>
      <c r="CV38" s="37">
        <f t="shared" si="135"/>
        <v>0</v>
      </c>
      <c r="CW38" s="37">
        <f t="shared" si="136"/>
        <v>0</v>
      </c>
      <c r="CX38" s="37">
        <f t="shared" si="137"/>
        <v>0</v>
      </c>
      <c r="CY38" s="37">
        <f t="shared" si="138"/>
        <v>0</v>
      </c>
      <c r="CZ38" s="37">
        <f t="shared" si="139"/>
        <v>18.333333333333336</v>
      </c>
    </row>
    <row r="39" spans="1:104" x14ac:dyDescent="0.25">
      <c r="A39" s="149" t="s">
        <v>2201</v>
      </c>
      <c r="B39" s="53" t="s">
        <v>1947</v>
      </c>
      <c r="C39" s="53" t="s">
        <v>1948</v>
      </c>
      <c r="D39" s="53" t="s">
        <v>1947</v>
      </c>
      <c r="E39" s="61">
        <f t="shared" si="70"/>
        <v>0</v>
      </c>
      <c r="F39" s="61">
        <f t="shared" si="71"/>
        <v>1</v>
      </c>
      <c r="G39" s="61">
        <f t="shared" si="72"/>
        <v>0</v>
      </c>
      <c r="H39" s="61">
        <f t="shared" si="73"/>
        <v>1</v>
      </c>
      <c r="I39" s="53" t="s">
        <v>2165</v>
      </c>
      <c r="J39" s="53" t="s">
        <v>2165</v>
      </c>
      <c r="K39" s="53" t="s">
        <v>1948</v>
      </c>
      <c r="L39" s="61">
        <f t="shared" si="74"/>
        <v>0</v>
      </c>
      <c r="M39" s="61">
        <f t="shared" si="75"/>
        <v>0</v>
      </c>
      <c r="N39" s="61">
        <f t="shared" si="76"/>
        <v>1</v>
      </c>
      <c r="O39" s="61">
        <f t="shared" si="77"/>
        <v>1</v>
      </c>
      <c r="P39" s="61">
        <f t="shared" si="78"/>
        <v>33.333333333333336</v>
      </c>
      <c r="Q39" s="53" t="s">
        <v>1948</v>
      </c>
      <c r="R39" s="53" t="s">
        <v>1947</v>
      </c>
      <c r="S39" s="61">
        <f t="shared" si="79"/>
        <v>1</v>
      </c>
      <c r="T39" s="61">
        <f t="shared" si="80"/>
        <v>0</v>
      </c>
      <c r="U39" s="61">
        <f t="shared" si="81"/>
        <v>1</v>
      </c>
      <c r="V39" s="61">
        <f t="shared" si="82"/>
        <v>50</v>
      </c>
      <c r="W39" s="53" t="s">
        <v>1947</v>
      </c>
      <c r="X39" s="53" t="s">
        <v>1947</v>
      </c>
      <c r="Y39" s="53" t="s">
        <v>1947</v>
      </c>
      <c r="Z39" s="53" t="s">
        <v>1947</v>
      </c>
      <c r="AA39" s="53" t="s">
        <v>1947</v>
      </c>
      <c r="AB39" s="50">
        <f t="shared" si="83"/>
        <v>0</v>
      </c>
      <c r="AC39" s="50">
        <f t="shared" si="84"/>
        <v>0</v>
      </c>
      <c r="AD39" s="50">
        <f t="shared" si="85"/>
        <v>0</v>
      </c>
      <c r="AE39" s="50">
        <f t="shared" si="86"/>
        <v>0</v>
      </c>
      <c r="AF39" s="50">
        <f t="shared" si="87"/>
        <v>0</v>
      </c>
      <c r="AG39" s="50">
        <f t="shared" si="88"/>
        <v>0</v>
      </c>
      <c r="AH39" s="51">
        <f t="shared" si="89"/>
        <v>0</v>
      </c>
      <c r="AI39" s="51">
        <f t="shared" si="90"/>
        <v>83.333333333333343</v>
      </c>
      <c r="AJ39" s="53" t="s">
        <v>1948</v>
      </c>
      <c r="AK39" s="53" t="s">
        <v>1948</v>
      </c>
      <c r="AL39" s="53" t="s">
        <v>1948</v>
      </c>
      <c r="AM39" s="50">
        <f t="shared" si="91"/>
        <v>1</v>
      </c>
      <c r="AN39" s="50">
        <f t="shared" si="92"/>
        <v>1</v>
      </c>
      <c r="AO39" s="50">
        <f t="shared" si="93"/>
        <v>1</v>
      </c>
      <c r="AP39" s="50">
        <f t="shared" si="94"/>
        <v>3</v>
      </c>
      <c r="AQ39" s="50">
        <f t="shared" si="95"/>
        <v>100</v>
      </c>
      <c r="AR39" s="36" t="s">
        <v>2166</v>
      </c>
      <c r="AS39" s="36" t="s">
        <v>2166</v>
      </c>
      <c r="AT39" s="36" t="s">
        <v>2166</v>
      </c>
      <c r="AU39" s="37">
        <f t="shared" si="96"/>
        <v>1</v>
      </c>
      <c r="AV39" s="37">
        <f t="shared" si="97"/>
        <v>1</v>
      </c>
      <c r="AW39" s="37">
        <f t="shared" si="98"/>
        <v>1</v>
      </c>
      <c r="AX39" s="37">
        <f t="shared" si="99"/>
        <v>0</v>
      </c>
      <c r="AY39" s="37">
        <f t="shared" si="100"/>
        <v>0</v>
      </c>
      <c r="AZ39" s="36" t="s">
        <v>2167</v>
      </c>
      <c r="BA39" s="36" t="s">
        <v>2167</v>
      </c>
      <c r="BB39" s="37">
        <f t="shared" si="101"/>
        <v>1</v>
      </c>
      <c r="BC39" s="37">
        <f t="shared" si="102"/>
        <v>0.75</v>
      </c>
      <c r="BD39" s="37">
        <f t="shared" si="103"/>
        <v>0.75</v>
      </c>
      <c r="BE39" s="37">
        <f t="shared" si="104"/>
        <v>0</v>
      </c>
      <c r="BF39" s="36" t="s">
        <v>2167</v>
      </c>
      <c r="BG39" s="36" t="s">
        <v>2167</v>
      </c>
      <c r="BH39" s="37">
        <f t="shared" si="105"/>
        <v>1</v>
      </c>
      <c r="BI39" s="37">
        <f t="shared" si="106"/>
        <v>0.75</v>
      </c>
      <c r="BJ39" s="37">
        <f t="shared" si="107"/>
        <v>0.75</v>
      </c>
      <c r="BK39" s="37">
        <f t="shared" si="108"/>
        <v>0</v>
      </c>
      <c r="BL39" s="36" t="s">
        <v>2167</v>
      </c>
      <c r="BM39" s="36" t="s">
        <v>2167</v>
      </c>
      <c r="BN39" s="37">
        <f t="shared" si="109"/>
        <v>1</v>
      </c>
      <c r="BO39" s="37">
        <f t="shared" si="110"/>
        <v>0.75</v>
      </c>
      <c r="BP39" s="37">
        <f t="shared" si="111"/>
        <v>0.75</v>
      </c>
      <c r="BQ39" s="37">
        <f t="shared" si="112"/>
        <v>0</v>
      </c>
      <c r="BR39" s="37">
        <f t="shared" si="113"/>
        <v>0</v>
      </c>
      <c r="BS39" s="36" t="s">
        <v>2080</v>
      </c>
      <c r="BT39" s="36" t="s">
        <v>2080</v>
      </c>
      <c r="BU39" s="36" t="s">
        <v>2080</v>
      </c>
      <c r="BV39" s="36" t="s">
        <v>2080</v>
      </c>
      <c r="BW39" s="37">
        <f t="shared" si="114"/>
        <v>0</v>
      </c>
      <c r="BX39" s="37">
        <f t="shared" si="115"/>
        <v>0</v>
      </c>
      <c r="BY39" s="37">
        <f t="shared" si="116"/>
        <v>0</v>
      </c>
      <c r="BZ39" s="37">
        <f t="shared" si="117"/>
        <v>0</v>
      </c>
      <c r="CA39" s="37">
        <f t="shared" si="118"/>
        <v>0</v>
      </c>
      <c r="CB39" s="37">
        <f t="shared" si="119"/>
        <v>0</v>
      </c>
      <c r="CC39" s="37">
        <f t="shared" si="120"/>
        <v>0</v>
      </c>
      <c r="CD39" s="37">
        <f t="shared" si="121"/>
        <v>0</v>
      </c>
      <c r="CE39" s="36" t="s">
        <v>2067</v>
      </c>
      <c r="CF39" s="36" t="s">
        <v>2067</v>
      </c>
      <c r="CG39" s="36" t="s">
        <v>2067</v>
      </c>
      <c r="CH39" s="36" t="s">
        <v>2080</v>
      </c>
      <c r="CI39" s="37">
        <f t="shared" si="122"/>
        <v>0</v>
      </c>
      <c r="CJ39" s="37">
        <f t="shared" si="123"/>
        <v>0</v>
      </c>
      <c r="CK39" s="37">
        <f t="shared" si="124"/>
        <v>0</v>
      </c>
      <c r="CL39" s="37">
        <f t="shared" si="125"/>
        <v>0</v>
      </c>
      <c r="CM39" s="37">
        <f t="shared" si="126"/>
        <v>0</v>
      </c>
      <c r="CN39" s="37">
        <f t="shared" si="127"/>
        <v>0</v>
      </c>
      <c r="CO39" s="37">
        <f t="shared" si="128"/>
        <v>0</v>
      </c>
      <c r="CP39" s="37">
        <f t="shared" si="129"/>
        <v>0</v>
      </c>
      <c r="CQ39" s="37">
        <f t="shared" si="130"/>
        <v>3.3333333333333339</v>
      </c>
      <c r="CR39" s="37">
        <f t="shared" si="131"/>
        <v>5</v>
      </c>
      <c r="CS39" s="37">
        <f t="shared" si="132"/>
        <v>0</v>
      </c>
      <c r="CT39" s="37">
        <f t="shared" si="133"/>
        <v>10</v>
      </c>
      <c r="CU39" s="37">
        <f t="shared" si="134"/>
        <v>0</v>
      </c>
      <c r="CV39" s="37">
        <f t="shared" si="135"/>
        <v>0</v>
      </c>
      <c r="CW39" s="37">
        <f t="shared" si="136"/>
        <v>0</v>
      </c>
      <c r="CX39" s="37">
        <f t="shared" si="137"/>
        <v>0</v>
      </c>
      <c r="CY39" s="37">
        <f t="shared" si="138"/>
        <v>0</v>
      </c>
      <c r="CZ39" s="37">
        <f t="shared" si="139"/>
        <v>18.333333333333336</v>
      </c>
    </row>
    <row r="40" spans="1:104" x14ac:dyDescent="0.25">
      <c r="A40" s="149" t="s">
        <v>2202</v>
      </c>
      <c r="B40" s="53" t="s">
        <v>1947</v>
      </c>
      <c r="C40" s="53" t="s">
        <v>1948</v>
      </c>
      <c r="D40" s="53" t="s">
        <v>1947</v>
      </c>
      <c r="E40" s="61">
        <f t="shared" si="70"/>
        <v>0</v>
      </c>
      <c r="F40" s="61">
        <f t="shared" si="71"/>
        <v>1</v>
      </c>
      <c r="G40" s="61">
        <f t="shared" si="72"/>
        <v>0</v>
      </c>
      <c r="H40" s="61">
        <f t="shared" si="73"/>
        <v>1</v>
      </c>
      <c r="I40" s="53" t="s">
        <v>2165</v>
      </c>
      <c r="J40" s="53" t="s">
        <v>2165</v>
      </c>
      <c r="K40" s="53" t="s">
        <v>1948</v>
      </c>
      <c r="L40" s="61">
        <f t="shared" si="74"/>
        <v>0</v>
      </c>
      <c r="M40" s="61">
        <f t="shared" si="75"/>
        <v>0</v>
      </c>
      <c r="N40" s="61">
        <f t="shared" si="76"/>
        <v>1</v>
      </c>
      <c r="O40" s="61">
        <f t="shared" si="77"/>
        <v>1</v>
      </c>
      <c r="P40" s="61">
        <f t="shared" si="78"/>
        <v>33.333333333333336</v>
      </c>
      <c r="Q40" s="53" t="s">
        <v>1948</v>
      </c>
      <c r="R40" s="53" t="s">
        <v>1947</v>
      </c>
      <c r="S40" s="61">
        <f t="shared" si="79"/>
        <v>1</v>
      </c>
      <c r="T40" s="61">
        <f t="shared" si="80"/>
        <v>0</v>
      </c>
      <c r="U40" s="61">
        <f t="shared" si="81"/>
        <v>1</v>
      </c>
      <c r="V40" s="61">
        <f t="shared" si="82"/>
        <v>50</v>
      </c>
      <c r="W40" s="53" t="s">
        <v>1947</v>
      </c>
      <c r="X40" s="53" t="s">
        <v>1947</v>
      </c>
      <c r="Y40" s="53" t="s">
        <v>1947</v>
      </c>
      <c r="Z40" s="53" t="s">
        <v>1947</v>
      </c>
      <c r="AA40" s="53" t="s">
        <v>1947</v>
      </c>
      <c r="AB40" s="50">
        <f t="shared" si="83"/>
        <v>0</v>
      </c>
      <c r="AC40" s="50">
        <f t="shared" si="84"/>
        <v>0</v>
      </c>
      <c r="AD40" s="50">
        <f t="shared" si="85"/>
        <v>0</v>
      </c>
      <c r="AE40" s="50">
        <f t="shared" si="86"/>
        <v>0</v>
      </c>
      <c r="AF40" s="50">
        <f t="shared" si="87"/>
        <v>0</v>
      </c>
      <c r="AG40" s="50">
        <f t="shared" si="88"/>
        <v>0</v>
      </c>
      <c r="AH40" s="51">
        <f t="shared" si="89"/>
        <v>0</v>
      </c>
      <c r="AI40" s="51">
        <f t="shared" si="90"/>
        <v>83.333333333333343</v>
      </c>
      <c r="AJ40" s="53" t="s">
        <v>1948</v>
      </c>
      <c r="AK40" s="53" t="s">
        <v>1948</v>
      </c>
      <c r="AL40" s="53" t="s">
        <v>1948</v>
      </c>
      <c r="AM40" s="50">
        <f t="shared" si="91"/>
        <v>1</v>
      </c>
      <c r="AN40" s="50">
        <f t="shared" si="92"/>
        <v>1</v>
      </c>
      <c r="AO40" s="50">
        <f t="shared" si="93"/>
        <v>1</v>
      </c>
      <c r="AP40" s="50">
        <f t="shared" si="94"/>
        <v>3</v>
      </c>
      <c r="AQ40" s="50">
        <f t="shared" si="95"/>
        <v>100</v>
      </c>
      <c r="AR40" s="36" t="s">
        <v>2166</v>
      </c>
      <c r="AS40" s="36" t="s">
        <v>2166</v>
      </c>
      <c r="AT40" s="36" t="s">
        <v>2166</v>
      </c>
      <c r="AU40" s="37">
        <f t="shared" si="96"/>
        <v>1</v>
      </c>
      <c r="AV40" s="37">
        <f t="shared" si="97"/>
        <v>1</v>
      </c>
      <c r="AW40" s="37">
        <f t="shared" si="98"/>
        <v>1</v>
      </c>
      <c r="AX40" s="37">
        <f t="shared" si="99"/>
        <v>0</v>
      </c>
      <c r="AY40" s="37">
        <f t="shared" si="100"/>
        <v>0</v>
      </c>
      <c r="AZ40" s="36" t="s">
        <v>2167</v>
      </c>
      <c r="BA40" s="36" t="s">
        <v>2167</v>
      </c>
      <c r="BB40" s="37">
        <f t="shared" si="101"/>
        <v>1</v>
      </c>
      <c r="BC40" s="37">
        <f t="shared" si="102"/>
        <v>0.75</v>
      </c>
      <c r="BD40" s="37">
        <f t="shared" si="103"/>
        <v>0.75</v>
      </c>
      <c r="BE40" s="37">
        <f t="shared" si="104"/>
        <v>0</v>
      </c>
      <c r="BF40" s="36" t="s">
        <v>2167</v>
      </c>
      <c r="BG40" s="36" t="s">
        <v>2167</v>
      </c>
      <c r="BH40" s="37">
        <f t="shared" si="105"/>
        <v>1</v>
      </c>
      <c r="BI40" s="37">
        <f t="shared" si="106"/>
        <v>0.75</v>
      </c>
      <c r="BJ40" s="37">
        <f t="shared" si="107"/>
        <v>0.75</v>
      </c>
      <c r="BK40" s="37">
        <f t="shared" si="108"/>
        <v>0</v>
      </c>
      <c r="BL40" s="36" t="s">
        <v>2167</v>
      </c>
      <c r="BM40" s="36" t="s">
        <v>2167</v>
      </c>
      <c r="BN40" s="37">
        <f t="shared" si="109"/>
        <v>1</v>
      </c>
      <c r="BO40" s="37">
        <f t="shared" si="110"/>
        <v>0.75</v>
      </c>
      <c r="BP40" s="37">
        <f t="shared" si="111"/>
        <v>0.75</v>
      </c>
      <c r="BQ40" s="37">
        <f t="shared" si="112"/>
        <v>0</v>
      </c>
      <c r="BR40" s="37">
        <f t="shared" si="113"/>
        <v>0</v>
      </c>
      <c r="BS40" s="36" t="s">
        <v>2080</v>
      </c>
      <c r="BT40" s="36" t="s">
        <v>2080</v>
      </c>
      <c r="BU40" s="36" t="s">
        <v>2080</v>
      </c>
      <c r="BV40" s="36" t="s">
        <v>2080</v>
      </c>
      <c r="BW40" s="37">
        <f t="shared" si="114"/>
        <v>0</v>
      </c>
      <c r="BX40" s="37">
        <f t="shared" si="115"/>
        <v>0</v>
      </c>
      <c r="BY40" s="37">
        <f t="shared" si="116"/>
        <v>0</v>
      </c>
      <c r="BZ40" s="37">
        <f t="shared" si="117"/>
        <v>0</v>
      </c>
      <c r="CA40" s="37">
        <f t="shared" si="118"/>
        <v>0</v>
      </c>
      <c r="CB40" s="37">
        <f t="shared" si="119"/>
        <v>0</v>
      </c>
      <c r="CC40" s="37">
        <f t="shared" si="120"/>
        <v>0</v>
      </c>
      <c r="CD40" s="37">
        <f t="shared" si="121"/>
        <v>0</v>
      </c>
      <c r="CE40" s="36" t="s">
        <v>2067</v>
      </c>
      <c r="CF40" s="36" t="s">
        <v>2067</v>
      </c>
      <c r="CG40" s="36" t="s">
        <v>2067</v>
      </c>
      <c r="CH40" s="36" t="s">
        <v>2080</v>
      </c>
      <c r="CI40" s="37">
        <f t="shared" si="122"/>
        <v>0</v>
      </c>
      <c r="CJ40" s="37">
        <f t="shared" si="123"/>
        <v>0</v>
      </c>
      <c r="CK40" s="37">
        <f t="shared" si="124"/>
        <v>0</v>
      </c>
      <c r="CL40" s="37">
        <f t="shared" si="125"/>
        <v>0</v>
      </c>
      <c r="CM40" s="37">
        <f t="shared" si="126"/>
        <v>0</v>
      </c>
      <c r="CN40" s="37">
        <f t="shared" si="127"/>
        <v>0</v>
      </c>
      <c r="CO40" s="37">
        <f t="shared" si="128"/>
        <v>0</v>
      </c>
      <c r="CP40" s="37">
        <f t="shared" si="129"/>
        <v>0</v>
      </c>
      <c r="CQ40" s="37">
        <f t="shared" si="130"/>
        <v>3.3333333333333339</v>
      </c>
      <c r="CR40" s="37">
        <f t="shared" si="131"/>
        <v>5</v>
      </c>
      <c r="CS40" s="37">
        <f t="shared" si="132"/>
        <v>0</v>
      </c>
      <c r="CT40" s="37">
        <f t="shared" si="133"/>
        <v>10</v>
      </c>
      <c r="CU40" s="37">
        <f t="shared" si="134"/>
        <v>0</v>
      </c>
      <c r="CV40" s="37">
        <f t="shared" si="135"/>
        <v>0</v>
      </c>
      <c r="CW40" s="37">
        <f t="shared" si="136"/>
        <v>0</v>
      </c>
      <c r="CX40" s="37">
        <f t="shared" si="137"/>
        <v>0</v>
      </c>
      <c r="CY40" s="37">
        <f t="shared" si="138"/>
        <v>0</v>
      </c>
      <c r="CZ40" s="37">
        <f t="shared" si="139"/>
        <v>18.333333333333336</v>
      </c>
    </row>
    <row r="41" spans="1:104" x14ac:dyDescent="0.25">
      <c r="A41" s="149" t="s">
        <v>2203</v>
      </c>
      <c r="B41" s="53" t="s">
        <v>1947</v>
      </c>
      <c r="C41" s="53" t="s">
        <v>1948</v>
      </c>
      <c r="D41" s="53" t="s">
        <v>1947</v>
      </c>
      <c r="E41" s="61">
        <f t="shared" si="70"/>
        <v>0</v>
      </c>
      <c r="F41" s="61">
        <f t="shared" si="71"/>
        <v>1</v>
      </c>
      <c r="G41" s="61">
        <f t="shared" si="72"/>
        <v>0</v>
      </c>
      <c r="H41" s="61">
        <f t="shared" si="73"/>
        <v>1</v>
      </c>
      <c r="I41" s="53" t="s">
        <v>2165</v>
      </c>
      <c r="J41" s="53" t="s">
        <v>2165</v>
      </c>
      <c r="K41" s="53" t="s">
        <v>1948</v>
      </c>
      <c r="L41" s="61">
        <f t="shared" si="74"/>
        <v>0</v>
      </c>
      <c r="M41" s="61">
        <f t="shared" si="75"/>
        <v>0</v>
      </c>
      <c r="N41" s="61">
        <f t="shared" si="76"/>
        <v>1</v>
      </c>
      <c r="O41" s="61">
        <f t="shared" si="77"/>
        <v>1</v>
      </c>
      <c r="P41" s="61">
        <f t="shared" si="78"/>
        <v>33.333333333333336</v>
      </c>
      <c r="Q41" s="53" t="s">
        <v>1948</v>
      </c>
      <c r="R41" s="53" t="s">
        <v>1947</v>
      </c>
      <c r="S41" s="61">
        <f t="shared" si="79"/>
        <v>1</v>
      </c>
      <c r="T41" s="61">
        <f t="shared" si="80"/>
        <v>0</v>
      </c>
      <c r="U41" s="61">
        <f t="shared" si="81"/>
        <v>1</v>
      </c>
      <c r="V41" s="61">
        <f t="shared" si="82"/>
        <v>50</v>
      </c>
      <c r="W41" s="53" t="s">
        <v>1947</v>
      </c>
      <c r="X41" s="53" t="s">
        <v>1947</v>
      </c>
      <c r="Y41" s="53" t="s">
        <v>1947</v>
      </c>
      <c r="Z41" s="53" t="s">
        <v>1947</v>
      </c>
      <c r="AA41" s="53" t="s">
        <v>1947</v>
      </c>
      <c r="AB41" s="50">
        <f t="shared" si="83"/>
        <v>0</v>
      </c>
      <c r="AC41" s="50">
        <f t="shared" si="84"/>
        <v>0</v>
      </c>
      <c r="AD41" s="50">
        <f t="shared" si="85"/>
        <v>0</v>
      </c>
      <c r="AE41" s="50">
        <f t="shared" si="86"/>
        <v>0</v>
      </c>
      <c r="AF41" s="50">
        <f t="shared" si="87"/>
        <v>0</v>
      </c>
      <c r="AG41" s="50">
        <f t="shared" si="88"/>
        <v>0</v>
      </c>
      <c r="AH41" s="51">
        <f t="shared" si="89"/>
        <v>0</v>
      </c>
      <c r="AI41" s="51">
        <f t="shared" si="90"/>
        <v>83.333333333333343</v>
      </c>
      <c r="AJ41" s="53" t="s">
        <v>1948</v>
      </c>
      <c r="AK41" s="53" t="s">
        <v>1948</v>
      </c>
      <c r="AL41" s="53" t="s">
        <v>1948</v>
      </c>
      <c r="AM41" s="50">
        <f t="shared" si="91"/>
        <v>1</v>
      </c>
      <c r="AN41" s="50">
        <f t="shared" si="92"/>
        <v>1</v>
      </c>
      <c r="AO41" s="50">
        <f t="shared" si="93"/>
        <v>1</v>
      </c>
      <c r="AP41" s="50">
        <f t="shared" si="94"/>
        <v>3</v>
      </c>
      <c r="AQ41" s="50">
        <f t="shared" si="95"/>
        <v>100</v>
      </c>
      <c r="AR41" s="36" t="s">
        <v>2166</v>
      </c>
      <c r="AS41" s="36" t="s">
        <v>2166</v>
      </c>
      <c r="AT41" s="36" t="s">
        <v>2166</v>
      </c>
      <c r="AU41" s="37">
        <f t="shared" si="96"/>
        <v>1</v>
      </c>
      <c r="AV41" s="37">
        <f t="shared" si="97"/>
        <v>1</v>
      </c>
      <c r="AW41" s="37">
        <f t="shared" si="98"/>
        <v>1</v>
      </c>
      <c r="AX41" s="37">
        <f t="shared" si="99"/>
        <v>0</v>
      </c>
      <c r="AY41" s="37">
        <f t="shared" si="100"/>
        <v>0</v>
      </c>
      <c r="AZ41" s="36" t="s">
        <v>2167</v>
      </c>
      <c r="BA41" s="36" t="s">
        <v>2167</v>
      </c>
      <c r="BB41" s="37">
        <f t="shared" si="101"/>
        <v>1</v>
      </c>
      <c r="BC41" s="37">
        <f t="shared" si="102"/>
        <v>0.75</v>
      </c>
      <c r="BD41" s="37">
        <f t="shared" si="103"/>
        <v>0.75</v>
      </c>
      <c r="BE41" s="37">
        <f t="shared" si="104"/>
        <v>0</v>
      </c>
      <c r="BF41" s="36" t="s">
        <v>2167</v>
      </c>
      <c r="BG41" s="36" t="s">
        <v>2167</v>
      </c>
      <c r="BH41" s="37">
        <f t="shared" si="105"/>
        <v>1</v>
      </c>
      <c r="BI41" s="37">
        <f t="shared" si="106"/>
        <v>0.75</v>
      </c>
      <c r="BJ41" s="37">
        <f t="shared" si="107"/>
        <v>0.75</v>
      </c>
      <c r="BK41" s="37">
        <f t="shared" si="108"/>
        <v>0</v>
      </c>
      <c r="BL41" s="36" t="s">
        <v>2167</v>
      </c>
      <c r="BM41" s="36" t="s">
        <v>2167</v>
      </c>
      <c r="BN41" s="37">
        <f t="shared" si="109"/>
        <v>1</v>
      </c>
      <c r="BO41" s="37">
        <f t="shared" si="110"/>
        <v>0.75</v>
      </c>
      <c r="BP41" s="37">
        <f t="shared" si="111"/>
        <v>0.75</v>
      </c>
      <c r="BQ41" s="37">
        <f t="shared" si="112"/>
        <v>0</v>
      </c>
      <c r="BR41" s="37">
        <f t="shared" si="113"/>
        <v>0</v>
      </c>
      <c r="BS41" s="36" t="s">
        <v>2080</v>
      </c>
      <c r="BT41" s="36" t="s">
        <v>2080</v>
      </c>
      <c r="BU41" s="36" t="s">
        <v>2080</v>
      </c>
      <c r="BV41" s="36" t="s">
        <v>2080</v>
      </c>
      <c r="BW41" s="37">
        <f t="shared" si="114"/>
        <v>0</v>
      </c>
      <c r="BX41" s="37">
        <f t="shared" si="115"/>
        <v>0</v>
      </c>
      <c r="BY41" s="37">
        <f t="shared" si="116"/>
        <v>0</v>
      </c>
      <c r="BZ41" s="37">
        <f t="shared" si="117"/>
        <v>0</v>
      </c>
      <c r="CA41" s="37">
        <f t="shared" si="118"/>
        <v>0</v>
      </c>
      <c r="CB41" s="37">
        <f t="shared" si="119"/>
        <v>0</v>
      </c>
      <c r="CC41" s="37">
        <f t="shared" si="120"/>
        <v>0</v>
      </c>
      <c r="CD41" s="37">
        <f t="shared" si="121"/>
        <v>0</v>
      </c>
      <c r="CE41" s="36" t="s">
        <v>2067</v>
      </c>
      <c r="CF41" s="36" t="s">
        <v>2067</v>
      </c>
      <c r="CG41" s="36" t="s">
        <v>2067</v>
      </c>
      <c r="CH41" s="36" t="s">
        <v>2080</v>
      </c>
      <c r="CI41" s="37">
        <f t="shared" si="122"/>
        <v>0</v>
      </c>
      <c r="CJ41" s="37">
        <f t="shared" si="123"/>
        <v>0</v>
      </c>
      <c r="CK41" s="37">
        <f t="shared" si="124"/>
        <v>0</v>
      </c>
      <c r="CL41" s="37">
        <f t="shared" si="125"/>
        <v>0</v>
      </c>
      <c r="CM41" s="37">
        <f t="shared" si="126"/>
        <v>0</v>
      </c>
      <c r="CN41" s="37">
        <f t="shared" si="127"/>
        <v>0</v>
      </c>
      <c r="CO41" s="37">
        <f t="shared" si="128"/>
        <v>0</v>
      </c>
      <c r="CP41" s="37">
        <f t="shared" si="129"/>
        <v>0</v>
      </c>
      <c r="CQ41" s="37">
        <f t="shared" si="130"/>
        <v>3.3333333333333339</v>
      </c>
      <c r="CR41" s="37">
        <f t="shared" si="131"/>
        <v>5</v>
      </c>
      <c r="CS41" s="37">
        <f t="shared" si="132"/>
        <v>0</v>
      </c>
      <c r="CT41" s="37">
        <f t="shared" si="133"/>
        <v>10</v>
      </c>
      <c r="CU41" s="37">
        <f t="shared" si="134"/>
        <v>0</v>
      </c>
      <c r="CV41" s="37">
        <f t="shared" si="135"/>
        <v>0</v>
      </c>
      <c r="CW41" s="37">
        <f t="shared" si="136"/>
        <v>0</v>
      </c>
      <c r="CX41" s="37">
        <f t="shared" si="137"/>
        <v>0</v>
      </c>
      <c r="CY41" s="37">
        <f t="shared" si="138"/>
        <v>0</v>
      </c>
      <c r="CZ41" s="37">
        <f t="shared" si="139"/>
        <v>18.333333333333336</v>
      </c>
    </row>
    <row r="42" spans="1:104" x14ac:dyDescent="0.25">
      <c r="A42" s="149" t="s">
        <v>2204</v>
      </c>
      <c r="B42" s="53" t="s">
        <v>1947</v>
      </c>
      <c r="C42" s="53" t="s">
        <v>1948</v>
      </c>
      <c r="D42" s="53" t="s">
        <v>1947</v>
      </c>
      <c r="E42" s="61">
        <f t="shared" si="70"/>
        <v>0</v>
      </c>
      <c r="F42" s="61">
        <f t="shared" si="71"/>
        <v>1</v>
      </c>
      <c r="G42" s="61">
        <f t="shared" si="72"/>
        <v>0</v>
      </c>
      <c r="H42" s="61">
        <f t="shared" si="73"/>
        <v>1</v>
      </c>
      <c r="I42" s="53" t="s">
        <v>2165</v>
      </c>
      <c r="J42" s="53" t="s">
        <v>2165</v>
      </c>
      <c r="K42" s="53" t="s">
        <v>1948</v>
      </c>
      <c r="L42" s="61">
        <f t="shared" si="74"/>
        <v>0</v>
      </c>
      <c r="M42" s="61">
        <f t="shared" si="75"/>
        <v>0</v>
      </c>
      <c r="N42" s="61">
        <f t="shared" si="76"/>
        <v>1</v>
      </c>
      <c r="O42" s="61">
        <f t="shared" si="77"/>
        <v>1</v>
      </c>
      <c r="P42" s="61">
        <f t="shared" si="78"/>
        <v>33.333333333333336</v>
      </c>
      <c r="Q42" s="53" t="s">
        <v>1948</v>
      </c>
      <c r="R42" s="53" t="s">
        <v>1947</v>
      </c>
      <c r="S42" s="61">
        <f t="shared" si="79"/>
        <v>1</v>
      </c>
      <c r="T42" s="61">
        <f t="shared" si="80"/>
        <v>0</v>
      </c>
      <c r="U42" s="61">
        <f t="shared" si="81"/>
        <v>1</v>
      </c>
      <c r="V42" s="61">
        <f t="shared" si="82"/>
        <v>50</v>
      </c>
      <c r="W42" s="53" t="s">
        <v>1947</v>
      </c>
      <c r="X42" s="53" t="s">
        <v>1947</v>
      </c>
      <c r="Y42" s="53" t="s">
        <v>1947</v>
      </c>
      <c r="Z42" s="53" t="s">
        <v>1947</v>
      </c>
      <c r="AA42" s="53" t="s">
        <v>1947</v>
      </c>
      <c r="AB42" s="50">
        <f t="shared" si="83"/>
        <v>0</v>
      </c>
      <c r="AC42" s="50">
        <f t="shared" si="84"/>
        <v>0</v>
      </c>
      <c r="AD42" s="50">
        <f t="shared" si="85"/>
        <v>0</v>
      </c>
      <c r="AE42" s="50">
        <f t="shared" si="86"/>
        <v>0</v>
      </c>
      <c r="AF42" s="50">
        <f t="shared" si="87"/>
        <v>0</v>
      </c>
      <c r="AG42" s="50">
        <f t="shared" si="88"/>
        <v>0</v>
      </c>
      <c r="AH42" s="51">
        <f t="shared" si="89"/>
        <v>0</v>
      </c>
      <c r="AI42" s="51">
        <f t="shared" si="90"/>
        <v>83.333333333333343</v>
      </c>
      <c r="AJ42" s="53" t="s">
        <v>1948</v>
      </c>
      <c r="AK42" s="53" t="s">
        <v>1948</v>
      </c>
      <c r="AL42" s="53" t="s">
        <v>1948</v>
      </c>
      <c r="AM42" s="50">
        <f t="shared" si="91"/>
        <v>1</v>
      </c>
      <c r="AN42" s="50">
        <f t="shared" si="92"/>
        <v>1</v>
      </c>
      <c r="AO42" s="50">
        <f t="shared" si="93"/>
        <v>1</v>
      </c>
      <c r="AP42" s="50">
        <f t="shared" si="94"/>
        <v>3</v>
      </c>
      <c r="AQ42" s="50">
        <f t="shared" si="95"/>
        <v>100</v>
      </c>
      <c r="AR42" s="36" t="s">
        <v>2166</v>
      </c>
      <c r="AS42" s="36" t="s">
        <v>2166</v>
      </c>
      <c r="AT42" s="36" t="s">
        <v>2166</v>
      </c>
      <c r="AU42" s="37">
        <f t="shared" si="96"/>
        <v>1</v>
      </c>
      <c r="AV42" s="37">
        <f t="shared" si="97"/>
        <v>1</v>
      </c>
      <c r="AW42" s="37">
        <f t="shared" si="98"/>
        <v>1</v>
      </c>
      <c r="AX42" s="37">
        <f t="shared" si="99"/>
        <v>0</v>
      </c>
      <c r="AY42" s="37">
        <f t="shared" si="100"/>
        <v>0</v>
      </c>
      <c r="AZ42" s="36" t="s">
        <v>2167</v>
      </c>
      <c r="BA42" s="36" t="s">
        <v>2167</v>
      </c>
      <c r="BB42" s="37">
        <f t="shared" si="101"/>
        <v>1</v>
      </c>
      <c r="BC42" s="37">
        <f t="shared" si="102"/>
        <v>0.75</v>
      </c>
      <c r="BD42" s="37">
        <f t="shared" si="103"/>
        <v>0.75</v>
      </c>
      <c r="BE42" s="37">
        <f t="shared" si="104"/>
        <v>0</v>
      </c>
      <c r="BF42" s="36" t="s">
        <v>2167</v>
      </c>
      <c r="BG42" s="36" t="s">
        <v>2167</v>
      </c>
      <c r="BH42" s="37">
        <f t="shared" si="105"/>
        <v>1</v>
      </c>
      <c r="BI42" s="37">
        <f t="shared" si="106"/>
        <v>0.75</v>
      </c>
      <c r="BJ42" s="37">
        <f t="shared" si="107"/>
        <v>0.75</v>
      </c>
      <c r="BK42" s="37">
        <f t="shared" si="108"/>
        <v>0</v>
      </c>
      <c r="BL42" s="36" t="s">
        <v>2167</v>
      </c>
      <c r="BM42" s="36" t="s">
        <v>2167</v>
      </c>
      <c r="BN42" s="37">
        <f t="shared" si="109"/>
        <v>1</v>
      </c>
      <c r="BO42" s="37">
        <f t="shared" si="110"/>
        <v>0.75</v>
      </c>
      <c r="BP42" s="37">
        <f t="shared" si="111"/>
        <v>0.75</v>
      </c>
      <c r="BQ42" s="37">
        <f t="shared" si="112"/>
        <v>0</v>
      </c>
      <c r="BR42" s="37">
        <f t="shared" si="113"/>
        <v>0</v>
      </c>
      <c r="BS42" s="36" t="s">
        <v>2080</v>
      </c>
      <c r="BT42" s="36" t="s">
        <v>2080</v>
      </c>
      <c r="BU42" s="36" t="s">
        <v>2080</v>
      </c>
      <c r="BV42" s="36" t="s">
        <v>2080</v>
      </c>
      <c r="BW42" s="37">
        <f t="shared" si="114"/>
        <v>0</v>
      </c>
      <c r="BX42" s="37">
        <f t="shared" si="115"/>
        <v>0</v>
      </c>
      <c r="BY42" s="37">
        <f t="shared" si="116"/>
        <v>0</v>
      </c>
      <c r="BZ42" s="37">
        <f t="shared" si="117"/>
        <v>0</v>
      </c>
      <c r="CA42" s="37">
        <f t="shared" si="118"/>
        <v>0</v>
      </c>
      <c r="CB42" s="37">
        <f t="shared" si="119"/>
        <v>0</v>
      </c>
      <c r="CC42" s="37">
        <f t="shared" si="120"/>
        <v>0</v>
      </c>
      <c r="CD42" s="37">
        <f t="shared" si="121"/>
        <v>0</v>
      </c>
      <c r="CE42" s="36" t="s">
        <v>2067</v>
      </c>
      <c r="CF42" s="36" t="s">
        <v>2067</v>
      </c>
      <c r="CG42" s="36" t="s">
        <v>2067</v>
      </c>
      <c r="CH42" s="36" t="s">
        <v>2080</v>
      </c>
      <c r="CI42" s="37">
        <f t="shared" si="122"/>
        <v>0</v>
      </c>
      <c r="CJ42" s="37">
        <f t="shared" si="123"/>
        <v>0</v>
      </c>
      <c r="CK42" s="37">
        <f t="shared" si="124"/>
        <v>0</v>
      </c>
      <c r="CL42" s="37">
        <f t="shared" si="125"/>
        <v>0</v>
      </c>
      <c r="CM42" s="37">
        <f t="shared" si="126"/>
        <v>0</v>
      </c>
      <c r="CN42" s="37">
        <f t="shared" si="127"/>
        <v>0</v>
      </c>
      <c r="CO42" s="37">
        <f t="shared" si="128"/>
        <v>0</v>
      </c>
      <c r="CP42" s="37">
        <f t="shared" si="129"/>
        <v>0</v>
      </c>
      <c r="CQ42" s="37">
        <f t="shared" si="130"/>
        <v>3.3333333333333339</v>
      </c>
      <c r="CR42" s="37">
        <f t="shared" si="131"/>
        <v>5</v>
      </c>
      <c r="CS42" s="37">
        <f t="shared" si="132"/>
        <v>0</v>
      </c>
      <c r="CT42" s="37">
        <f t="shared" si="133"/>
        <v>10</v>
      </c>
      <c r="CU42" s="37">
        <f t="shared" si="134"/>
        <v>0</v>
      </c>
      <c r="CV42" s="37">
        <f t="shared" si="135"/>
        <v>0</v>
      </c>
      <c r="CW42" s="37">
        <f t="shared" si="136"/>
        <v>0</v>
      </c>
      <c r="CX42" s="37">
        <f t="shared" si="137"/>
        <v>0</v>
      </c>
      <c r="CY42" s="37">
        <f t="shared" si="138"/>
        <v>0</v>
      </c>
      <c r="CZ42" s="37">
        <f t="shared" si="139"/>
        <v>18.333333333333336</v>
      </c>
    </row>
    <row r="43" spans="1:104" x14ac:dyDescent="0.25">
      <c r="A43" s="149" t="s">
        <v>2205</v>
      </c>
      <c r="B43" s="53" t="s">
        <v>1947</v>
      </c>
      <c r="C43" s="53" t="s">
        <v>1948</v>
      </c>
      <c r="D43" s="53" t="s">
        <v>1947</v>
      </c>
      <c r="E43" s="61">
        <f t="shared" si="70"/>
        <v>0</v>
      </c>
      <c r="F43" s="61">
        <f t="shared" si="71"/>
        <v>1</v>
      </c>
      <c r="G43" s="61">
        <f t="shared" si="72"/>
        <v>0</v>
      </c>
      <c r="H43" s="61">
        <f t="shared" si="73"/>
        <v>1</v>
      </c>
      <c r="I43" s="53" t="s">
        <v>2165</v>
      </c>
      <c r="J43" s="53" t="s">
        <v>2165</v>
      </c>
      <c r="K43" s="53" t="s">
        <v>1948</v>
      </c>
      <c r="L43" s="61">
        <f t="shared" si="74"/>
        <v>0</v>
      </c>
      <c r="M43" s="61">
        <f t="shared" si="75"/>
        <v>0</v>
      </c>
      <c r="N43" s="61">
        <f t="shared" si="76"/>
        <v>1</v>
      </c>
      <c r="O43" s="61">
        <f t="shared" si="77"/>
        <v>1</v>
      </c>
      <c r="P43" s="61">
        <f t="shared" si="78"/>
        <v>33.333333333333336</v>
      </c>
      <c r="Q43" s="53" t="s">
        <v>1948</v>
      </c>
      <c r="R43" s="53" t="s">
        <v>1947</v>
      </c>
      <c r="S43" s="61">
        <f t="shared" si="79"/>
        <v>1</v>
      </c>
      <c r="T43" s="61">
        <f t="shared" si="80"/>
        <v>0</v>
      </c>
      <c r="U43" s="61">
        <f t="shared" si="81"/>
        <v>1</v>
      </c>
      <c r="V43" s="61">
        <f t="shared" si="82"/>
        <v>50</v>
      </c>
      <c r="W43" s="53" t="s">
        <v>1947</v>
      </c>
      <c r="X43" s="53" t="s">
        <v>1947</v>
      </c>
      <c r="Y43" s="53" t="s">
        <v>1947</v>
      </c>
      <c r="Z43" s="53" t="s">
        <v>1947</v>
      </c>
      <c r="AA43" s="53" t="s">
        <v>1947</v>
      </c>
      <c r="AB43" s="50">
        <f t="shared" si="83"/>
        <v>0</v>
      </c>
      <c r="AC43" s="50">
        <f t="shared" si="84"/>
        <v>0</v>
      </c>
      <c r="AD43" s="50">
        <f t="shared" si="85"/>
        <v>0</v>
      </c>
      <c r="AE43" s="50">
        <f t="shared" si="86"/>
        <v>0</v>
      </c>
      <c r="AF43" s="50">
        <f t="shared" si="87"/>
        <v>0</v>
      </c>
      <c r="AG43" s="50">
        <f t="shared" si="88"/>
        <v>0</v>
      </c>
      <c r="AH43" s="51">
        <f t="shared" si="89"/>
        <v>0</v>
      </c>
      <c r="AI43" s="51">
        <f t="shared" si="90"/>
        <v>83.333333333333343</v>
      </c>
      <c r="AJ43" s="53" t="s">
        <v>1948</v>
      </c>
      <c r="AK43" s="53" t="s">
        <v>1948</v>
      </c>
      <c r="AL43" s="53" t="s">
        <v>1948</v>
      </c>
      <c r="AM43" s="50">
        <f t="shared" si="91"/>
        <v>1</v>
      </c>
      <c r="AN43" s="50">
        <f t="shared" si="92"/>
        <v>1</v>
      </c>
      <c r="AO43" s="50">
        <f t="shared" si="93"/>
        <v>1</v>
      </c>
      <c r="AP43" s="50">
        <f t="shared" si="94"/>
        <v>3</v>
      </c>
      <c r="AQ43" s="50">
        <f t="shared" si="95"/>
        <v>100</v>
      </c>
      <c r="AR43" s="36" t="s">
        <v>2166</v>
      </c>
      <c r="AS43" s="36" t="s">
        <v>2166</v>
      </c>
      <c r="AT43" s="36" t="s">
        <v>2166</v>
      </c>
      <c r="AU43" s="37">
        <f t="shared" si="96"/>
        <v>1</v>
      </c>
      <c r="AV43" s="37">
        <f t="shared" si="97"/>
        <v>1</v>
      </c>
      <c r="AW43" s="37">
        <f t="shared" si="98"/>
        <v>1</v>
      </c>
      <c r="AX43" s="37">
        <f t="shared" si="99"/>
        <v>0</v>
      </c>
      <c r="AY43" s="37">
        <f t="shared" si="100"/>
        <v>0</v>
      </c>
      <c r="AZ43" s="36" t="s">
        <v>2167</v>
      </c>
      <c r="BA43" s="36" t="s">
        <v>2167</v>
      </c>
      <c r="BB43" s="37">
        <f t="shared" si="101"/>
        <v>1</v>
      </c>
      <c r="BC43" s="37">
        <f t="shared" si="102"/>
        <v>0.75</v>
      </c>
      <c r="BD43" s="37">
        <f t="shared" si="103"/>
        <v>0.75</v>
      </c>
      <c r="BE43" s="37">
        <f t="shared" si="104"/>
        <v>0</v>
      </c>
      <c r="BF43" s="36" t="s">
        <v>2167</v>
      </c>
      <c r="BG43" s="36" t="s">
        <v>2167</v>
      </c>
      <c r="BH43" s="37">
        <f t="shared" si="105"/>
        <v>1</v>
      </c>
      <c r="BI43" s="37">
        <f t="shared" si="106"/>
        <v>0.75</v>
      </c>
      <c r="BJ43" s="37">
        <f t="shared" si="107"/>
        <v>0.75</v>
      </c>
      <c r="BK43" s="37">
        <f t="shared" si="108"/>
        <v>0</v>
      </c>
      <c r="BL43" s="36" t="s">
        <v>2167</v>
      </c>
      <c r="BM43" s="36" t="s">
        <v>2167</v>
      </c>
      <c r="BN43" s="37">
        <f t="shared" si="109"/>
        <v>1</v>
      </c>
      <c r="BO43" s="37">
        <f t="shared" si="110"/>
        <v>0.75</v>
      </c>
      <c r="BP43" s="37">
        <f t="shared" si="111"/>
        <v>0.75</v>
      </c>
      <c r="BQ43" s="37">
        <f t="shared" si="112"/>
        <v>0</v>
      </c>
      <c r="BR43" s="37">
        <f t="shared" si="113"/>
        <v>0</v>
      </c>
      <c r="BS43" s="36" t="s">
        <v>2080</v>
      </c>
      <c r="BT43" s="36" t="s">
        <v>2080</v>
      </c>
      <c r="BU43" s="36" t="s">
        <v>2080</v>
      </c>
      <c r="BV43" s="36" t="s">
        <v>2080</v>
      </c>
      <c r="BW43" s="37">
        <f t="shared" si="114"/>
        <v>0</v>
      </c>
      <c r="BX43" s="37">
        <f t="shared" si="115"/>
        <v>0</v>
      </c>
      <c r="BY43" s="37">
        <f t="shared" si="116"/>
        <v>0</v>
      </c>
      <c r="BZ43" s="37">
        <f t="shared" si="117"/>
        <v>0</v>
      </c>
      <c r="CA43" s="37">
        <f t="shared" si="118"/>
        <v>0</v>
      </c>
      <c r="CB43" s="37">
        <f t="shared" si="119"/>
        <v>0</v>
      </c>
      <c r="CC43" s="37">
        <f t="shared" si="120"/>
        <v>0</v>
      </c>
      <c r="CD43" s="37">
        <f t="shared" si="121"/>
        <v>0</v>
      </c>
      <c r="CE43" s="36" t="s">
        <v>2067</v>
      </c>
      <c r="CF43" s="36" t="s">
        <v>2067</v>
      </c>
      <c r="CG43" s="36" t="s">
        <v>2067</v>
      </c>
      <c r="CH43" s="36" t="s">
        <v>2080</v>
      </c>
      <c r="CI43" s="37">
        <f t="shared" si="122"/>
        <v>0</v>
      </c>
      <c r="CJ43" s="37">
        <f t="shared" si="123"/>
        <v>0</v>
      </c>
      <c r="CK43" s="37">
        <f t="shared" si="124"/>
        <v>0</v>
      </c>
      <c r="CL43" s="37">
        <f t="shared" si="125"/>
        <v>0</v>
      </c>
      <c r="CM43" s="37">
        <f t="shared" si="126"/>
        <v>0</v>
      </c>
      <c r="CN43" s="37">
        <f t="shared" si="127"/>
        <v>0</v>
      </c>
      <c r="CO43" s="37">
        <f t="shared" si="128"/>
        <v>0</v>
      </c>
      <c r="CP43" s="37">
        <f t="shared" si="129"/>
        <v>0</v>
      </c>
      <c r="CQ43" s="37">
        <f t="shared" si="130"/>
        <v>3.3333333333333339</v>
      </c>
      <c r="CR43" s="37">
        <f t="shared" si="131"/>
        <v>5</v>
      </c>
      <c r="CS43" s="37">
        <f t="shared" si="132"/>
        <v>0</v>
      </c>
      <c r="CT43" s="37">
        <f t="shared" si="133"/>
        <v>10</v>
      </c>
      <c r="CU43" s="37">
        <f t="shared" si="134"/>
        <v>0</v>
      </c>
      <c r="CV43" s="37">
        <f t="shared" si="135"/>
        <v>0</v>
      </c>
      <c r="CW43" s="37">
        <f t="shared" si="136"/>
        <v>0</v>
      </c>
      <c r="CX43" s="37">
        <f t="shared" si="137"/>
        <v>0</v>
      </c>
      <c r="CY43" s="37">
        <f t="shared" si="138"/>
        <v>0</v>
      </c>
      <c r="CZ43" s="37">
        <f t="shared" si="139"/>
        <v>18.333333333333336</v>
      </c>
    </row>
    <row r="44" spans="1:104" x14ac:dyDescent="0.25">
      <c r="A44" s="149" t="s">
        <v>2206</v>
      </c>
      <c r="B44" s="53" t="s">
        <v>1947</v>
      </c>
      <c r="C44" s="53" t="s">
        <v>1948</v>
      </c>
      <c r="D44" s="53" t="s">
        <v>1947</v>
      </c>
      <c r="E44" s="61">
        <f t="shared" si="70"/>
        <v>0</v>
      </c>
      <c r="F44" s="61">
        <f t="shared" si="71"/>
        <v>1</v>
      </c>
      <c r="G44" s="61">
        <f t="shared" si="72"/>
        <v>0</v>
      </c>
      <c r="H44" s="61">
        <f t="shared" si="73"/>
        <v>1</v>
      </c>
      <c r="I44" s="53" t="s">
        <v>2165</v>
      </c>
      <c r="J44" s="53" t="s">
        <v>2165</v>
      </c>
      <c r="K44" s="53" t="s">
        <v>1948</v>
      </c>
      <c r="L44" s="61">
        <f t="shared" si="74"/>
        <v>0</v>
      </c>
      <c r="M44" s="61">
        <f t="shared" si="75"/>
        <v>0</v>
      </c>
      <c r="N44" s="61">
        <f t="shared" si="76"/>
        <v>1</v>
      </c>
      <c r="O44" s="61">
        <f t="shared" si="77"/>
        <v>1</v>
      </c>
      <c r="P44" s="61">
        <f t="shared" si="78"/>
        <v>33.333333333333336</v>
      </c>
      <c r="Q44" s="53" t="s">
        <v>1948</v>
      </c>
      <c r="R44" s="53" t="s">
        <v>1947</v>
      </c>
      <c r="S44" s="61">
        <f t="shared" si="79"/>
        <v>1</v>
      </c>
      <c r="T44" s="61">
        <f t="shared" si="80"/>
        <v>0</v>
      </c>
      <c r="U44" s="61">
        <f t="shared" si="81"/>
        <v>1</v>
      </c>
      <c r="V44" s="61">
        <f t="shared" si="82"/>
        <v>50</v>
      </c>
      <c r="W44" s="53" t="s">
        <v>1947</v>
      </c>
      <c r="X44" s="53" t="s">
        <v>1947</v>
      </c>
      <c r="Y44" s="53" t="s">
        <v>1947</v>
      </c>
      <c r="Z44" s="53" t="s">
        <v>1947</v>
      </c>
      <c r="AA44" s="53" t="s">
        <v>1947</v>
      </c>
      <c r="AB44" s="50">
        <f t="shared" si="83"/>
        <v>0</v>
      </c>
      <c r="AC44" s="50">
        <f t="shared" si="84"/>
        <v>0</v>
      </c>
      <c r="AD44" s="50">
        <f t="shared" si="85"/>
        <v>0</v>
      </c>
      <c r="AE44" s="50">
        <f t="shared" si="86"/>
        <v>0</v>
      </c>
      <c r="AF44" s="50">
        <f t="shared" si="87"/>
        <v>0</v>
      </c>
      <c r="AG44" s="50">
        <f t="shared" si="88"/>
        <v>0</v>
      </c>
      <c r="AH44" s="51">
        <f t="shared" si="89"/>
        <v>0</v>
      </c>
      <c r="AI44" s="51">
        <f t="shared" si="90"/>
        <v>83.333333333333343</v>
      </c>
      <c r="AJ44" s="53" t="s">
        <v>1948</v>
      </c>
      <c r="AK44" s="53" t="s">
        <v>1948</v>
      </c>
      <c r="AL44" s="53" t="s">
        <v>1948</v>
      </c>
      <c r="AM44" s="50">
        <f t="shared" si="91"/>
        <v>1</v>
      </c>
      <c r="AN44" s="50">
        <f t="shared" si="92"/>
        <v>1</v>
      </c>
      <c r="AO44" s="50">
        <f t="shared" si="93"/>
        <v>1</v>
      </c>
      <c r="AP44" s="50">
        <f t="shared" si="94"/>
        <v>3</v>
      </c>
      <c r="AQ44" s="50">
        <f t="shared" si="95"/>
        <v>100</v>
      </c>
      <c r="AR44" s="36" t="s">
        <v>2166</v>
      </c>
      <c r="AS44" s="36" t="s">
        <v>2166</v>
      </c>
      <c r="AT44" s="36" t="s">
        <v>2166</v>
      </c>
      <c r="AU44" s="37">
        <f t="shared" si="96"/>
        <v>1</v>
      </c>
      <c r="AV44" s="37">
        <f t="shared" si="97"/>
        <v>1</v>
      </c>
      <c r="AW44" s="37">
        <f t="shared" si="98"/>
        <v>1</v>
      </c>
      <c r="AX44" s="37">
        <f t="shared" si="99"/>
        <v>0</v>
      </c>
      <c r="AY44" s="37">
        <f t="shared" si="100"/>
        <v>0</v>
      </c>
      <c r="AZ44" s="36" t="s">
        <v>2167</v>
      </c>
      <c r="BA44" s="36" t="s">
        <v>2167</v>
      </c>
      <c r="BB44" s="37">
        <f t="shared" si="101"/>
        <v>1</v>
      </c>
      <c r="BC44" s="37">
        <f t="shared" si="102"/>
        <v>0.75</v>
      </c>
      <c r="BD44" s="37">
        <f t="shared" si="103"/>
        <v>0.75</v>
      </c>
      <c r="BE44" s="37">
        <f t="shared" si="104"/>
        <v>0</v>
      </c>
      <c r="BF44" s="36" t="s">
        <v>2167</v>
      </c>
      <c r="BG44" s="36" t="s">
        <v>2167</v>
      </c>
      <c r="BH44" s="37">
        <f t="shared" si="105"/>
        <v>1</v>
      </c>
      <c r="BI44" s="37">
        <f t="shared" si="106"/>
        <v>0.75</v>
      </c>
      <c r="BJ44" s="37">
        <f t="shared" si="107"/>
        <v>0.75</v>
      </c>
      <c r="BK44" s="37">
        <f t="shared" si="108"/>
        <v>0</v>
      </c>
      <c r="BL44" s="36" t="s">
        <v>2167</v>
      </c>
      <c r="BM44" s="36" t="s">
        <v>2167</v>
      </c>
      <c r="BN44" s="37">
        <f t="shared" si="109"/>
        <v>1</v>
      </c>
      <c r="BO44" s="37">
        <f t="shared" si="110"/>
        <v>0.75</v>
      </c>
      <c r="BP44" s="37">
        <f t="shared" si="111"/>
        <v>0.75</v>
      </c>
      <c r="BQ44" s="37">
        <f t="shared" si="112"/>
        <v>0</v>
      </c>
      <c r="BR44" s="37">
        <f t="shared" si="113"/>
        <v>0</v>
      </c>
      <c r="BS44" s="36" t="s">
        <v>2080</v>
      </c>
      <c r="BT44" s="36" t="s">
        <v>2080</v>
      </c>
      <c r="BU44" s="36" t="s">
        <v>2080</v>
      </c>
      <c r="BV44" s="36" t="s">
        <v>2080</v>
      </c>
      <c r="BW44" s="37">
        <f t="shared" si="114"/>
        <v>0</v>
      </c>
      <c r="BX44" s="37">
        <f t="shared" si="115"/>
        <v>0</v>
      </c>
      <c r="BY44" s="37">
        <f t="shared" si="116"/>
        <v>0</v>
      </c>
      <c r="BZ44" s="37">
        <f t="shared" si="117"/>
        <v>0</v>
      </c>
      <c r="CA44" s="37">
        <f t="shared" si="118"/>
        <v>0</v>
      </c>
      <c r="CB44" s="37">
        <f t="shared" si="119"/>
        <v>0</v>
      </c>
      <c r="CC44" s="37">
        <f t="shared" si="120"/>
        <v>0</v>
      </c>
      <c r="CD44" s="37">
        <f t="shared" si="121"/>
        <v>0</v>
      </c>
      <c r="CE44" s="36" t="s">
        <v>2067</v>
      </c>
      <c r="CF44" s="36" t="s">
        <v>2067</v>
      </c>
      <c r="CG44" s="36" t="s">
        <v>2067</v>
      </c>
      <c r="CH44" s="36" t="s">
        <v>2080</v>
      </c>
      <c r="CI44" s="37">
        <f t="shared" si="122"/>
        <v>0</v>
      </c>
      <c r="CJ44" s="37">
        <f t="shared" si="123"/>
        <v>0</v>
      </c>
      <c r="CK44" s="37">
        <f t="shared" si="124"/>
        <v>0</v>
      </c>
      <c r="CL44" s="37">
        <f t="shared" si="125"/>
        <v>0</v>
      </c>
      <c r="CM44" s="37">
        <f t="shared" si="126"/>
        <v>0</v>
      </c>
      <c r="CN44" s="37">
        <f t="shared" si="127"/>
        <v>0</v>
      </c>
      <c r="CO44" s="37">
        <f t="shared" si="128"/>
        <v>0</v>
      </c>
      <c r="CP44" s="37">
        <f t="shared" si="129"/>
        <v>0</v>
      </c>
      <c r="CQ44" s="37">
        <f t="shared" si="130"/>
        <v>3.3333333333333339</v>
      </c>
      <c r="CR44" s="37">
        <f t="shared" si="131"/>
        <v>5</v>
      </c>
      <c r="CS44" s="37">
        <f t="shared" si="132"/>
        <v>0</v>
      </c>
      <c r="CT44" s="37">
        <f t="shared" si="133"/>
        <v>10</v>
      </c>
      <c r="CU44" s="37">
        <f t="shared" si="134"/>
        <v>0</v>
      </c>
      <c r="CV44" s="37">
        <f t="shared" si="135"/>
        <v>0</v>
      </c>
      <c r="CW44" s="37">
        <f t="shared" si="136"/>
        <v>0</v>
      </c>
      <c r="CX44" s="37">
        <f t="shared" si="137"/>
        <v>0</v>
      </c>
      <c r="CY44" s="37">
        <f t="shared" si="138"/>
        <v>0</v>
      </c>
      <c r="CZ44" s="37">
        <f t="shared" si="139"/>
        <v>18.333333333333336</v>
      </c>
    </row>
    <row r="45" spans="1:104" x14ac:dyDescent="0.25">
      <c r="A45" s="149" t="s">
        <v>2207</v>
      </c>
      <c r="B45" s="53" t="s">
        <v>1947</v>
      </c>
      <c r="C45" s="53" t="s">
        <v>1948</v>
      </c>
      <c r="D45" s="53" t="s">
        <v>1947</v>
      </c>
      <c r="E45" s="61">
        <f t="shared" si="70"/>
        <v>0</v>
      </c>
      <c r="F45" s="61">
        <f t="shared" si="71"/>
        <v>1</v>
      </c>
      <c r="G45" s="61">
        <f t="shared" si="72"/>
        <v>0</v>
      </c>
      <c r="H45" s="61">
        <f t="shared" si="73"/>
        <v>1</v>
      </c>
      <c r="I45" s="53" t="s">
        <v>2165</v>
      </c>
      <c r="J45" s="53" t="s">
        <v>2165</v>
      </c>
      <c r="K45" s="53" t="s">
        <v>1948</v>
      </c>
      <c r="L45" s="61">
        <f t="shared" si="74"/>
        <v>0</v>
      </c>
      <c r="M45" s="61">
        <f t="shared" si="75"/>
        <v>0</v>
      </c>
      <c r="N45" s="61">
        <f t="shared" si="76"/>
        <v>1</v>
      </c>
      <c r="O45" s="61">
        <f t="shared" si="77"/>
        <v>1</v>
      </c>
      <c r="P45" s="61">
        <f t="shared" si="78"/>
        <v>33.333333333333336</v>
      </c>
      <c r="Q45" s="53" t="s">
        <v>1948</v>
      </c>
      <c r="R45" s="53" t="s">
        <v>1947</v>
      </c>
      <c r="S45" s="61">
        <f t="shared" si="79"/>
        <v>1</v>
      </c>
      <c r="T45" s="61">
        <f t="shared" si="80"/>
        <v>0</v>
      </c>
      <c r="U45" s="61">
        <f t="shared" si="81"/>
        <v>1</v>
      </c>
      <c r="V45" s="61">
        <f t="shared" si="82"/>
        <v>50</v>
      </c>
      <c r="W45" s="53" t="s">
        <v>1947</v>
      </c>
      <c r="X45" s="53" t="s">
        <v>1947</v>
      </c>
      <c r="Y45" s="53" t="s">
        <v>1947</v>
      </c>
      <c r="Z45" s="53" t="s">
        <v>1947</v>
      </c>
      <c r="AA45" s="53" t="s">
        <v>1947</v>
      </c>
      <c r="AB45" s="50">
        <f t="shared" si="83"/>
        <v>0</v>
      </c>
      <c r="AC45" s="50">
        <f t="shared" si="84"/>
        <v>0</v>
      </c>
      <c r="AD45" s="50">
        <f t="shared" si="85"/>
        <v>0</v>
      </c>
      <c r="AE45" s="50">
        <f t="shared" si="86"/>
        <v>0</v>
      </c>
      <c r="AF45" s="50">
        <f t="shared" si="87"/>
        <v>0</v>
      </c>
      <c r="AG45" s="50">
        <f t="shared" si="88"/>
        <v>0</v>
      </c>
      <c r="AH45" s="51">
        <f t="shared" si="89"/>
        <v>0</v>
      </c>
      <c r="AI45" s="51">
        <f t="shared" si="90"/>
        <v>83.333333333333343</v>
      </c>
      <c r="AJ45" s="53" t="s">
        <v>1948</v>
      </c>
      <c r="AK45" s="53" t="s">
        <v>1948</v>
      </c>
      <c r="AL45" s="53" t="s">
        <v>1948</v>
      </c>
      <c r="AM45" s="50">
        <f t="shared" si="91"/>
        <v>1</v>
      </c>
      <c r="AN45" s="50">
        <f t="shared" si="92"/>
        <v>1</v>
      </c>
      <c r="AO45" s="50">
        <f t="shared" si="93"/>
        <v>1</v>
      </c>
      <c r="AP45" s="50">
        <f t="shared" si="94"/>
        <v>3</v>
      </c>
      <c r="AQ45" s="50">
        <f t="shared" si="95"/>
        <v>100</v>
      </c>
      <c r="AR45" s="36" t="s">
        <v>2166</v>
      </c>
      <c r="AS45" s="36" t="s">
        <v>2166</v>
      </c>
      <c r="AT45" s="36" t="s">
        <v>2166</v>
      </c>
      <c r="AU45" s="37">
        <f t="shared" si="96"/>
        <v>1</v>
      </c>
      <c r="AV45" s="37">
        <f t="shared" si="97"/>
        <v>1</v>
      </c>
      <c r="AW45" s="37">
        <f t="shared" si="98"/>
        <v>1</v>
      </c>
      <c r="AX45" s="37">
        <f t="shared" si="99"/>
        <v>0</v>
      </c>
      <c r="AY45" s="37">
        <f t="shared" si="100"/>
        <v>0</v>
      </c>
      <c r="AZ45" s="36" t="s">
        <v>2167</v>
      </c>
      <c r="BA45" s="36" t="s">
        <v>2167</v>
      </c>
      <c r="BB45" s="37">
        <f t="shared" si="101"/>
        <v>1</v>
      </c>
      <c r="BC45" s="37">
        <f t="shared" si="102"/>
        <v>0.75</v>
      </c>
      <c r="BD45" s="37">
        <f t="shared" si="103"/>
        <v>0.75</v>
      </c>
      <c r="BE45" s="37">
        <f t="shared" si="104"/>
        <v>0</v>
      </c>
      <c r="BF45" s="36" t="s">
        <v>2167</v>
      </c>
      <c r="BG45" s="36" t="s">
        <v>2167</v>
      </c>
      <c r="BH45" s="37">
        <f t="shared" si="105"/>
        <v>1</v>
      </c>
      <c r="BI45" s="37">
        <f t="shared" si="106"/>
        <v>0.75</v>
      </c>
      <c r="BJ45" s="37">
        <f t="shared" si="107"/>
        <v>0.75</v>
      </c>
      <c r="BK45" s="37">
        <f t="shared" si="108"/>
        <v>0</v>
      </c>
      <c r="BL45" s="36" t="s">
        <v>2167</v>
      </c>
      <c r="BM45" s="36" t="s">
        <v>2167</v>
      </c>
      <c r="BN45" s="37">
        <f t="shared" si="109"/>
        <v>1</v>
      </c>
      <c r="BO45" s="37">
        <f t="shared" si="110"/>
        <v>0.75</v>
      </c>
      <c r="BP45" s="37">
        <f t="shared" si="111"/>
        <v>0.75</v>
      </c>
      <c r="BQ45" s="37">
        <f t="shared" si="112"/>
        <v>0</v>
      </c>
      <c r="BR45" s="37">
        <f t="shared" si="113"/>
        <v>0</v>
      </c>
      <c r="BS45" s="36" t="s">
        <v>2080</v>
      </c>
      <c r="BT45" s="36" t="s">
        <v>2080</v>
      </c>
      <c r="BU45" s="36" t="s">
        <v>2080</v>
      </c>
      <c r="BV45" s="36" t="s">
        <v>2080</v>
      </c>
      <c r="BW45" s="37">
        <f t="shared" si="114"/>
        <v>0</v>
      </c>
      <c r="BX45" s="37">
        <f t="shared" si="115"/>
        <v>0</v>
      </c>
      <c r="BY45" s="37">
        <f t="shared" si="116"/>
        <v>0</v>
      </c>
      <c r="BZ45" s="37">
        <f t="shared" si="117"/>
        <v>0</v>
      </c>
      <c r="CA45" s="37">
        <f t="shared" si="118"/>
        <v>0</v>
      </c>
      <c r="CB45" s="37">
        <f t="shared" si="119"/>
        <v>0</v>
      </c>
      <c r="CC45" s="37">
        <f t="shared" si="120"/>
        <v>0</v>
      </c>
      <c r="CD45" s="37">
        <f t="shared" si="121"/>
        <v>0</v>
      </c>
      <c r="CE45" s="36" t="s">
        <v>2067</v>
      </c>
      <c r="CF45" s="36" t="s">
        <v>2067</v>
      </c>
      <c r="CG45" s="36" t="s">
        <v>2067</v>
      </c>
      <c r="CH45" s="36" t="s">
        <v>2080</v>
      </c>
      <c r="CI45" s="37">
        <f t="shared" si="122"/>
        <v>0</v>
      </c>
      <c r="CJ45" s="37">
        <f t="shared" si="123"/>
        <v>0</v>
      </c>
      <c r="CK45" s="37">
        <f t="shared" si="124"/>
        <v>0</v>
      </c>
      <c r="CL45" s="37">
        <f t="shared" si="125"/>
        <v>0</v>
      </c>
      <c r="CM45" s="37">
        <f t="shared" si="126"/>
        <v>0</v>
      </c>
      <c r="CN45" s="37">
        <f t="shared" si="127"/>
        <v>0</v>
      </c>
      <c r="CO45" s="37">
        <f t="shared" si="128"/>
        <v>0</v>
      </c>
      <c r="CP45" s="37">
        <f t="shared" si="129"/>
        <v>0</v>
      </c>
      <c r="CQ45" s="37">
        <f t="shared" si="130"/>
        <v>3.3333333333333339</v>
      </c>
      <c r="CR45" s="37">
        <f t="shared" si="131"/>
        <v>5</v>
      </c>
      <c r="CS45" s="37">
        <f t="shared" si="132"/>
        <v>0</v>
      </c>
      <c r="CT45" s="37">
        <f t="shared" si="133"/>
        <v>10</v>
      </c>
      <c r="CU45" s="37">
        <f t="shared" si="134"/>
        <v>0</v>
      </c>
      <c r="CV45" s="37">
        <f t="shared" si="135"/>
        <v>0</v>
      </c>
      <c r="CW45" s="37">
        <f t="shared" si="136"/>
        <v>0</v>
      </c>
      <c r="CX45" s="37">
        <f t="shared" si="137"/>
        <v>0</v>
      </c>
      <c r="CY45" s="37">
        <f t="shared" si="138"/>
        <v>0</v>
      </c>
      <c r="CZ45" s="37">
        <f t="shared" si="139"/>
        <v>18.333333333333336</v>
      </c>
    </row>
    <row r="46" spans="1:104" x14ac:dyDescent="0.25">
      <c r="A46" s="149" t="s">
        <v>2208</v>
      </c>
      <c r="B46" s="53" t="s">
        <v>1947</v>
      </c>
      <c r="C46" s="53" t="s">
        <v>1948</v>
      </c>
      <c r="D46" s="53" t="s">
        <v>1947</v>
      </c>
      <c r="E46" s="61">
        <f t="shared" si="70"/>
        <v>0</v>
      </c>
      <c r="F46" s="61">
        <f t="shared" si="71"/>
        <v>1</v>
      </c>
      <c r="G46" s="61">
        <f t="shared" si="72"/>
        <v>0</v>
      </c>
      <c r="H46" s="61">
        <f t="shared" si="73"/>
        <v>1</v>
      </c>
      <c r="I46" s="53" t="s">
        <v>2165</v>
      </c>
      <c r="J46" s="53" t="s">
        <v>2165</v>
      </c>
      <c r="K46" s="53" t="s">
        <v>1948</v>
      </c>
      <c r="L46" s="61">
        <f t="shared" si="74"/>
        <v>0</v>
      </c>
      <c r="M46" s="61">
        <f t="shared" si="75"/>
        <v>0</v>
      </c>
      <c r="N46" s="61">
        <f t="shared" si="76"/>
        <v>1</v>
      </c>
      <c r="O46" s="61">
        <f t="shared" si="77"/>
        <v>1</v>
      </c>
      <c r="P46" s="61">
        <f t="shared" si="78"/>
        <v>33.333333333333336</v>
      </c>
      <c r="Q46" s="53" t="s">
        <v>1948</v>
      </c>
      <c r="R46" s="53" t="s">
        <v>1947</v>
      </c>
      <c r="S46" s="61">
        <f t="shared" si="79"/>
        <v>1</v>
      </c>
      <c r="T46" s="61">
        <f t="shared" si="80"/>
        <v>0</v>
      </c>
      <c r="U46" s="61">
        <f t="shared" si="81"/>
        <v>1</v>
      </c>
      <c r="V46" s="61">
        <f t="shared" si="82"/>
        <v>50</v>
      </c>
      <c r="W46" s="53" t="s">
        <v>1947</v>
      </c>
      <c r="X46" s="53" t="s">
        <v>1947</v>
      </c>
      <c r="Y46" s="53" t="s">
        <v>1947</v>
      </c>
      <c r="Z46" s="53" t="s">
        <v>1947</v>
      </c>
      <c r="AA46" s="53" t="s">
        <v>1947</v>
      </c>
      <c r="AB46" s="50">
        <f t="shared" si="83"/>
        <v>0</v>
      </c>
      <c r="AC46" s="50">
        <f t="shared" si="84"/>
        <v>0</v>
      </c>
      <c r="AD46" s="50">
        <f t="shared" si="85"/>
        <v>0</v>
      </c>
      <c r="AE46" s="50">
        <f t="shared" si="86"/>
        <v>0</v>
      </c>
      <c r="AF46" s="50">
        <f t="shared" si="87"/>
        <v>0</v>
      </c>
      <c r="AG46" s="50">
        <f t="shared" si="88"/>
        <v>0</v>
      </c>
      <c r="AH46" s="51">
        <f t="shared" si="89"/>
        <v>0</v>
      </c>
      <c r="AI46" s="51">
        <f t="shared" si="90"/>
        <v>83.333333333333343</v>
      </c>
      <c r="AJ46" s="53" t="s">
        <v>1948</v>
      </c>
      <c r="AK46" s="53" t="s">
        <v>1948</v>
      </c>
      <c r="AL46" s="53" t="s">
        <v>1948</v>
      </c>
      <c r="AM46" s="50">
        <f t="shared" si="91"/>
        <v>1</v>
      </c>
      <c r="AN46" s="50">
        <f t="shared" si="92"/>
        <v>1</v>
      </c>
      <c r="AO46" s="50">
        <f t="shared" si="93"/>
        <v>1</v>
      </c>
      <c r="AP46" s="50">
        <f t="shared" si="94"/>
        <v>3</v>
      </c>
      <c r="AQ46" s="50">
        <f t="shared" si="95"/>
        <v>100</v>
      </c>
      <c r="AR46" s="36" t="s">
        <v>2166</v>
      </c>
      <c r="AS46" s="36" t="s">
        <v>2166</v>
      </c>
      <c r="AT46" s="36" t="s">
        <v>2166</v>
      </c>
      <c r="AU46" s="37">
        <f t="shared" si="96"/>
        <v>1</v>
      </c>
      <c r="AV46" s="37">
        <f t="shared" si="97"/>
        <v>1</v>
      </c>
      <c r="AW46" s="37">
        <f t="shared" si="98"/>
        <v>1</v>
      </c>
      <c r="AX46" s="37">
        <f t="shared" si="99"/>
        <v>0</v>
      </c>
      <c r="AY46" s="37">
        <f t="shared" si="100"/>
        <v>0</v>
      </c>
      <c r="AZ46" s="36" t="s">
        <v>2167</v>
      </c>
      <c r="BA46" s="36" t="s">
        <v>2167</v>
      </c>
      <c r="BB46" s="37">
        <f t="shared" si="101"/>
        <v>1</v>
      </c>
      <c r="BC46" s="37">
        <f t="shared" si="102"/>
        <v>0.75</v>
      </c>
      <c r="BD46" s="37">
        <f t="shared" si="103"/>
        <v>0.75</v>
      </c>
      <c r="BE46" s="37">
        <f t="shared" si="104"/>
        <v>0</v>
      </c>
      <c r="BF46" s="36" t="s">
        <v>2167</v>
      </c>
      <c r="BG46" s="36" t="s">
        <v>2167</v>
      </c>
      <c r="BH46" s="37">
        <f t="shared" si="105"/>
        <v>1</v>
      </c>
      <c r="BI46" s="37">
        <f t="shared" si="106"/>
        <v>0.75</v>
      </c>
      <c r="BJ46" s="37">
        <f t="shared" si="107"/>
        <v>0.75</v>
      </c>
      <c r="BK46" s="37">
        <f t="shared" si="108"/>
        <v>0</v>
      </c>
      <c r="BL46" s="36" t="s">
        <v>2167</v>
      </c>
      <c r="BM46" s="36" t="s">
        <v>2167</v>
      </c>
      <c r="BN46" s="37">
        <f t="shared" si="109"/>
        <v>1</v>
      </c>
      <c r="BO46" s="37">
        <f t="shared" si="110"/>
        <v>0.75</v>
      </c>
      <c r="BP46" s="37">
        <f t="shared" si="111"/>
        <v>0.75</v>
      </c>
      <c r="BQ46" s="37">
        <f t="shared" si="112"/>
        <v>0</v>
      </c>
      <c r="BR46" s="37">
        <f t="shared" si="113"/>
        <v>0</v>
      </c>
      <c r="BS46" s="36" t="s">
        <v>2080</v>
      </c>
      <c r="BT46" s="36" t="s">
        <v>2080</v>
      </c>
      <c r="BU46" s="36" t="s">
        <v>2080</v>
      </c>
      <c r="BV46" s="36" t="s">
        <v>2080</v>
      </c>
      <c r="BW46" s="37">
        <f t="shared" si="114"/>
        <v>0</v>
      </c>
      <c r="BX46" s="37">
        <f t="shared" si="115"/>
        <v>0</v>
      </c>
      <c r="BY46" s="37">
        <f t="shared" si="116"/>
        <v>0</v>
      </c>
      <c r="BZ46" s="37">
        <f t="shared" si="117"/>
        <v>0</v>
      </c>
      <c r="CA46" s="37">
        <f t="shared" si="118"/>
        <v>0</v>
      </c>
      <c r="CB46" s="37">
        <f t="shared" si="119"/>
        <v>0</v>
      </c>
      <c r="CC46" s="37">
        <f t="shared" si="120"/>
        <v>0</v>
      </c>
      <c r="CD46" s="37">
        <f t="shared" si="121"/>
        <v>0</v>
      </c>
      <c r="CE46" s="36" t="s">
        <v>2067</v>
      </c>
      <c r="CF46" s="36" t="s">
        <v>2067</v>
      </c>
      <c r="CG46" s="36" t="s">
        <v>2067</v>
      </c>
      <c r="CH46" s="36" t="s">
        <v>2080</v>
      </c>
      <c r="CI46" s="37">
        <f t="shared" si="122"/>
        <v>0</v>
      </c>
      <c r="CJ46" s="37">
        <f t="shared" si="123"/>
        <v>0</v>
      </c>
      <c r="CK46" s="37">
        <f t="shared" si="124"/>
        <v>0</v>
      </c>
      <c r="CL46" s="37">
        <f t="shared" si="125"/>
        <v>0</v>
      </c>
      <c r="CM46" s="37">
        <f t="shared" si="126"/>
        <v>0</v>
      </c>
      <c r="CN46" s="37">
        <f t="shared" si="127"/>
        <v>0</v>
      </c>
      <c r="CO46" s="37">
        <f t="shared" si="128"/>
        <v>0</v>
      </c>
      <c r="CP46" s="37">
        <f t="shared" si="129"/>
        <v>0</v>
      </c>
      <c r="CQ46" s="37">
        <f t="shared" si="130"/>
        <v>3.3333333333333339</v>
      </c>
      <c r="CR46" s="37">
        <f t="shared" si="131"/>
        <v>5</v>
      </c>
      <c r="CS46" s="37">
        <f t="shared" si="132"/>
        <v>0</v>
      </c>
      <c r="CT46" s="37">
        <f t="shared" si="133"/>
        <v>10</v>
      </c>
      <c r="CU46" s="37">
        <f t="shared" si="134"/>
        <v>0</v>
      </c>
      <c r="CV46" s="37">
        <f t="shared" si="135"/>
        <v>0</v>
      </c>
      <c r="CW46" s="37">
        <f t="shared" si="136"/>
        <v>0</v>
      </c>
      <c r="CX46" s="37">
        <f t="shared" si="137"/>
        <v>0</v>
      </c>
      <c r="CY46" s="37">
        <f t="shared" si="138"/>
        <v>0</v>
      </c>
      <c r="CZ46" s="37">
        <f t="shared" si="139"/>
        <v>18.333333333333336</v>
      </c>
    </row>
    <row r="47" spans="1:104" x14ac:dyDescent="0.25">
      <c r="A47" s="149" t="s">
        <v>2209</v>
      </c>
      <c r="B47" s="53" t="s">
        <v>1947</v>
      </c>
      <c r="C47" s="53" t="s">
        <v>1948</v>
      </c>
      <c r="D47" s="53" t="s">
        <v>1947</v>
      </c>
      <c r="E47" s="61">
        <f t="shared" si="70"/>
        <v>0</v>
      </c>
      <c r="F47" s="61">
        <f t="shared" si="71"/>
        <v>1</v>
      </c>
      <c r="G47" s="61">
        <f t="shared" si="72"/>
        <v>0</v>
      </c>
      <c r="H47" s="61">
        <f t="shared" si="73"/>
        <v>1</v>
      </c>
      <c r="I47" s="53" t="s">
        <v>2165</v>
      </c>
      <c r="J47" s="53" t="s">
        <v>2165</v>
      </c>
      <c r="K47" s="53" t="s">
        <v>1948</v>
      </c>
      <c r="L47" s="61">
        <f t="shared" si="74"/>
        <v>0</v>
      </c>
      <c r="M47" s="61">
        <f t="shared" si="75"/>
        <v>0</v>
      </c>
      <c r="N47" s="61">
        <f t="shared" si="76"/>
        <v>1</v>
      </c>
      <c r="O47" s="61">
        <f t="shared" si="77"/>
        <v>1</v>
      </c>
      <c r="P47" s="61">
        <f t="shared" si="78"/>
        <v>33.333333333333336</v>
      </c>
      <c r="Q47" s="53" t="s">
        <v>1948</v>
      </c>
      <c r="R47" s="53" t="s">
        <v>1947</v>
      </c>
      <c r="S47" s="61">
        <f t="shared" si="79"/>
        <v>1</v>
      </c>
      <c r="T47" s="61">
        <f t="shared" si="80"/>
        <v>0</v>
      </c>
      <c r="U47" s="61">
        <f t="shared" si="81"/>
        <v>1</v>
      </c>
      <c r="V47" s="61">
        <f t="shared" si="82"/>
        <v>50</v>
      </c>
      <c r="W47" s="53" t="s">
        <v>1947</v>
      </c>
      <c r="X47" s="53" t="s">
        <v>1947</v>
      </c>
      <c r="Y47" s="53" t="s">
        <v>1947</v>
      </c>
      <c r="Z47" s="53" t="s">
        <v>1947</v>
      </c>
      <c r="AA47" s="53" t="s">
        <v>1947</v>
      </c>
      <c r="AB47" s="50">
        <f t="shared" si="83"/>
        <v>0</v>
      </c>
      <c r="AC47" s="50">
        <f t="shared" si="84"/>
        <v>0</v>
      </c>
      <c r="AD47" s="50">
        <f t="shared" si="85"/>
        <v>0</v>
      </c>
      <c r="AE47" s="50">
        <f t="shared" si="86"/>
        <v>0</v>
      </c>
      <c r="AF47" s="50">
        <f t="shared" si="87"/>
        <v>0</v>
      </c>
      <c r="AG47" s="50">
        <f t="shared" si="88"/>
        <v>0</v>
      </c>
      <c r="AH47" s="51">
        <f t="shared" si="89"/>
        <v>0</v>
      </c>
      <c r="AI47" s="51">
        <f t="shared" si="90"/>
        <v>83.333333333333343</v>
      </c>
      <c r="AJ47" s="53" t="s">
        <v>1948</v>
      </c>
      <c r="AK47" s="53" t="s">
        <v>1948</v>
      </c>
      <c r="AL47" s="53" t="s">
        <v>1948</v>
      </c>
      <c r="AM47" s="50">
        <f t="shared" si="91"/>
        <v>1</v>
      </c>
      <c r="AN47" s="50">
        <f t="shared" si="92"/>
        <v>1</v>
      </c>
      <c r="AO47" s="50">
        <f t="shared" si="93"/>
        <v>1</v>
      </c>
      <c r="AP47" s="50">
        <f t="shared" si="94"/>
        <v>3</v>
      </c>
      <c r="AQ47" s="50">
        <f t="shared" si="95"/>
        <v>100</v>
      </c>
      <c r="AR47" s="36" t="s">
        <v>2166</v>
      </c>
      <c r="AS47" s="36" t="s">
        <v>2166</v>
      </c>
      <c r="AT47" s="36" t="s">
        <v>2166</v>
      </c>
      <c r="AU47" s="37">
        <f t="shared" si="96"/>
        <v>1</v>
      </c>
      <c r="AV47" s="37">
        <f t="shared" si="97"/>
        <v>1</v>
      </c>
      <c r="AW47" s="37">
        <f t="shared" si="98"/>
        <v>1</v>
      </c>
      <c r="AX47" s="37">
        <f t="shared" si="99"/>
        <v>0</v>
      </c>
      <c r="AY47" s="37">
        <f t="shared" si="100"/>
        <v>0</v>
      </c>
      <c r="AZ47" s="36" t="s">
        <v>2167</v>
      </c>
      <c r="BA47" s="36" t="s">
        <v>2167</v>
      </c>
      <c r="BB47" s="37">
        <f t="shared" si="101"/>
        <v>1</v>
      </c>
      <c r="BC47" s="37">
        <f t="shared" si="102"/>
        <v>0.75</v>
      </c>
      <c r="BD47" s="37">
        <f t="shared" si="103"/>
        <v>0.75</v>
      </c>
      <c r="BE47" s="37">
        <f t="shared" si="104"/>
        <v>0</v>
      </c>
      <c r="BF47" s="36" t="s">
        <v>2167</v>
      </c>
      <c r="BG47" s="36" t="s">
        <v>2167</v>
      </c>
      <c r="BH47" s="37">
        <f t="shared" si="105"/>
        <v>1</v>
      </c>
      <c r="BI47" s="37">
        <f t="shared" si="106"/>
        <v>0.75</v>
      </c>
      <c r="BJ47" s="37">
        <f t="shared" si="107"/>
        <v>0.75</v>
      </c>
      <c r="BK47" s="37">
        <f t="shared" si="108"/>
        <v>0</v>
      </c>
      <c r="BL47" s="36" t="s">
        <v>2167</v>
      </c>
      <c r="BM47" s="36" t="s">
        <v>2167</v>
      </c>
      <c r="BN47" s="37">
        <f t="shared" si="109"/>
        <v>1</v>
      </c>
      <c r="BO47" s="37">
        <f t="shared" si="110"/>
        <v>0.75</v>
      </c>
      <c r="BP47" s="37">
        <f t="shared" si="111"/>
        <v>0.75</v>
      </c>
      <c r="BQ47" s="37">
        <f t="shared" si="112"/>
        <v>0</v>
      </c>
      <c r="BR47" s="37">
        <f t="shared" si="113"/>
        <v>0</v>
      </c>
      <c r="BS47" s="36" t="s">
        <v>2080</v>
      </c>
      <c r="BT47" s="36" t="s">
        <v>2080</v>
      </c>
      <c r="BU47" s="36" t="s">
        <v>2080</v>
      </c>
      <c r="BV47" s="36" t="s">
        <v>2080</v>
      </c>
      <c r="BW47" s="37">
        <f t="shared" si="114"/>
        <v>0</v>
      </c>
      <c r="BX47" s="37">
        <f t="shared" si="115"/>
        <v>0</v>
      </c>
      <c r="BY47" s="37">
        <f t="shared" si="116"/>
        <v>0</v>
      </c>
      <c r="BZ47" s="37">
        <f t="shared" si="117"/>
        <v>0</v>
      </c>
      <c r="CA47" s="37">
        <f t="shared" si="118"/>
        <v>0</v>
      </c>
      <c r="CB47" s="37">
        <f t="shared" si="119"/>
        <v>0</v>
      </c>
      <c r="CC47" s="37">
        <f t="shared" si="120"/>
        <v>0</v>
      </c>
      <c r="CD47" s="37">
        <f t="shared" si="121"/>
        <v>0</v>
      </c>
      <c r="CE47" s="36" t="s">
        <v>2067</v>
      </c>
      <c r="CF47" s="36" t="s">
        <v>2067</v>
      </c>
      <c r="CG47" s="36" t="s">
        <v>2067</v>
      </c>
      <c r="CH47" s="36" t="s">
        <v>2080</v>
      </c>
      <c r="CI47" s="37">
        <f t="shared" si="122"/>
        <v>0</v>
      </c>
      <c r="CJ47" s="37">
        <f t="shared" si="123"/>
        <v>0</v>
      </c>
      <c r="CK47" s="37">
        <f t="shared" si="124"/>
        <v>0</v>
      </c>
      <c r="CL47" s="37">
        <f t="shared" si="125"/>
        <v>0</v>
      </c>
      <c r="CM47" s="37">
        <f t="shared" si="126"/>
        <v>0</v>
      </c>
      <c r="CN47" s="37">
        <f t="shared" si="127"/>
        <v>0</v>
      </c>
      <c r="CO47" s="37">
        <f t="shared" si="128"/>
        <v>0</v>
      </c>
      <c r="CP47" s="37">
        <f t="shared" si="129"/>
        <v>0</v>
      </c>
      <c r="CQ47" s="37">
        <f t="shared" si="130"/>
        <v>3.3333333333333339</v>
      </c>
      <c r="CR47" s="37">
        <f t="shared" si="131"/>
        <v>5</v>
      </c>
      <c r="CS47" s="37">
        <f t="shared" si="132"/>
        <v>0</v>
      </c>
      <c r="CT47" s="37">
        <f t="shared" si="133"/>
        <v>10</v>
      </c>
      <c r="CU47" s="37">
        <f t="shared" si="134"/>
        <v>0</v>
      </c>
      <c r="CV47" s="37">
        <f t="shared" si="135"/>
        <v>0</v>
      </c>
      <c r="CW47" s="37">
        <f t="shared" si="136"/>
        <v>0</v>
      </c>
      <c r="CX47" s="37">
        <f t="shared" si="137"/>
        <v>0</v>
      </c>
      <c r="CY47" s="37">
        <f t="shared" si="138"/>
        <v>0</v>
      </c>
      <c r="CZ47" s="37">
        <f t="shared" si="139"/>
        <v>18.333333333333336</v>
      </c>
    </row>
    <row r="48" spans="1:104" x14ac:dyDescent="0.25">
      <c r="A48" s="149" t="s">
        <v>2210</v>
      </c>
      <c r="B48" s="53" t="s">
        <v>1947</v>
      </c>
      <c r="C48" s="53" t="s">
        <v>1948</v>
      </c>
      <c r="D48" s="53" t="s">
        <v>1947</v>
      </c>
      <c r="E48" s="61">
        <f t="shared" si="70"/>
        <v>0</v>
      </c>
      <c r="F48" s="61">
        <f t="shared" si="71"/>
        <v>1</v>
      </c>
      <c r="G48" s="61">
        <f t="shared" si="72"/>
        <v>0</v>
      </c>
      <c r="H48" s="61">
        <f t="shared" si="73"/>
        <v>1</v>
      </c>
      <c r="I48" s="53" t="s">
        <v>2165</v>
      </c>
      <c r="J48" s="53" t="s">
        <v>2165</v>
      </c>
      <c r="K48" s="53" t="s">
        <v>1948</v>
      </c>
      <c r="L48" s="61">
        <f t="shared" si="74"/>
        <v>0</v>
      </c>
      <c r="M48" s="61">
        <f t="shared" si="75"/>
        <v>0</v>
      </c>
      <c r="N48" s="61">
        <f t="shared" si="76"/>
        <v>1</v>
      </c>
      <c r="O48" s="61">
        <f t="shared" si="77"/>
        <v>1</v>
      </c>
      <c r="P48" s="61">
        <f t="shared" si="78"/>
        <v>33.333333333333336</v>
      </c>
      <c r="Q48" s="53" t="s">
        <v>1948</v>
      </c>
      <c r="R48" s="53" t="s">
        <v>1947</v>
      </c>
      <c r="S48" s="61">
        <f t="shared" si="79"/>
        <v>1</v>
      </c>
      <c r="T48" s="61">
        <f t="shared" si="80"/>
        <v>0</v>
      </c>
      <c r="U48" s="61">
        <f t="shared" si="81"/>
        <v>1</v>
      </c>
      <c r="V48" s="61">
        <f t="shared" si="82"/>
        <v>50</v>
      </c>
      <c r="W48" s="53" t="s">
        <v>1947</v>
      </c>
      <c r="X48" s="53" t="s">
        <v>1947</v>
      </c>
      <c r="Y48" s="53" t="s">
        <v>1947</v>
      </c>
      <c r="Z48" s="53" t="s">
        <v>1947</v>
      </c>
      <c r="AA48" s="53" t="s">
        <v>1947</v>
      </c>
      <c r="AB48" s="50">
        <f t="shared" si="83"/>
        <v>0</v>
      </c>
      <c r="AC48" s="50">
        <f t="shared" si="84"/>
        <v>0</v>
      </c>
      <c r="AD48" s="50">
        <f t="shared" si="85"/>
        <v>0</v>
      </c>
      <c r="AE48" s="50">
        <f t="shared" si="86"/>
        <v>0</v>
      </c>
      <c r="AF48" s="50">
        <f t="shared" si="87"/>
        <v>0</v>
      </c>
      <c r="AG48" s="50">
        <f t="shared" si="88"/>
        <v>0</v>
      </c>
      <c r="AH48" s="51">
        <f t="shared" si="89"/>
        <v>0</v>
      </c>
      <c r="AI48" s="51">
        <f t="shared" si="90"/>
        <v>83.333333333333343</v>
      </c>
      <c r="AJ48" s="53" t="s">
        <v>1948</v>
      </c>
      <c r="AK48" s="53" t="s">
        <v>1948</v>
      </c>
      <c r="AL48" s="53" t="s">
        <v>1948</v>
      </c>
      <c r="AM48" s="50">
        <f t="shared" si="91"/>
        <v>1</v>
      </c>
      <c r="AN48" s="50">
        <f t="shared" si="92"/>
        <v>1</v>
      </c>
      <c r="AO48" s="50">
        <f t="shared" si="93"/>
        <v>1</v>
      </c>
      <c r="AP48" s="50">
        <f t="shared" si="94"/>
        <v>3</v>
      </c>
      <c r="AQ48" s="50">
        <f t="shared" si="95"/>
        <v>100</v>
      </c>
      <c r="AR48" s="36" t="s">
        <v>2166</v>
      </c>
      <c r="AS48" s="36" t="s">
        <v>2166</v>
      </c>
      <c r="AT48" s="36" t="s">
        <v>2166</v>
      </c>
      <c r="AU48" s="37">
        <f t="shared" si="96"/>
        <v>1</v>
      </c>
      <c r="AV48" s="37">
        <f t="shared" si="97"/>
        <v>1</v>
      </c>
      <c r="AW48" s="37">
        <f t="shared" si="98"/>
        <v>1</v>
      </c>
      <c r="AX48" s="37">
        <f t="shared" si="99"/>
        <v>0</v>
      </c>
      <c r="AY48" s="37">
        <f t="shared" si="100"/>
        <v>0</v>
      </c>
      <c r="AZ48" s="36" t="s">
        <v>2167</v>
      </c>
      <c r="BA48" s="36" t="s">
        <v>2167</v>
      </c>
      <c r="BB48" s="37">
        <f t="shared" si="101"/>
        <v>1</v>
      </c>
      <c r="BC48" s="37">
        <f t="shared" si="102"/>
        <v>0.75</v>
      </c>
      <c r="BD48" s="37">
        <f t="shared" si="103"/>
        <v>0.75</v>
      </c>
      <c r="BE48" s="37">
        <f t="shared" si="104"/>
        <v>0</v>
      </c>
      <c r="BF48" s="36" t="s">
        <v>2167</v>
      </c>
      <c r="BG48" s="36" t="s">
        <v>2167</v>
      </c>
      <c r="BH48" s="37">
        <f t="shared" si="105"/>
        <v>1</v>
      </c>
      <c r="BI48" s="37">
        <f t="shared" si="106"/>
        <v>0.75</v>
      </c>
      <c r="BJ48" s="37">
        <f t="shared" si="107"/>
        <v>0.75</v>
      </c>
      <c r="BK48" s="37">
        <f t="shared" si="108"/>
        <v>0</v>
      </c>
      <c r="BL48" s="36" t="s">
        <v>2167</v>
      </c>
      <c r="BM48" s="36" t="s">
        <v>2167</v>
      </c>
      <c r="BN48" s="37">
        <f t="shared" si="109"/>
        <v>1</v>
      </c>
      <c r="BO48" s="37">
        <f t="shared" si="110"/>
        <v>0.75</v>
      </c>
      <c r="BP48" s="37">
        <f t="shared" si="111"/>
        <v>0.75</v>
      </c>
      <c r="BQ48" s="37">
        <f t="shared" si="112"/>
        <v>0</v>
      </c>
      <c r="BR48" s="37">
        <f t="shared" si="113"/>
        <v>0</v>
      </c>
      <c r="BS48" s="36" t="s">
        <v>2080</v>
      </c>
      <c r="BT48" s="36" t="s">
        <v>2080</v>
      </c>
      <c r="BU48" s="36" t="s">
        <v>2080</v>
      </c>
      <c r="BV48" s="36" t="s">
        <v>2080</v>
      </c>
      <c r="BW48" s="37">
        <f t="shared" si="114"/>
        <v>0</v>
      </c>
      <c r="BX48" s="37">
        <f t="shared" si="115"/>
        <v>0</v>
      </c>
      <c r="BY48" s="37">
        <f t="shared" si="116"/>
        <v>0</v>
      </c>
      <c r="BZ48" s="37">
        <f t="shared" si="117"/>
        <v>0</v>
      </c>
      <c r="CA48" s="37">
        <f t="shared" si="118"/>
        <v>0</v>
      </c>
      <c r="CB48" s="37">
        <f t="shared" si="119"/>
        <v>0</v>
      </c>
      <c r="CC48" s="37">
        <f t="shared" si="120"/>
        <v>0</v>
      </c>
      <c r="CD48" s="37">
        <f t="shared" si="121"/>
        <v>0</v>
      </c>
      <c r="CE48" s="36" t="s">
        <v>2067</v>
      </c>
      <c r="CF48" s="36" t="s">
        <v>2067</v>
      </c>
      <c r="CG48" s="36" t="s">
        <v>2067</v>
      </c>
      <c r="CH48" s="36" t="s">
        <v>2080</v>
      </c>
      <c r="CI48" s="37">
        <f t="shared" si="122"/>
        <v>0</v>
      </c>
      <c r="CJ48" s="37">
        <f t="shared" si="123"/>
        <v>0</v>
      </c>
      <c r="CK48" s="37">
        <f t="shared" si="124"/>
        <v>0</v>
      </c>
      <c r="CL48" s="37">
        <f t="shared" si="125"/>
        <v>0</v>
      </c>
      <c r="CM48" s="37">
        <f t="shared" si="126"/>
        <v>0</v>
      </c>
      <c r="CN48" s="37">
        <f t="shared" si="127"/>
        <v>0</v>
      </c>
      <c r="CO48" s="37">
        <f t="shared" si="128"/>
        <v>0</v>
      </c>
      <c r="CP48" s="37">
        <f t="shared" si="129"/>
        <v>0</v>
      </c>
      <c r="CQ48" s="37">
        <f t="shared" si="130"/>
        <v>3.3333333333333339</v>
      </c>
      <c r="CR48" s="37">
        <f t="shared" si="131"/>
        <v>5</v>
      </c>
      <c r="CS48" s="37">
        <f t="shared" si="132"/>
        <v>0</v>
      </c>
      <c r="CT48" s="37">
        <f t="shared" si="133"/>
        <v>10</v>
      </c>
      <c r="CU48" s="37">
        <f t="shared" si="134"/>
        <v>0</v>
      </c>
      <c r="CV48" s="37">
        <f t="shared" si="135"/>
        <v>0</v>
      </c>
      <c r="CW48" s="37">
        <f t="shared" si="136"/>
        <v>0</v>
      </c>
      <c r="CX48" s="37">
        <f t="shared" si="137"/>
        <v>0</v>
      </c>
      <c r="CY48" s="37">
        <f t="shared" si="138"/>
        <v>0</v>
      </c>
      <c r="CZ48" s="37">
        <f t="shared" si="139"/>
        <v>18.333333333333336</v>
      </c>
    </row>
    <row r="49" spans="1:104" x14ac:dyDescent="0.25">
      <c r="A49" s="149" t="s">
        <v>2211</v>
      </c>
      <c r="B49" s="53" t="s">
        <v>1947</v>
      </c>
      <c r="C49" s="53" t="s">
        <v>1948</v>
      </c>
      <c r="D49" s="53" t="s">
        <v>1947</v>
      </c>
      <c r="E49" s="61">
        <f t="shared" si="70"/>
        <v>0</v>
      </c>
      <c r="F49" s="61">
        <f t="shared" si="71"/>
        <v>1</v>
      </c>
      <c r="G49" s="61">
        <f t="shared" si="72"/>
        <v>0</v>
      </c>
      <c r="H49" s="61">
        <f t="shared" si="73"/>
        <v>1</v>
      </c>
      <c r="I49" s="53" t="s">
        <v>2165</v>
      </c>
      <c r="J49" s="53" t="s">
        <v>2165</v>
      </c>
      <c r="K49" s="53" t="s">
        <v>1948</v>
      </c>
      <c r="L49" s="61">
        <f t="shared" si="74"/>
        <v>0</v>
      </c>
      <c r="M49" s="61">
        <f t="shared" si="75"/>
        <v>0</v>
      </c>
      <c r="N49" s="61">
        <f t="shared" si="76"/>
        <v>1</v>
      </c>
      <c r="O49" s="61">
        <f t="shared" si="77"/>
        <v>1</v>
      </c>
      <c r="P49" s="61">
        <f t="shared" si="78"/>
        <v>33.333333333333336</v>
      </c>
      <c r="Q49" s="53" t="s">
        <v>1948</v>
      </c>
      <c r="R49" s="53" t="s">
        <v>1947</v>
      </c>
      <c r="S49" s="61">
        <f t="shared" si="79"/>
        <v>1</v>
      </c>
      <c r="T49" s="61">
        <f t="shared" si="80"/>
        <v>0</v>
      </c>
      <c r="U49" s="61">
        <f t="shared" si="81"/>
        <v>1</v>
      </c>
      <c r="V49" s="61">
        <f t="shared" si="82"/>
        <v>50</v>
      </c>
      <c r="W49" s="53" t="s">
        <v>1947</v>
      </c>
      <c r="X49" s="53" t="s">
        <v>1947</v>
      </c>
      <c r="Y49" s="53" t="s">
        <v>1947</v>
      </c>
      <c r="Z49" s="53" t="s">
        <v>1947</v>
      </c>
      <c r="AA49" s="53" t="s">
        <v>1947</v>
      </c>
      <c r="AB49" s="50">
        <f t="shared" si="83"/>
        <v>0</v>
      </c>
      <c r="AC49" s="50">
        <f t="shared" si="84"/>
        <v>0</v>
      </c>
      <c r="AD49" s="50">
        <f t="shared" si="85"/>
        <v>0</v>
      </c>
      <c r="AE49" s="50">
        <f t="shared" si="86"/>
        <v>0</v>
      </c>
      <c r="AF49" s="50">
        <f t="shared" si="87"/>
        <v>0</v>
      </c>
      <c r="AG49" s="50">
        <f t="shared" si="88"/>
        <v>0</v>
      </c>
      <c r="AH49" s="51">
        <f t="shared" si="89"/>
        <v>0</v>
      </c>
      <c r="AI49" s="51">
        <f t="shared" si="90"/>
        <v>83.333333333333343</v>
      </c>
      <c r="AJ49" s="53" t="s">
        <v>1948</v>
      </c>
      <c r="AK49" s="53" t="s">
        <v>1948</v>
      </c>
      <c r="AL49" s="53" t="s">
        <v>1948</v>
      </c>
      <c r="AM49" s="50">
        <f t="shared" si="91"/>
        <v>1</v>
      </c>
      <c r="AN49" s="50">
        <f t="shared" si="92"/>
        <v>1</v>
      </c>
      <c r="AO49" s="50">
        <f t="shared" si="93"/>
        <v>1</v>
      </c>
      <c r="AP49" s="50">
        <f t="shared" si="94"/>
        <v>3</v>
      </c>
      <c r="AQ49" s="50">
        <f t="shared" si="95"/>
        <v>100</v>
      </c>
      <c r="AR49" s="36" t="s">
        <v>2166</v>
      </c>
      <c r="AS49" s="36" t="s">
        <v>2166</v>
      </c>
      <c r="AT49" s="36" t="s">
        <v>2166</v>
      </c>
      <c r="AU49" s="37">
        <f t="shared" si="96"/>
        <v>1</v>
      </c>
      <c r="AV49" s="37">
        <f t="shared" si="97"/>
        <v>1</v>
      </c>
      <c r="AW49" s="37">
        <f t="shared" si="98"/>
        <v>1</v>
      </c>
      <c r="AX49" s="37">
        <f t="shared" si="99"/>
        <v>0</v>
      </c>
      <c r="AY49" s="37">
        <f t="shared" si="100"/>
        <v>0</v>
      </c>
      <c r="AZ49" s="36" t="s">
        <v>2167</v>
      </c>
      <c r="BA49" s="36" t="s">
        <v>2167</v>
      </c>
      <c r="BB49" s="37">
        <f t="shared" si="101"/>
        <v>1</v>
      </c>
      <c r="BC49" s="37">
        <f t="shared" si="102"/>
        <v>0.75</v>
      </c>
      <c r="BD49" s="37">
        <f t="shared" si="103"/>
        <v>0.75</v>
      </c>
      <c r="BE49" s="37">
        <f t="shared" si="104"/>
        <v>0</v>
      </c>
      <c r="BF49" s="36" t="s">
        <v>2167</v>
      </c>
      <c r="BG49" s="36" t="s">
        <v>2167</v>
      </c>
      <c r="BH49" s="37">
        <f t="shared" si="105"/>
        <v>1</v>
      </c>
      <c r="BI49" s="37">
        <f t="shared" si="106"/>
        <v>0.75</v>
      </c>
      <c r="BJ49" s="37">
        <f t="shared" si="107"/>
        <v>0.75</v>
      </c>
      <c r="BK49" s="37">
        <f t="shared" si="108"/>
        <v>0</v>
      </c>
      <c r="BL49" s="36" t="s">
        <v>2167</v>
      </c>
      <c r="BM49" s="36" t="s">
        <v>2167</v>
      </c>
      <c r="BN49" s="37">
        <f t="shared" si="109"/>
        <v>1</v>
      </c>
      <c r="BO49" s="37">
        <f t="shared" si="110"/>
        <v>0.75</v>
      </c>
      <c r="BP49" s="37">
        <f t="shared" si="111"/>
        <v>0.75</v>
      </c>
      <c r="BQ49" s="37">
        <f t="shared" si="112"/>
        <v>0</v>
      </c>
      <c r="BR49" s="37">
        <f t="shared" si="113"/>
        <v>0</v>
      </c>
      <c r="BS49" s="36" t="s">
        <v>2080</v>
      </c>
      <c r="BT49" s="36" t="s">
        <v>2080</v>
      </c>
      <c r="BU49" s="36" t="s">
        <v>2080</v>
      </c>
      <c r="BV49" s="36" t="s">
        <v>2080</v>
      </c>
      <c r="BW49" s="37">
        <f t="shared" si="114"/>
        <v>0</v>
      </c>
      <c r="BX49" s="37">
        <f t="shared" si="115"/>
        <v>0</v>
      </c>
      <c r="BY49" s="37">
        <f t="shared" si="116"/>
        <v>0</v>
      </c>
      <c r="BZ49" s="37">
        <f t="shared" si="117"/>
        <v>0</v>
      </c>
      <c r="CA49" s="37">
        <f t="shared" si="118"/>
        <v>0</v>
      </c>
      <c r="CB49" s="37">
        <f t="shared" si="119"/>
        <v>0</v>
      </c>
      <c r="CC49" s="37">
        <f t="shared" si="120"/>
        <v>0</v>
      </c>
      <c r="CD49" s="37">
        <f t="shared" si="121"/>
        <v>0</v>
      </c>
      <c r="CE49" s="36" t="s">
        <v>2067</v>
      </c>
      <c r="CF49" s="36" t="s">
        <v>2067</v>
      </c>
      <c r="CG49" s="36" t="s">
        <v>2067</v>
      </c>
      <c r="CH49" s="36" t="s">
        <v>2080</v>
      </c>
      <c r="CI49" s="37">
        <f t="shared" si="122"/>
        <v>0</v>
      </c>
      <c r="CJ49" s="37">
        <f t="shared" si="123"/>
        <v>0</v>
      </c>
      <c r="CK49" s="37">
        <f t="shared" si="124"/>
        <v>0</v>
      </c>
      <c r="CL49" s="37">
        <f t="shared" si="125"/>
        <v>0</v>
      </c>
      <c r="CM49" s="37">
        <f t="shared" si="126"/>
        <v>0</v>
      </c>
      <c r="CN49" s="37">
        <f t="shared" si="127"/>
        <v>0</v>
      </c>
      <c r="CO49" s="37">
        <f t="shared" si="128"/>
        <v>0</v>
      </c>
      <c r="CP49" s="37">
        <f t="shared" si="129"/>
        <v>0</v>
      </c>
      <c r="CQ49" s="37">
        <f t="shared" si="130"/>
        <v>3.3333333333333339</v>
      </c>
      <c r="CR49" s="37">
        <f t="shared" si="131"/>
        <v>5</v>
      </c>
      <c r="CS49" s="37">
        <f t="shared" si="132"/>
        <v>0</v>
      </c>
      <c r="CT49" s="37">
        <f t="shared" si="133"/>
        <v>10</v>
      </c>
      <c r="CU49" s="37">
        <f t="shared" si="134"/>
        <v>0</v>
      </c>
      <c r="CV49" s="37">
        <f t="shared" si="135"/>
        <v>0</v>
      </c>
      <c r="CW49" s="37">
        <f t="shared" si="136"/>
        <v>0</v>
      </c>
      <c r="CX49" s="37">
        <f t="shared" si="137"/>
        <v>0</v>
      </c>
      <c r="CY49" s="37">
        <f t="shared" si="138"/>
        <v>0</v>
      </c>
      <c r="CZ49" s="37">
        <f t="shared" si="139"/>
        <v>18.333333333333336</v>
      </c>
    </row>
    <row r="50" spans="1:104" x14ac:dyDescent="0.25">
      <c r="A50" s="149" t="s">
        <v>2212</v>
      </c>
      <c r="B50" s="53" t="s">
        <v>1947</v>
      </c>
      <c r="C50" s="53" t="s">
        <v>1948</v>
      </c>
      <c r="D50" s="53" t="s">
        <v>1947</v>
      </c>
      <c r="E50" s="61">
        <f t="shared" si="70"/>
        <v>0</v>
      </c>
      <c r="F50" s="61">
        <f t="shared" si="71"/>
        <v>1</v>
      </c>
      <c r="G50" s="61">
        <f t="shared" si="72"/>
        <v>0</v>
      </c>
      <c r="H50" s="61">
        <f t="shared" si="73"/>
        <v>1</v>
      </c>
      <c r="I50" s="53" t="s">
        <v>2165</v>
      </c>
      <c r="J50" s="53" t="s">
        <v>2165</v>
      </c>
      <c r="K50" s="53" t="s">
        <v>1948</v>
      </c>
      <c r="L50" s="61">
        <f t="shared" si="74"/>
        <v>0</v>
      </c>
      <c r="M50" s="61">
        <f t="shared" si="75"/>
        <v>0</v>
      </c>
      <c r="N50" s="61">
        <f t="shared" si="76"/>
        <v>1</v>
      </c>
      <c r="O50" s="61">
        <f t="shared" si="77"/>
        <v>1</v>
      </c>
      <c r="P50" s="61">
        <f t="shared" si="78"/>
        <v>33.333333333333336</v>
      </c>
      <c r="Q50" s="53" t="s">
        <v>1948</v>
      </c>
      <c r="R50" s="53" t="s">
        <v>1947</v>
      </c>
      <c r="S50" s="61">
        <f t="shared" si="79"/>
        <v>1</v>
      </c>
      <c r="T50" s="61">
        <f t="shared" si="80"/>
        <v>0</v>
      </c>
      <c r="U50" s="61">
        <f t="shared" si="81"/>
        <v>1</v>
      </c>
      <c r="V50" s="61">
        <f t="shared" si="82"/>
        <v>50</v>
      </c>
      <c r="W50" s="53" t="s">
        <v>1947</v>
      </c>
      <c r="X50" s="53" t="s">
        <v>1947</v>
      </c>
      <c r="Y50" s="53" t="s">
        <v>1947</v>
      </c>
      <c r="Z50" s="53" t="s">
        <v>1947</v>
      </c>
      <c r="AA50" s="53" t="s">
        <v>1947</v>
      </c>
      <c r="AB50" s="50">
        <f t="shared" si="83"/>
        <v>0</v>
      </c>
      <c r="AC50" s="50">
        <f t="shared" si="84"/>
        <v>0</v>
      </c>
      <c r="AD50" s="50">
        <f t="shared" si="85"/>
        <v>0</v>
      </c>
      <c r="AE50" s="50">
        <f t="shared" si="86"/>
        <v>0</v>
      </c>
      <c r="AF50" s="50">
        <f t="shared" si="87"/>
        <v>0</v>
      </c>
      <c r="AG50" s="50">
        <f t="shared" si="88"/>
        <v>0</v>
      </c>
      <c r="AH50" s="51">
        <f t="shared" si="89"/>
        <v>0</v>
      </c>
      <c r="AI50" s="51">
        <f t="shared" si="90"/>
        <v>83.333333333333343</v>
      </c>
      <c r="AJ50" s="53" t="s">
        <v>1948</v>
      </c>
      <c r="AK50" s="53" t="s">
        <v>1948</v>
      </c>
      <c r="AL50" s="53" t="s">
        <v>1948</v>
      </c>
      <c r="AM50" s="50">
        <f t="shared" si="91"/>
        <v>1</v>
      </c>
      <c r="AN50" s="50">
        <f t="shared" si="92"/>
        <v>1</v>
      </c>
      <c r="AO50" s="50">
        <f t="shared" si="93"/>
        <v>1</v>
      </c>
      <c r="AP50" s="50">
        <f t="shared" si="94"/>
        <v>3</v>
      </c>
      <c r="AQ50" s="50">
        <f t="shared" si="95"/>
        <v>100</v>
      </c>
      <c r="AR50" s="36" t="s">
        <v>2166</v>
      </c>
      <c r="AS50" s="36" t="s">
        <v>2166</v>
      </c>
      <c r="AT50" s="36" t="s">
        <v>2166</v>
      </c>
      <c r="AU50" s="37">
        <f t="shared" si="96"/>
        <v>1</v>
      </c>
      <c r="AV50" s="37">
        <f t="shared" si="97"/>
        <v>1</v>
      </c>
      <c r="AW50" s="37">
        <f t="shared" si="98"/>
        <v>1</v>
      </c>
      <c r="AX50" s="37">
        <f t="shared" si="99"/>
        <v>0</v>
      </c>
      <c r="AY50" s="37">
        <f t="shared" si="100"/>
        <v>0</v>
      </c>
      <c r="AZ50" s="36" t="s">
        <v>2167</v>
      </c>
      <c r="BA50" s="36" t="s">
        <v>2167</v>
      </c>
      <c r="BB50" s="37">
        <f t="shared" si="101"/>
        <v>1</v>
      </c>
      <c r="BC50" s="37">
        <f t="shared" si="102"/>
        <v>0.75</v>
      </c>
      <c r="BD50" s="37">
        <f t="shared" si="103"/>
        <v>0.75</v>
      </c>
      <c r="BE50" s="37">
        <f t="shared" si="104"/>
        <v>0</v>
      </c>
      <c r="BF50" s="36" t="s">
        <v>2167</v>
      </c>
      <c r="BG50" s="36" t="s">
        <v>2167</v>
      </c>
      <c r="BH50" s="37">
        <f t="shared" si="105"/>
        <v>1</v>
      </c>
      <c r="BI50" s="37">
        <f t="shared" si="106"/>
        <v>0.75</v>
      </c>
      <c r="BJ50" s="37">
        <f t="shared" si="107"/>
        <v>0.75</v>
      </c>
      <c r="BK50" s="37">
        <f t="shared" si="108"/>
        <v>0</v>
      </c>
      <c r="BL50" s="36" t="s">
        <v>2167</v>
      </c>
      <c r="BM50" s="36" t="s">
        <v>2167</v>
      </c>
      <c r="BN50" s="37">
        <f t="shared" si="109"/>
        <v>1</v>
      </c>
      <c r="BO50" s="37">
        <f t="shared" si="110"/>
        <v>0.75</v>
      </c>
      <c r="BP50" s="37">
        <f t="shared" si="111"/>
        <v>0.75</v>
      </c>
      <c r="BQ50" s="37">
        <f t="shared" si="112"/>
        <v>0</v>
      </c>
      <c r="BR50" s="37">
        <f t="shared" si="113"/>
        <v>0</v>
      </c>
      <c r="BS50" s="36" t="s">
        <v>2080</v>
      </c>
      <c r="BT50" s="36" t="s">
        <v>2080</v>
      </c>
      <c r="BU50" s="36" t="s">
        <v>2080</v>
      </c>
      <c r="BV50" s="36" t="s">
        <v>2080</v>
      </c>
      <c r="BW50" s="37">
        <f t="shared" si="114"/>
        <v>0</v>
      </c>
      <c r="BX50" s="37">
        <f t="shared" si="115"/>
        <v>0</v>
      </c>
      <c r="BY50" s="37">
        <f t="shared" si="116"/>
        <v>0</v>
      </c>
      <c r="BZ50" s="37">
        <f t="shared" si="117"/>
        <v>0</v>
      </c>
      <c r="CA50" s="37">
        <f t="shared" si="118"/>
        <v>0</v>
      </c>
      <c r="CB50" s="37">
        <f t="shared" si="119"/>
        <v>0</v>
      </c>
      <c r="CC50" s="37">
        <f t="shared" si="120"/>
        <v>0</v>
      </c>
      <c r="CD50" s="37">
        <f t="shared" si="121"/>
        <v>0</v>
      </c>
      <c r="CE50" s="36" t="s">
        <v>2067</v>
      </c>
      <c r="CF50" s="36" t="s">
        <v>2067</v>
      </c>
      <c r="CG50" s="36" t="s">
        <v>2067</v>
      </c>
      <c r="CH50" s="36" t="s">
        <v>2080</v>
      </c>
      <c r="CI50" s="37">
        <f t="shared" si="122"/>
        <v>0</v>
      </c>
      <c r="CJ50" s="37">
        <f t="shared" si="123"/>
        <v>0</v>
      </c>
      <c r="CK50" s="37">
        <f t="shared" si="124"/>
        <v>0</v>
      </c>
      <c r="CL50" s="37">
        <f t="shared" si="125"/>
        <v>0</v>
      </c>
      <c r="CM50" s="37">
        <f t="shared" si="126"/>
        <v>0</v>
      </c>
      <c r="CN50" s="37">
        <f t="shared" si="127"/>
        <v>0</v>
      </c>
      <c r="CO50" s="37">
        <f t="shared" si="128"/>
        <v>0</v>
      </c>
      <c r="CP50" s="37">
        <f t="shared" si="129"/>
        <v>0</v>
      </c>
      <c r="CQ50" s="37">
        <f t="shared" si="130"/>
        <v>3.3333333333333339</v>
      </c>
      <c r="CR50" s="37">
        <f t="shared" si="131"/>
        <v>5</v>
      </c>
      <c r="CS50" s="37">
        <f t="shared" si="132"/>
        <v>0</v>
      </c>
      <c r="CT50" s="37">
        <f t="shared" si="133"/>
        <v>10</v>
      </c>
      <c r="CU50" s="37">
        <f t="shared" si="134"/>
        <v>0</v>
      </c>
      <c r="CV50" s="37">
        <f t="shared" si="135"/>
        <v>0</v>
      </c>
      <c r="CW50" s="37">
        <f t="shared" si="136"/>
        <v>0</v>
      </c>
      <c r="CX50" s="37">
        <f t="shared" si="137"/>
        <v>0</v>
      </c>
      <c r="CY50" s="37">
        <f t="shared" si="138"/>
        <v>0</v>
      </c>
      <c r="CZ50" s="37">
        <f t="shared" si="139"/>
        <v>18.333333333333336</v>
      </c>
    </row>
    <row r="51" spans="1:104" x14ac:dyDescent="0.25">
      <c r="A51" s="149" t="s">
        <v>2213</v>
      </c>
      <c r="B51" s="53" t="s">
        <v>1947</v>
      </c>
      <c r="C51" s="53" t="s">
        <v>1948</v>
      </c>
      <c r="D51" s="53" t="s">
        <v>1947</v>
      </c>
      <c r="E51" s="61">
        <f t="shared" si="70"/>
        <v>0</v>
      </c>
      <c r="F51" s="61">
        <f t="shared" si="71"/>
        <v>1</v>
      </c>
      <c r="G51" s="61">
        <f t="shared" si="72"/>
        <v>0</v>
      </c>
      <c r="H51" s="61">
        <f t="shared" si="73"/>
        <v>1</v>
      </c>
      <c r="I51" s="53" t="s">
        <v>2165</v>
      </c>
      <c r="J51" s="53" t="s">
        <v>2165</v>
      </c>
      <c r="K51" s="53" t="s">
        <v>1948</v>
      </c>
      <c r="L51" s="61">
        <f t="shared" si="74"/>
        <v>0</v>
      </c>
      <c r="M51" s="61">
        <f t="shared" si="75"/>
        <v>0</v>
      </c>
      <c r="N51" s="61">
        <f t="shared" si="76"/>
        <v>1</v>
      </c>
      <c r="O51" s="61">
        <f t="shared" si="77"/>
        <v>1</v>
      </c>
      <c r="P51" s="61">
        <f t="shared" si="78"/>
        <v>33.333333333333336</v>
      </c>
      <c r="Q51" s="53" t="s">
        <v>1948</v>
      </c>
      <c r="R51" s="53" t="s">
        <v>1947</v>
      </c>
      <c r="S51" s="61">
        <f t="shared" si="79"/>
        <v>1</v>
      </c>
      <c r="T51" s="61">
        <f t="shared" si="80"/>
        <v>0</v>
      </c>
      <c r="U51" s="61">
        <f t="shared" si="81"/>
        <v>1</v>
      </c>
      <c r="V51" s="61">
        <f t="shared" si="82"/>
        <v>50</v>
      </c>
      <c r="W51" s="53" t="s">
        <v>1947</v>
      </c>
      <c r="X51" s="53" t="s">
        <v>1947</v>
      </c>
      <c r="Y51" s="53" t="s">
        <v>1947</v>
      </c>
      <c r="Z51" s="53" t="s">
        <v>1947</v>
      </c>
      <c r="AA51" s="53" t="s">
        <v>1947</v>
      </c>
      <c r="AB51" s="50">
        <f t="shared" si="83"/>
        <v>0</v>
      </c>
      <c r="AC51" s="50">
        <f t="shared" si="84"/>
        <v>0</v>
      </c>
      <c r="AD51" s="50">
        <f t="shared" si="85"/>
        <v>0</v>
      </c>
      <c r="AE51" s="50">
        <f t="shared" si="86"/>
        <v>0</v>
      </c>
      <c r="AF51" s="50">
        <f t="shared" si="87"/>
        <v>0</v>
      </c>
      <c r="AG51" s="50">
        <f t="shared" si="88"/>
        <v>0</v>
      </c>
      <c r="AH51" s="51">
        <f t="shared" si="89"/>
        <v>0</v>
      </c>
      <c r="AI51" s="51">
        <f t="shared" si="90"/>
        <v>83.333333333333343</v>
      </c>
      <c r="AJ51" s="53" t="s">
        <v>1948</v>
      </c>
      <c r="AK51" s="53" t="s">
        <v>1948</v>
      </c>
      <c r="AL51" s="53" t="s">
        <v>1948</v>
      </c>
      <c r="AM51" s="50">
        <f t="shared" si="91"/>
        <v>1</v>
      </c>
      <c r="AN51" s="50">
        <f t="shared" si="92"/>
        <v>1</v>
      </c>
      <c r="AO51" s="50">
        <f t="shared" si="93"/>
        <v>1</v>
      </c>
      <c r="AP51" s="50">
        <f t="shared" si="94"/>
        <v>3</v>
      </c>
      <c r="AQ51" s="50">
        <f t="shared" si="95"/>
        <v>100</v>
      </c>
      <c r="AR51" s="36" t="s">
        <v>2166</v>
      </c>
      <c r="AS51" s="36" t="s">
        <v>2166</v>
      </c>
      <c r="AT51" s="36" t="s">
        <v>2166</v>
      </c>
      <c r="AU51" s="37">
        <f t="shared" si="96"/>
        <v>1</v>
      </c>
      <c r="AV51" s="37">
        <f t="shared" si="97"/>
        <v>1</v>
      </c>
      <c r="AW51" s="37">
        <f t="shared" si="98"/>
        <v>1</v>
      </c>
      <c r="AX51" s="37">
        <f t="shared" si="99"/>
        <v>0</v>
      </c>
      <c r="AY51" s="37">
        <f t="shared" si="100"/>
        <v>0</v>
      </c>
      <c r="AZ51" s="36" t="s">
        <v>2167</v>
      </c>
      <c r="BA51" s="36" t="s">
        <v>2167</v>
      </c>
      <c r="BB51" s="37">
        <f t="shared" si="101"/>
        <v>1</v>
      </c>
      <c r="BC51" s="37">
        <f t="shared" si="102"/>
        <v>0.75</v>
      </c>
      <c r="BD51" s="37">
        <f t="shared" si="103"/>
        <v>0.75</v>
      </c>
      <c r="BE51" s="37">
        <f t="shared" si="104"/>
        <v>0</v>
      </c>
      <c r="BF51" s="36" t="s">
        <v>2167</v>
      </c>
      <c r="BG51" s="36" t="s">
        <v>2167</v>
      </c>
      <c r="BH51" s="37">
        <f t="shared" si="105"/>
        <v>1</v>
      </c>
      <c r="BI51" s="37">
        <f t="shared" si="106"/>
        <v>0.75</v>
      </c>
      <c r="BJ51" s="37">
        <f t="shared" si="107"/>
        <v>0.75</v>
      </c>
      <c r="BK51" s="37">
        <f t="shared" si="108"/>
        <v>0</v>
      </c>
      <c r="BL51" s="36" t="s">
        <v>2167</v>
      </c>
      <c r="BM51" s="36" t="s">
        <v>2167</v>
      </c>
      <c r="BN51" s="37">
        <f t="shared" si="109"/>
        <v>1</v>
      </c>
      <c r="BO51" s="37">
        <f t="shared" si="110"/>
        <v>0.75</v>
      </c>
      <c r="BP51" s="37">
        <f t="shared" si="111"/>
        <v>0.75</v>
      </c>
      <c r="BQ51" s="37">
        <f t="shared" si="112"/>
        <v>0</v>
      </c>
      <c r="BR51" s="37">
        <f t="shared" si="113"/>
        <v>0</v>
      </c>
      <c r="BS51" s="36" t="s">
        <v>2080</v>
      </c>
      <c r="BT51" s="36" t="s">
        <v>2080</v>
      </c>
      <c r="BU51" s="36" t="s">
        <v>2080</v>
      </c>
      <c r="BV51" s="36" t="s">
        <v>2080</v>
      </c>
      <c r="BW51" s="37">
        <f t="shared" si="114"/>
        <v>0</v>
      </c>
      <c r="BX51" s="37">
        <f t="shared" si="115"/>
        <v>0</v>
      </c>
      <c r="BY51" s="37">
        <f t="shared" si="116"/>
        <v>0</v>
      </c>
      <c r="BZ51" s="37">
        <f t="shared" si="117"/>
        <v>0</v>
      </c>
      <c r="CA51" s="37">
        <f t="shared" si="118"/>
        <v>0</v>
      </c>
      <c r="CB51" s="37">
        <f t="shared" si="119"/>
        <v>0</v>
      </c>
      <c r="CC51" s="37">
        <f t="shared" si="120"/>
        <v>0</v>
      </c>
      <c r="CD51" s="37">
        <f t="shared" si="121"/>
        <v>0</v>
      </c>
      <c r="CE51" s="36" t="s">
        <v>2067</v>
      </c>
      <c r="CF51" s="36" t="s">
        <v>2067</v>
      </c>
      <c r="CG51" s="36" t="s">
        <v>2067</v>
      </c>
      <c r="CH51" s="36" t="s">
        <v>2080</v>
      </c>
      <c r="CI51" s="37">
        <f t="shared" si="122"/>
        <v>0</v>
      </c>
      <c r="CJ51" s="37">
        <f t="shared" si="123"/>
        <v>0</v>
      </c>
      <c r="CK51" s="37">
        <f t="shared" si="124"/>
        <v>0</v>
      </c>
      <c r="CL51" s="37">
        <f t="shared" si="125"/>
        <v>0</v>
      </c>
      <c r="CM51" s="37">
        <f t="shared" si="126"/>
        <v>0</v>
      </c>
      <c r="CN51" s="37">
        <f t="shared" si="127"/>
        <v>0</v>
      </c>
      <c r="CO51" s="37">
        <f t="shared" si="128"/>
        <v>0</v>
      </c>
      <c r="CP51" s="37">
        <f t="shared" si="129"/>
        <v>0</v>
      </c>
      <c r="CQ51" s="37">
        <f t="shared" si="130"/>
        <v>3.3333333333333339</v>
      </c>
      <c r="CR51" s="37">
        <f t="shared" si="131"/>
        <v>5</v>
      </c>
      <c r="CS51" s="37">
        <f t="shared" si="132"/>
        <v>0</v>
      </c>
      <c r="CT51" s="37">
        <f t="shared" si="133"/>
        <v>10</v>
      </c>
      <c r="CU51" s="37">
        <f t="shared" si="134"/>
        <v>0</v>
      </c>
      <c r="CV51" s="37">
        <f t="shared" si="135"/>
        <v>0</v>
      </c>
      <c r="CW51" s="37">
        <f t="shared" si="136"/>
        <v>0</v>
      </c>
      <c r="CX51" s="37">
        <f t="shared" si="137"/>
        <v>0</v>
      </c>
      <c r="CY51" s="37">
        <f t="shared" si="138"/>
        <v>0</v>
      </c>
      <c r="CZ51" s="37">
        <f t="shared" si="139"/>
        <v>18.333333333333336</v>
      </c>
    </row>
    <row r="52" spans="1:104" x14ac:dyDescent="0.25">
      <c r="A52" s="149" t="s">
        <v>2214</v>
      </c>
      <c r="B52" s="53" t="s">
        <v>1947</v>
      </c>
      <c r="C52" s="53" t="s">
        <v>1948</v>
      </c>
      <c r="D52" s="53" t="s">
        <v>1947</v>
      </c>
      <c r="E52" s="61">
        <f t="shared" si="70"/>
        <v>0</v>
      </c>
      <c r="F52" s="61">
        <f t="shared" si="71"/>
        <v>1</v>
      </c>
      <c r="G52" s="61">
        <f t="shared" si="72"/>
        <v>0</v>
      </c>
      <c r="H52" s="61">
        <f t="shared" si="73"/>
        <v>1</v>
      </c>
      <c r="I52" s="53" t="s">
        <v>2165</v>
      </c>
      <c r="J52" s="53" t="s">
        <v>2165</v>
      </c>
      <c r="K52" s="53" t="s">
        <v>1948</v>
      </c>
      <c r="L52" s="61">
        <f t="shared" si="74"/>
        <v>0</v>
      </c>
      <c r="M52" s="61">
        <f t="shared" si="75"/>
        <v>0</v>
      </c>
      <c r="N52" s="61">
        <f t="shared" si="76"/>
        <v>1</v>
      </c>
      <c r="O52" s="61">
        <f t="shared" si="77"/>
        <v>1</v>
      </c>
      <c r="P52" s="61">
        <f t="shared" si="78"/>
        <v>33.333333333333336</v>
      </c>
      <c r="Q52" s="53" t="s">
        <v>1948</v>
      </c>
      <c r="R52" s="53" t="s">
        <v>1947</v>
      </c>
      <c r="S52" s="61">
        <f t="shared" si="79"/>
        <v>1</v>
      </c>
      <c r="T52" s="61">
        <f t="shared" si="80"/>
        <v>0</v>
      </c>
      <c r="U52" s="61">
        <f t="shared" si="81"/>
        <v>1</v>
      </c>
      <c r="V52" s="61">
        <f t="shared" si="82"/>
        <v>50</v>
      </c>
      <c r="W52" s="53" t="s">
        <v>1947</v>
      </c>
      <c r="X52" s="53" t="s">
        <v>1947</v>
      </c>
      <c r="Y52" s="53" t="s">
        <v>1947</v>
      </c>
      <c r="Z52" s="53" t="s">
        <v>1947</v>
      </c>
      <c r="AA52" s="53" t="s">
        <v>1947</v>
      </c>
      <c r="AB52" s="50">
        <f t="shared" si="83"/>
        <v>0</v>
      </c>
      <c r="AC52" s="50">
        <f t="shared" si="84"/>
        <v>0</v>
      </c>
      <c r="AD52" s="50">
        <f t="shared" si="85"/>
        <v>0</v>
      </c>
      <c r="AE52" s="50">
        <f t="shared" si="86"/>
        <v>0</v>
      </c>
      <c r="AF52" s="50">
        <f t="shared" si="87"/>
        <v>0</v>
      </c>
      <c r="AG52" s="50">
        <f t="shared" si="88"/>
        <v>0</v>
      </c>
      <c r="AH52" s="51">
        <f t="shared" si="89"/>
        <v>0</v>
      </c>
      <c r="AI52" s="51">
        <f t="shared" si="90"/>
        <v>83.333333333333343</v>
      </c>
      <c r="AJ52" s="53" t="s">
        <v>1948</v>
      </c>
      <c r="AK52" s="53" t="s">
        <v>1948</v>
      </c>
      <c r="AL52" s="53" t="s">
        <v>1948</v>
      </c>
      <c r="AM52" s="50">
        <f t="shared" si="91"/>
        <v>1</v>
      </c>
      <c r="AN52" s="50">
        <f t="shared" si="92"/>
        <v>1</v>
      </c>
      <c r="AO52" s="50">
        <f t="shared" si="93"/>
        <v>1</v>
      </c>
      <c r="AP52" s="50">
        <f t="shared" si="94"/>
        <v>3</v>
      </c>
      <c r="AQ52" s="50">
        <f t="shared" si="95"/>
        <v>100</v>
      </c>
      <c r="AR52" s="36" t="s">
        <v>2166</v>
      </c>
      <c r="AS52" s="36" t="s">
        <v>2166</v>
      </c>
      <c r="AT52" s="36" t="s">
        <v>2166</v>
      </c>
      <c r="AU52" s="37">
        <f t="shared" si="96"/>
        <v>1</v>
      </c>
      <c r="AV52" s="37">
        <f t="shared" si="97"/>
        <v>1</v>
      </c>
      <c r="AW52" s="37">
        <f t="shared" si="98"/>
        <v>1</v>
      </c>
      <c r="AX52" s="37">
        <f t="shared" si="99"/>
        <v>0</v>
      </c>
      <c r="AY52" s="37">
        <f t="shared" si="100"/>
        <v>0</v>
      </c>
      <c r="AZ52" s="36" t="s">
        <v>2167</v>
      </c>
      <c r="BA52" s="36" t="s">
        <v>2167</v>
      </c>
      <c r="BB52" s="37">
        <f t="shared" si="101"/>
        <v>1</v>
      </c>
      <c r="BC52" s="37">
        <f t="shared" si="102"/>
        <v>0.75</v>
      </c>
      <c r="BD52" s="37">
        <f t="shared" si="103"/>
        <v>0.75</v>
      </c>
      <c r="BE52" s="37">
        <f t="shared" si="104"/>
        <v>0</v>
      </c>
      <c r="BF52" s="36" t="s">
        <v>2167</v>
      </c>
      <c r="BG52" s="36" t="s">
        <v>2167</v>
      </c>
      <c r="BH52" s="37">
        <f t="shared" si="105"/>
        <v>1</v>
      </c>
      <c r="BI52" s="37">
        <f t="shared" si="106"/>
        <v>0.75</v>
      </c>
      <c r="BJ52" s="37">
        <f t="shared" si="107"/>
        <v>0.75</v>
      </c>
      <c r="BK52" s="37">
        <f t="shared" si="108"/>
        <v>0</v>
      </c>
      <c r="BL52" s="36" t="s">
        <v>2167</v>
      </c>
      <c r="BM52" s="36" t="s">
        <v>2167</v>
      </c>
      <c r="BN52" s="37">
        <f t="shared" si="109"/>
        <v>1</v>
      </c>
      <c r="BO52" s="37">
        <f t="shared" si="110"/>
        <v>0.75</v>
      </c>
      <c r="BP52" s="37">
        <f t="shared" si="111"/>
        <v>0.75</v>
      </c>
      <c r="BQ52" s="37">
        <f t="shared" si="112"/>
        <v>0</v>
      </c>
      <c r="BR52" s="37">
        <f t="shared" si="113"/>
        <v>0</v>
      </c>
      <c r="BS52" s="36" t="s">
        <v>2080</v>
      </c>
      <c r="BT52" s="36" t="s">
        <v>2080</v>
      </c>
      <c r="BU52" s="36" t="s">
        <v>2080</v>
      </c>
      <c r="BV52" s="36" t="s">
        <v>2080</v>
      </c>
      <c r="BW52" s="37">
        <f t="shared" si="114"/>
        <v>0</v>
      </c>
      <c r="BX52" s="37">
        <f t="shared" si="115"/>
        <v>0</v>
      </c>
      <c r="BY52" s="37">
        <f t="shared" si="116"/>
        <v>0</v>
      </c>
      <c r="BZ52" s="37">
        <f t="shared" si="117"/>
        <v>0</v>
      </c>
      <c r="CA52" s="37">
        <f t="shared" si="118"/>
        <v>0</v>
      </c>
      <c r="CB52" s="37">
        <f t="shared" si="119"/>
        <v>0</v>
      </c>
      <c r="CC52" s="37">
        <f t="shared" si="120"/>
        <v>0</v>
      </c>
      <c r="CD52" s="37">
        <f t="shared" si="121"/>
        <v>0</v>
      </c>
      <c r="CE52" s="36" t="s">
        <v>2067</v>
      </c>
      <c r="CF52" s="36" t="s">
        <v>2067</v>
      </c>
      <c r="CG52" s="36" t="s">
        <v>2067</v>
      </c>
      <c r="CH52" s="36" t="s">
        <v>2080</v>
      </c>
      <c r="CI52" s="37">
        <f t="shared" si="122"/>
        <v>0</v>
      </c>
      <c r="CJ52" s="37">
        <f t="shared" si="123"/>
        <v>0</v>
      </c>
      <c r="CK52" s="37">
        <f t="shared" si="124"/>
        <v>0</v>
      </c>
      <c r="CL52" s="37">
        <f t="shared" si="125"/>
        <v>0</v>
      </c>
      <c r="CM52" s="37">
        <f t="shared" si="126"/>
        <v>0</v>
      </c>
      <c r="CN52" s="37">
        <f t="shared" si="127"/>
        <v>0</v>
      </c>
      <c r="CO52" s="37">
        <f t="shared" si="128"/>
        <v>0</v>
      </c>
      <c r="CP52" s="37">
        <f t="shared" si="129"/>
        <v>0</v>
      </c>
      <c r="CQ52" s="37">
        <f t="shared" si="130"/>
        <v>3.3333333333333339</v>
      </c>
      <c r="CR52" s="37">
        <f t="shared" si="131"/>
        <v>5</v>
      </c>
      <c r="CS52" s="37">
        <f t="shared" si="132"/>
        <v>0</v>
      </c>
      <c r="CT52" s="37">
        <f t="shared" si="133"/>
        <v>10</v>
      </c>
      <c r="CU52" s="37">
        <f t="shared" si="134"/>
        <v>0</v>
      </c>
      <c r="CV52" s="37">
        <f t="shared" si="135"/>
        <v>0</v>
      </c>
      <c r="CW52" s="37">
        <f t="shared" si="136"/>
        <v>0</v>
      </c>
      <c r="CX52" s="37">
        <f t="shared" si="137"/>
        <v>0</v>
      </c>
      <c r="CY52" s="37">
        <f t="shared" si="138"/>
        <v>0</v>
      </c>
      <c r="CZ52" s="37">
        <f t="shared" si="139"/>
        <v>18.333333333333336</v>
      </c>
    </row>
    <row r="53" spans="1:104" x14ac:dyDescent="0.25">
      <c r="A53" s="149" t="s">
        <v>2215</v>
      </c>
      <c r="B53" s="53" t="s">
        <v>1948</v>
      </c>
      <c r="C53" s="53" t="s">
        <v>1948</v>
      </c>
      <c r="D53" s="53" t="s">
        <v>1947</v>
      </c>
      <c r="E53" s="61">
        <f t="shared" si="70"/>
        <v>1</v>
      </c>
      <c r="F53" s="61">
        <f t="shared" si="71"/>
        <v>1</v>
      </c>
      <c r="G53" s="61">
        <f t="shared" si="72"/>
        <v>0</v>
      </c>
      <c r="H53" s="61">
        <f t="shared" si="73"/>
        <v>2</v>
      </c>
      <c r="I53" s="53" t="s">
        <v>2165</v>
      </c>
      <c r="J53" s="53" t="s">
        <v>2165</v>
      </c>
      <c r="K53" s="53" t="s">
        <v>1948</v>
      </c>
      <c r="L53" s="61">
        <f t="shared" si="74"/>
        <v>0</v>
      </c>
      <c r="M53" s="61">
        <f t="shared" si="75"/>
        <v>0</v>
      </c>
      <c r="N53" s="61">
        <f t="shared" si="76"/>
        <v>1</v>
      </c>
      <c r="O53" s="61">
        <f t="shared" si="77"/>
        <v>1</v>
      </c>
      <c r="P53" s="61">
        <f t="shared" si="78"/>
        <v>50</v>
      </c>
      <c r="Q53" s="53" t="s">
        <v>1948</v>
      </c>
      <c r="R53" s="53" t="s">
        <v>1948</v>
      </c>
      <c r="S53" s="61">
        <f t="shared" si="79"/>
        <v>1</v>
      </c>
      <c r="T53" s="61">
        <f t="shared" si="80"/>
        <v>1</v>
      </c>
      <c r="U53" s="61">
        <f t="shared" si="81"/>
        <v>2</v>
      </c>
      <c r="V53" s="61">
        <f t="shared" si="82"/>
        <v>100</v>
      </c>
      <c r="W53" s="53" t="s">
        <v>1947</v>
      </c>
      <c r="X53" s="53" t="s">
        <v>1947</v>
      </c>
      <c r="Y53" s="53" t="s">
        <v>1947</v>
      </c>
      <c r="Z53" s="53" t="s">
        <v>1947</v>
      </c>
      <c r="AA53" s="53" t="s">
        <v>1948</v>
      </c>
      <c r="AB53" s="50">
        <f t="shared" si="83"/>
        <v>0</v>
      </c>
      <c r="AC53" s="50">
        <f t="shared" si="84"/>
        <v>0</v>
      </c>
      <c r="AD53" s="50">
        <f t="shared" si="85"/>
        <v>0</v>
      </c>
      <c r="AE53" s="50">
        <f t="shared" si="86"/>
        <v>0</v>
      </c>
      <c r="AF53" s="50">
        <f t="shared" si="87"/>
        <v>1</v>
      </c>
      <c r="AG53" s="50">
        <f t="shared" si="88"/>
        <v>1</v>
      </c>
      <c r="AH53" s="51">
        <f t="shared" si="89"/>
        <v>20</v>
      </c>
      <c r="AI53" s="51">
        <f t="shared" si="90"/>
        <v>170</v>
      </c>
      <c r="AJ53" s="53" t="s">
        <v>1948</v>
      </c>
      <c r="AK53" s="53" t="s">
        <v>1948</v>
      </c>
      <c r="AL53" s="53" t="s">
        <v>1948</v>
      </c>
      <c r="AM53" s="50">
        <f t="shared" si="91"/>
        <v>1</v>
      </c>
      <c r="AN53" s="50">
        <f t="shared" si="92"/>
        <v>1</v>
      </c>
      <c r="AO53" s="50">
        <f t="shared" si="93"/>
        <v>1</v>
      </c>
      <c r="AP53" s="50">
        <f t="shared" si="94"/>
        <v>3</v>
      </c>
      <c r="AQ53" s="50">
        <f t="shared" si="95"/>
        <v>100</v>
      </c>
      <c r="AR53" s="36" t="s">
        <v>2166</v>
      </c>
      <c r="AS53" s="36" t="s">
        <v>2166</v>
      </c>
      <c r="AT53" s="36" t="s">
        <v>2166</v>
      </c>
      <c r="AU53" s="37">
        <f t="shared" si="96"/>
        <v>1</v>
      </c>
      <c r="AV53" s="37">
        <f t="shared" si="97"/>
        <v>1</v>
      </c>
      <c r="AW53" s="37">
        <f t="shared" si="98"/>
        <v>1</v>
      </c>
      <c r="AX53" s="37">
        <f t="shared" si="99"/>
        <v>0</v>
      </c>
      <c r="AY53" s="37">
        <f t="shared" si="100"/>
        <v>0</v>
      </c>
      <c r="AZ53" s="36" t="s">
        <v>2167</v>
      </c>
      <c r="BA53" s="36" t="s">
        <v>2167</v>
      </c>
      <c r="BB53" s="37">
        <f t="shared" si="101"/>
        <v>1</v>
      </c>
      <c r="BC53" s="37">
        <f t="shared" si="102"/>
        <v>0.75</v>
      </c>
      <c r="BD53" s="37">
        <f t="shared" si="103"/>
        <v>0.75</v>
      </c>
      <c r="BE53" s="37">
        <f t="shared" si="104"/>
        <v>0</v>
      </c>
      <c r="BF53" s="36" t="s">
        <v>2167</v>
      </c>
      <c r="BG53" s="36" t="s">
        <v>2167</v>
      </c>
      <c r="BH53" s="37">
        <f t="shared" si="105"/>
        <v>1</v>
      </c>
      <c r="BI53" s="37">
        <f t="shared" si="106"/>
        <v>0.75</v>
      </c>
      <c r="BJ53" s="37">
        <f t="shared" si="107"/>
        <v>0.75</v>
      </c>
      <c r="BK53" s="37">
        <f t="shared" si="108"/>
        <v>0</v>
      </c>
      <c r="BL53" s="36" t="s">
        <v>2167</v>
      </c>
      <c r="BM53" s="36" t="s">
        <v>2167</v>
      </c>
      <c r="BN53" s="37">
        <f t="shared" si="109"/>
        <v>1</v>
      </c>
      <c r="BO53" s="37">
        <f t="shared" si="110"/>
        <v>0.75</v>
      </c>
      <c r="BP53" s="37">
        <f t="shared" si="111"/>
        <v>0.75</v>
      </c>
      <c r="BQ53" s="37">
        <f t="shared" si="112"/>
        <v>0</v>
      </c>
      <c r="BR53" s="37">
        <f t="shared" si="113"/>
        <v>0</v>
      </c>
      <c r="BS53" s="36" t="s">
        <v>2080</v>
      </c>
      <c r="BT53" s="36" t="s">
        <v>2080</v>
      </c>
      <c r="BU53" s="36" t="s">
        <v>2080</v>
      </c>
      <c r="BV53" s="36" t="s">
        <v>2080</v>
      </c>
      <c r="BW53" s="37">
        <f t="shared" si="114"/>
        <v>0</v>
      </c>
      <c r="BX53" s="37">
        <f t="shared" si="115"/>
        <v>0</v>
      </c>
      <c r="BY53" s="37">
        <f t="shared" si="116"/>
        <v>0</v>
      </c>
      <c r="BZ53" s="37">
        <f t="shared" si="117"/>
        <v>0</v>
      </c>
      <c r="CA53" s="37">
        <f t="shared" si="118"/>
        <v>0</v>
      </c>
      <c r="CB53" s="37">
        <f t="shared" si="119"/>
        <v>0</v>
      </c>
      <c r="CC53" s="37">
        <f t="shared" si="120"/>
        <v>0</v>
      </c>
      <c r="CD53" s="37">
        <f t="shared" si="121"/>
        <v>0</v>
      </c>
      <c r="CE53" s="36" t="s">
        <v>2067</v>
      </c>
      <c r="CF53" s="36" t="s">
        <v>2067</v>
      </c>
      <c r="CG53" s="36" t="s">
        <v>2067</v>
      </c>
      <c r="CH53" s="36" t="s">
        <v>2080</v>
      </c>
      <c r="CI53" s="37">
        <f t="shared" si="122"/>
        <v>0</v>
      </c>
      <c r="CJ53" s="37">
        <f t="shared" si="123"/>
        <v>0</v>
      </c>
      <c r="CK53" s="37">
        <f t="shared" si="124"/>
        <v>0</v>
      </c>
      <c r="CL53" s="37">
        <f t="shared" si="125"/>
        <v>0</v>
      </c>
      <c r="CM53" s="37">
        <f t="shared" si="126"/>
        <v>0</v>
      </c>
      <c r="CN53" s="37">
        <f t="shared" si="127"/>
        <v>0</v>
      </c>
      <c r="CO53" s="37">
        <f t="shared" si="128"/>
        <v>0</v>
      </c>
      <c r="CP53" s="37">
        <f t="shared" si="129"/>
        <v>0</v>
      </c>
      <c r="CQ53" s="37">
        <f t="shared" si="130"/>
        <v>5</v>
      </c>
      <c r="CR53" s="37">
        <f t="shared" si="131"/>
        <v>10</v>
      </c>
      <c r="CS53" s="37">
        <f t="shared" si="132"/>
        <v>2</v>
      </c>
      <c r="CT53" s="37">
        <f t="shared" si="133"/>
        <v>10</v>
      </c>
      <c r="CU53" s="37">
        <f t="shared" si="134"/>
        <v>0</v>
      </c>
      <c r="CV53" s="37">
        <f t="shared" si="135"/>
        <v>0</v>
      </c>
      <c r="CW53" s="37">
        <f t="shared" si="136"/>
        <v>0</v>
      </c>
      <c r="CX53" s="37">
        <f t="shared" si="137"/>
        <v>0</v>
      </c>
      <c r="CY53" s="37">
        <f t="shared" si="138"/>
        <v>0</v>
      </c>
      <c r="CZ53" s="37">
        <f t="shared" si="139"/>
        <v>27</v>
      </c>
    </row>
    <row r="54" spans="1:104" x14ac:dyDescent="0.25">
      <c r="A54" s="149" t="s">
        <v>2216</v>
      </c>
      <c r="B54" s="53" t="s">
        <v>1948</v>
      </c>
      <c r="C54" s="53" t="s">
        <v>1948</v>
      </c>
      <c r="D54" s="53" t="s">
        <v>1947</v>
      </c>
      <c r="E54" s="61">
        <f t="shared" si="70"/>
        <v>1</v>
      </c>
      <c r="F54" s="61">
        <f t="shared" si="71"/>
        <v>1</v>
      </c>
      <c r="G54" s="61">
        <f t="shared" si="72"/>
        <v>0</v>
      </c>
      <c r="H54" s="61">
        <f t="shared" si="73"/>
        <v>2</v>
      </c>
      <c r="I54" s="53" t="s">
        <v>2165</v>
      </c>
      <c r="J54" s="53" t="s">
        <v>2165</v>
      </c>
      <c r="K54" s="53" t="s">
        <v>1948</v>
      </c>
      <c r="L54" s="61">
        <f t="shared" si="74"/>
        <v>0</v>
      </c>
      <c r="M54" s="61">
        <f t="shared" si="75"/>
        <v>0</v>
      </c>
      <c r="N54" s="61">
        <f t="shared" si="76"/>
        <v>1</v>
      </c>
      <c r="O54" s="61">
        <f t="shared" si="77"/>
        <v>1</v>
      </c>
      <c r="P54" s="61">
        <f t="shared" si="78"/>
        <v>50</v>
      </c>
      <c r="Q54" s="53" t="s">
        <v>1948</v>
      </c>
      <c r="R54" s="53" t="s">
        <v>1948</v>
      </c>
      <c r="S54" s="61">
        <f t="shared" si="79"/>
        <v>1</v>
      </c>
      <c r="T54" s="61">
        <f t="shared" si="80"/>
        <v>1</v>
      </c>
      <c r="U54" s="61">
        <f t="shared" si="81"/>
        <v>2</v>
      </c>
      <c r="V54" s="61">
        <f t="shared" si="82"/>
        <v>100</v>
      </c>
      <c r="W54" s="53" t="s">
        <v>1947</v>
      </c>
      <c r="X54" s="53" t="s">
        <v>1947</v>
      </c>
      <c r="Y54" s="53" t="s">
        <v>1947</v>
      </c>
      <c r="Z54" s="53" t="s">
        <v>1947</v>
      </c>
      <c r="AA54" s="53" t="s">
        <v>1948</v>
      </c>
      <c r="AB54" s="50">
        <f t="shared" si="83"/>
        <v>0</v>
      </c>
      <c r="AC54" s="50">
        <f t="shared" si="84"/>
        <v>0</v>
      </c>
      <c r="AD54" s="50">
        <f t="shared" si="85"/>
        <v>0</v>
      </c>
      <c r="AE54" s="50">
        <f t="shared" si="86"/>
        <v>0</v>
      </c>
      <c r="AF54" s="50">
        <f t="shared" si="87"/>
        <v>1</v>
      </c>
      <c r="AG54" s="50">
        <f t="shared" si="88"/>
        <v>1</v>
      </c>
      <c r="AH54" s="51">
        <f t="shared" si="89"/>
        <v>20</v>
      </c>
      <c r="AI54" s="51">
        <f t="shared" si="90"/>
        <v>170</v>
      </c>
      <c r="AJ54" s="53" t="s">
        <v>1948</v>
      </c>
      <c r="AK54" s="53" t="s">
        <v>1948</v>
      </c>
      <c r="AL54" s="53" t="s">
        <v>1948</v>
      </c>
      <c r="AM54" s="50">
        <f t="shared" si="91"/>
        <v>1</v>
      </c>
      <c r="AN54" s="50">
        <f t="shared" si="92"/>
        <v>1</v>
      </c>
      <c r="AO54" s="50">
        <f t="shared" si="93"/>
        <v>1</v>
      </c>
      <c r="AP54" s="50">
        <f t="shared" si="94"/>
        <v>3</v>
      </c>
      <c r="AQ54" s="50">
        <f t="shared" si="95"/>
        <v>100</v>
      </c>
      <c r="AR54" s="36" t="s">
        <v>2166</v>
      </c>
      <c r="AS54" s="36" t="s">
        <v>2166</v>
      </c>
      <c r="AT54" s="36" t="s">
        <v>2166</v>
      </c>
      <c r="AU54" s="37">
        <f t="shared" si="96"/>
        <v>1</v>
      </c>
      <c r="AV54" s="37">
        <f t="shared" si="97"/>
        <v>1</v>
      </c>
      <c r="AW54" s="37">
        <f t="shared" si="98"/>
        <v>1</v>
      </c>
      <c r="AX54" s="37">
        <f t="shared" si="99"/>
        <v>0</v>
      </c>
      <c r="AY54" s="37">
        <f t="shared" si="100"/>
        <v>0</v>
      </c>
      <c r="AZ54" s="36" t="s">
        <v>2167</v>
      </c>
      <c r="BA54" s="36" t="s">
        <v>2167</v>
      </c>
      <c r="BB54" s="37">
        <f t="shared" si="101"/>
        <v>1</v>
      </c>
      <c r="BC54" s="37">
        <f t="shared" si="102"/>
        <v>0.75</v>
      </c>
      <c r="BD54" s="37">
        <f t="shared" si="103"/>
        <v>0.75</v>
      </c>
      <c r="BE54" s="37">
        <f t="shared" si="104"/>
        <v>0</v>
      </c>
      <c r="BF54" s="36" t="s">
        <v>2167</v>
      </c>
      <c r="BG54" s="36" t="s">
        <v>2167</v>
      </c>
      <c r="BH54" s="37">
        <f t="shared" si="105"/>
        <v>1</v>
      </c>
      <c r="BI54" s="37">
        <f t="shared" si="106"/>
        <v>0.75</v>
      </c>
      <c r="BJ54" s="37">
        <f t="shared" si="107"/>
        <v>0.75</v>
      </c>
      <c r="BK54" s="37">
        <f t="shared" si="108"/>
        <v>0</v>
      </c>
      <c r="BL54" s="36" t="s">
        <v>2167</v>
      </c>
      <c r="BM54" s="36" t="s">
        <v>2167</v>
      </c>
      <c r="BN54" s="37">
        <f t="shared" si="109"/>
        <v>1</v>
      </c>
      <c r="BO54" s="37">
        <f t="shared" si="110"/>
        <v>0.75</v>
      </c>
      <c r="BP54" s="37">
        <f t="shared" si="111"/>
        <v>0.75</v>
      </c>
      <c r="BQ54" s="37">
        <f t="shared" si="112"/>
        <v>0</v>
      </c>
      <c r="BR54" s="37">
        <f t="shared" si="113"/>
        <v>0</v>
      </c>
      <c r="BS54" s="36" t="s">
        <v>2080</v>
      </c>
      <c r="BT54" s="36" t="s">
        <v>2080</v>
      </c>
      <c r="BU54" s="36" t="s">
        <v>2080</v>
      </c>
      <c r="BV54" s="36" t="s">
        <v>2080</v>
      </c>
      <c r="BW54" s="37">
        <f t="shared" si="114"/>
        <v>0</v>
      </c>
      <c r="BX54" s="37">
        <f t="shared" si="115"/>
        <v>0</v>
      </c>
      <c r="BY54" s="37">
        <f t="shared" si="116"/>
        <v>0</v>
      </c>
      <c r="BZ54" s="37">
        <f t="shared" si="117"/>
        <v>0</v>
      </c>
      <c r="CA54" s="37">
        <f t="shared" si="118"/>
        <v>0</v>
      </c>
      <c r="CB54" s="37">
        <f t="shared" si="119"/>
        <v>0</v>
      </c>
      <c r="CC54" s="37">
        <f t="shared" si="120"/>
        <v>0</v>
      </c>
      <c r="CD54" s="37">
        <f t="shared" si="121"/>
        <v>0</v>
      </c>
      <c r="CE54" s="36" t="s">
        <v>2067</v>
      </c>
      <c r="CF54" s="36" t="s">
        <v>2067</v>
      </c>
      <c r="CG54" s="36" t="s">
        <v>2067</v>
      </c>
      <c r="CH54" s="36" t="s">
        <v>2080</v>
      </c>
      <c r="CI54" s="37">
        <f t="shared" si="122"/>
        <v>0</v>
      </c>
      <c r="CJ54" s="37">
        <f t="shared" si="123"/>
        <v>0</v>
      </c>
      <c r="CK54" s="37">
        <f t="shared" si="124"/>
        <v>0</v>
      </c>
      <c r="CL54" s="37">
        <f t="shared" si="125"/>
        <v>0</v>
      </c>
      <c r="CM54" s="37">
        <f t="shared" si="126"/>
        <v>0</v>
      </c>
      <c r="CN54" s="37">
        <f t="shared" si="127"/>
        <v>0</v>
      </c>
      <c r="CO54" s="37">
        <f t="shared" si="128"/>
        <v>0</v>
      </c>
      <c r="CP54" s="37">
        <f t="shared" si="129"/>
        <v>0</v>
      </c>
      <c r="CQ54" s="37">
        <f t="shared" si="130"/>
        <v>5</v>
      </c>
      <c r="CR54" s="37">
        <f t="shared" si="131"/>
        <v>10</v>
      </c>
      <c r="CS54" s="37">
        <f t="shared" si="132"/>
        <v>2</v>
      </c>
      <c r="CT54" s="37">
        <f t="shared" si="133"/>
        <v>10</v>
      </c>
      <c r="CU54" s="37">
        <f t="shared" si="134"/>
        <v>0</v>
      </c>
      <c r="CV54" s="37">
        <f t="shared" si="135"/>
        <v>0</v>
      </c>
      <c r="CW54" s="37">
        <f t="shared" si="136"/>
        <v>0</v>
      </c>
      <c r="CX54" s="37">
        <f t="shared" si="137"/>
        <v>0</v>
      </c>
      <c r="CY54" s="37">
        <f t="shared" si="138"/>
        <v>0</v>
      </c>
      <c r="CZ54" s="37">
        <f t="shared" si="139"/>
        <v>27</v>
      </c>
    </row>
    <row r="55" spans="1:104" x14ac:dyDescent="0.25">
      <c r="A55" s="149" t="s">
        <v>2217</v>
      </c>
      <c r="B55" s="53" t="s">
        <v>1947</v>
      </c>
      <c r="C55" s="53" t="s">
        <v>1948</v>
      </c>
      <c r="D55" s="53" t="s">
        <v>1947</v>
      </c>
      <c r="E55" s="61">
        <f t="shared" si="70"/>
        <v>0</v>
      </c>
      <c r="F55" s="61">
        <f t="shared" si="71"/>
        <v>1</v>
      </c>
      <c r="G55" s="61">
        <f t="shared" si="72"/>
        <v>0</v>
      </c>
      <c r="H55" s="61">
        <f t="shared" si="73"/>
        <v>1</v>
      </c>
      <c r="I55" s="53" t="s">
        <v>2165</v>
      </c>
      <c r="J55" s="53" t="s">
        <v>2165</v>
      </c>
      <c r="K55" s="53" t="s">
        <v>1948</v>
      </c>
      <c r="L55" s="61">
        <f t="shared" si="74"/>
        <v>0</v>
      </c>
      <c r="M55" s="61">
        <f t="shared" si="75"/>
        <v>0</v>
      </c>
      <c r="N55" s="61">
        <f t="shared" si="76"/>
        <v>1</v>
      </c>
      <c r="O55" s="61">
        <f t="shared" si="77"/>
        <v>1</v>
      </c>
      <c r="P55" s="61">
        <f t="shared" si="78"/>
        <v>33.333333333333336</v>
      </c>
      <c r="Q55" s="53" t="s">
        <v>1948</v>
      </c>
      <c r="R55" s="53" t="s">
        <v>1947</v>
      </c>
      <c r="S55" s="61">
        <f t="shared" si="79"/>
        <v>1</v>
      </c>
      <c r="T55" s="61">
        <f t="shared" si="80"/>
        <v>0</v>
      </c>
      <c r="U55" s="61">
        <f t="shared" si="81"/>
        <v>1</v>
      </c>
      <c r="V55" s="61">
        <f t="shared" si="82"/>
        <v>50</v>
      </c>
      <c r="W55" s="53" t="s">
        <v>1947</v>
      </c>
      <c r="X55" s="53" t="s">
        <v>1947</v>
      </c>
      <c r="Y55" s="53" t="s">
        <v>1947</v>
      </c>
      <c r="Z55" s="53" t="s">
        <v>1947</v>
      </c>
      <c r="AA55" s="53" t="s">
        <v>1947</v>
      </c>
      <c r="AB55" s="50">
        <f t="shared" si="83"/>
        <v>0</v>
      </c>
      <c r="AC55" s="50">
        <f t="shared" si="84"/>
        <v>0</v>
      </c>
      <c r="AD55" s="50">
        <f t="shared" si="85"/>
        <v>0</v>
      </c>
      <c r="AE55" s="50">
        <f t="shared" si="86"/>
        <v>0</v>
      </c>
      <c r="AF55" s="50">
        <f t="shared" si="87"/>
        <v>0</v>
      </c>
      <c r="AG55" s="50">
        <f t="shared" si="88"/>
        <v>0</v>
      </c>
      <c r="AH55" s="51">
        <f t="shared" si="89"/>
        <v>0</v>
      </c>
      <c r="AI55" s="51">
        <f t="shared" si="90"/>
        <v>83.333333333333343</v>
      </c>
      <c r="AJ55" s="53" t="s">
        <v>1948</v>
      </c>
      <c r="AK55" s="53" t="s">
        <v>1948</v>
      </c>
      <c r="AL55" s="53" t="s">
        <v>1948</v>
      </c>
      <c r="AM55" s="50">
        <f t="shared" si="91"/>
        <v>1</v>
      </c>
      <c r="AN55" s="50">
        <f t="shared" si="92"/>
        <v>1</v>
      </c>
      <c r="AO55" s="50">
        <f t="shared" si="93"/>
        <v>1</v>
      </c>
      <c r="AP55" s="50">
        <f t="shared" si="94"/>
        <v>3</v>
      </c>
      <c r="AQ55" s="50">
        <f t="shared" si="95"/>
        <v>100</v>
      </c>
      <c r="AR55" s="36" t="s">
        <v>2166</v>
      </c>
      <c r="AS55" s="36" t="s">
        <v>2166</v>
      </c>
      <c r="AT55" s="36" t="s">
        <v>2166</v>
      </c>
      <c r="AU55" s="37">
        <f t="shared" si="96"/>
        <v>1</v>
      </c>
      <c r="AV55" s="37">
        <f t="shared" si="97"/>
        <v>1</v>
      </c>
      <c r="AW55" s="37">
        <f t="shared" si="98"/>
        <v>1</v>
      </c>
      <c r="AX55" s="37">
        <f t="shared" si="99"/>
        <v>0</v>
      </c>
      <c r="AY55" s="37">
        <f t="shared" si="100"/>
        <v>0</v>
      </c>
      <c r="AZ55" s="36" t="s">
        <v>2167</v>
      </c>
      <c r="BA55" s="36" t="s">
        <v>2167</v>
      </c>
      <c r="BB55" s="37">
        <f t="shared" si="101"/>
        <v>1</v>
      </c>
      <c r="BC55" s="37">
        <f t="shared" si="102"/>
        <v>0.75</v>
      </c>
      <c r="BD55" s="37">
        <f t="shared" si="103"/>
        <v>0.75</v>
      </c>
      <c r="BE55" s="37">
        <f t="shared" si="104"/>
        <v>0</v>
      </c>
      <c r="BF55" s="36" t="s">
        <v>2167</v>
      </c>
      <c r="BG55" s="36" t="s">
        <v>2167</v>
      </c>
      <c r="BH55" s="37">
        <f t="shared" si="105"/>
        <v>1</v>
      </c>
      <c r="BI55" s="37">
        <f t="shared" si="106"/>
        <v>0.75</v>
      </c>
      <c r="BJ55" s="37">
        <f t="shared" si="107"/>
        <v>0.75</v>
      </c>
      <c r="BK55" s="37">
        <f t="shared" si="108"/>
        <v>0</v>
      </c>
      <c r="BL55" s="36" t="s">
        <v>2167</v>
      </c>
      <c r="BM55" s="36" t="s">
        <v>2167</v>
      </c>
      <c r="BN55" s="37">
        <f t="shared" si="109"/>
        <v>1</v>
      </c>
      <c r="BO55" s="37">
        <f t="shared" si="110"/>
        <v>0.75</v>
      </c>
      <c r="BP55" s="37">
        <f t="shared" si="111"/>
        <v>0.75</v>
      </c>
      <c r="BQ55" s="37">
        <f t="shared" si="112"/>
        <v>0</v>
      </c>
      <c r="BR55" s="37">
        <f t="shared" si="113"/>
        <v>0</v>
      </c>
      <c r="BS55" s="36" t="s">
        <v>2080</v>
      </c>
      <c r="BT55" s="36" t="s">
        <v>2080</v>
      </c>
      <c r="BU55" s="36" t="s">
        <v>2080</v>
      </c>
      <c r="BV55" s="36" t="s">
        <v>2080</v>
      </c>
      <c r="BW55" s="37">
        <f t="shared" si="114"/>
        <v>0</v>
      </c>
      <c r="BX55" s="37">
        <f t="shared" si="115"/>
        <v>0</v>
      </c>
      <c r="BY55" s="37">
        <f t="shared" si="116"/>
        <v>0</v>
      </c>
      <c r="BZ55" s="37">
        <f t="shared" si="117"/>
        <v>0</v>
      </c>
      <c r="CA55" s="37">
        <f t="shared" si="118"/>
        <v>0</v>
      </c>
      <c r="CB55" s="37">
        <f t="shared" si="119"/>
        <v>0</v>
      </c>
      <c r="CC55" s="37">
        <f t="shared" si="120"/>
        <v>0</v>
      </c>
      <c r="CD55" s="37">
        <f t="shared" si="121"/>
        <v>0</v>
      </c>
      <c r="CE55" s="36" t="s">
        <v>2067</v>
      </c>
      <c r="CF55" s="36" t="s">
        <v>2067</v>
      </c>
      <c r="CG55" s="36" t="s">
        <v>2067</v>
      </c>
      <c r="CH55" s="36" t="s">
        <v>2080</v>
      </c>
      <c r="CI55" s="37">
        <f t="shared" si="122"/>
        <v>0</v>
      </c>
      <c r="CJ55" s="37">
        <f t="shared" si="123"/>
        <v>0</v>
      </c>
      <c r="CK55" s="37">
        <f t="shared" si="124"/>
        <v>0</v>
      </c>
      <c r="CL55" s="37">
        <f t="shared" si="125"/>
        <v>0</v>
      </c>
      <c r="CM55" s="37">
        <f t="shared" si="126"/>
        <v>0</v>
      </c>
      <c r="CN55" s="37">
        <f t="shared" si="127"/>
        <v>0</v>
      </c>
      <c r="CO55" s="37">
        <f t="shared" si="128"/>
        <v>0</v>
      </c>
      <c r="CP55" s="37">
        <f t="shared" si="129"/>
        <v>0</v>
      </c>
      <c r="CQ55" s="37">
        <f t="shared" si="130"/>
        <v>3.3333333333333339</v>
      </c>
      <c r="CR55" s="37">
        <f t="shared" si="131"/>
        <v>5</v>
      </c>
      <c r="CS55" s="37">
        <f t="shared" si="132"/>
        <v>0</v>
      </c>
      <c r="CT55" s="37">
        <f t="shared" si="133"/>
        <v>10</v>
      </c>
      <c r="CU55" s="37">
        <f t="shared" si="134"/>
        <v>0</v>
      </c>
      <c r="CV55" s="37">
        <f t="shared" si="135"/>
        <v>0</v>
      </c>
      <c r="CW55" s="37">
        <f t="shared" si="136"/>
        <v>0</v>
      </c>
      <c r="CX55" s="37">
        <f t="shared" si="137"/>
        <v>0</v>
      </c>
      <c r="CY55" s="37">
        <f t="shared" si="138"/>
        <v>0</v>
      </c>
      <c r="CZ55" s="37">
        <f t="shared" si="139"/>
        <v>18.333333333333336</v>
      </c>
    </row>
    <row r="56" spans="1:104" x14ac:dyDescent="0.25">
      <c r="A56" s="149" t="s">
        <v>2218</v>
      </c>
      <c r="B56" s="53" t="s">
        <v>1947</v>
      </c>
      <c r="C56" s="53" t="s">
        <v>1948</v>
      </c>
      <c r="D56" s="53" t="s">
        <v>1947</v>
      </c>
      <c r="E56" s="61">
        <f t="shared" si="70"/>
        <v>0</v>
      </c>
      <c r="F56" s="61">
        <f t="shared" si="71"/>
        <v>1</v>
      </c>
      <c r="G56" s="61">
        <f t="shared" si="72"/>
        <v>0</v>
      </c>
      <c r="H56" s="61">
        <f t="shared" si="73"/>
        <v>1</v>
      </c>
      <c r="I56" s="53" t="s">
        <v>2165</v>
      </c>
      <c r="J56" s="53" t="s">
        <v>2165</v>
      </c>
      <c r="K56" s="53" t="s">
        <v>1948</v>
      </c>
      <c r="L56" s="61">
        <f t="shared" si="74"/>
        <v>0</v>
      </c>
      <c r="M56" s="61">
        <f t="shared" si="75"/>
        <v>0</v>
      </c>
      <c r="N56" s="61">
        <f t="shared" si="76"/>
        <v>1</v>
      </c>
      <c r="O56" s="61">
        <f t="shared" si="77"/>
        <v>1</v>
      </c>
      <c r="P56" s="61">
        <f t="shared" si="78"/>
        <v>33.333333333333336</v>
      </c>
      <c r="Q56" s="53" t="s">
        <v>1948</v>
      </c>
      <c r="R56" s="53" t="s">
        <v>1947</v>
      </c>
      <c r="S56" s="61">
        <f t="shared" si="79"/>
        <v>1</v>
      </c>
      <c r="T56" s="61">
        <f t="shared" si="80"/>
        <v>0</v>
      </c>
      <c r="U56" s="61">
        <f t="shared" si="81"/>
        <v>1</v>
      </c>
      <c r="V56" s="61">
        <f t="shared" si="82"/>
        <v>50</v>
      </c>
      <c r="W56" s="53" t="s">
        <v>1947</v>
      </c>
      <c r="X56" s="53" t="s">
        <v>1947</v>
      </c>
      <c r="Y56" s="53" t="s">
        <v>1947</v>
      </c>
      <c r="Z56" s="53" t="s">
        <v>1947</v>
      </c>
      <c r="AA56" s="53" t="s">
        <v>1947</v>
      </c>
      <c r="AB56" s="50">
        <f t="shared" si="83"/>
        <v>0</v>
      </c>
      <c r="AC56" s="50">
        <f t="shared" si="84"/>
        <v>0</v>
      </c>
      <c r="AD56" s="50">
        <f t="shared" si="85"/>
        <v>0</v>
      </c>
      <c r="AE56" s="50">
        <f t="shared" si="86"/>
        <v>0</v>
      </c>
      <c r="AF56" s="50">
        <f t="shared" si="87"/>
        <v>0</v>
      </c>
      <c r="AG56" s="50">
        <f t="shared" si="88"/>
        <v>0</v>
      </c>
      <c r="AH56" s="51">
        <f t="shared" si="89"/>
        <v>0</v>
      </c>
      <c r="AI56" s="51">
        <f t="shared" si="90"/>
        <v>83.333333333333343</v>
      </c>
      <c r="AJ56" s="53" t="s">
        <v>1948</v>
      </c>
      <c r="AK56" s="53" t="s">
        <v>1948</v>
      </c>
      <c r="AL56" s="53" t="s">
        <v>1948</v>
      </c>
      <c r="AM56" s="50">
        <f t="shared" si="91"/>
        <v>1</v>
      </c>
      <c r="AN56" s="50">
        <f t="shared" si="92"/>
        <v>1</v>
      </c>
      <c r="AO56" s="50">
        <f t="shared" si="93"/>
        <v>1</v>
      </c>
      <c r="AP56" s="50">
        <f t="shared" si="94"/>
        <v>3</v>
      </c>
      <c r="AQ56" s="50">
        <f t="shared" si="95"/>
        <v>100</v>
      </c>
      <c r="AR56" s="36" t="s">
        <v>2166</v>
      </c>
      <c r="AS56" s="36" t="s">
        <v>2166</v>
      </c>
      <c r="AT56" s="36" t="s">
        <v>2166</v>
      </c>
      <c r="AU56" s="37">
        <f t="shared" si="96"/>
        <v>1</v>
      </c>
      <c r="AV56" s="37">
        <f t="shared" si="97"/>
        <v>1</v>
      </c>
      <c r="AW56" s="37">
        <f t="shared" si="98"/>
        <v>1</v>
      </c>
      <c r="AX56" s="37">
        <f t="shared" si="99"/>
        <v>0</v>
      </c>
      <c r="AY56" s="37">
        <f t="shared" si="100"/>
        <v>0</v>
      </c>
      <c r="AZ56" s="36" t="s">
        <v>2167</v>
      </c>
      <c r="BA56" s="36" t="s">
        <v>2167</v>
      </c>
      <c r="BB56" s="37">
        <f t="shared" si="101"/>
        <v>1</v>
      </c>
      <c r="BC56" s="37">
        <f t="shared" si="102"/>
        <v>0.75</v>
      </c>
      <c r="BD56" s="37">
        <f t="shared" si="103"/>
        <v>0.75</v>
      </c>
      <c r="BE56" s="37">
        <f t="shared" si="104"/>
        <v>0</v>
      </c>
      <c r="BF56" s="36" t="s">
        <v>2167</v>
      </c>
      <c r="BG56" s="36" t="s">
        <v>2167</v>
      </c>
      <c r="BH56" s="37">
        <f t="shared" si="105"/>
        <v>1</v>
      </c>
      <c r="BI56" s="37">
        <f t="shared" si="106"/>
        <v>0.75</v>
      </c>
      <c r="BJ56" s="37">
        <f t="shared" si="107"/>
        <v>0.75</v>
      </c>
      <c r="BK56" s="37">
        <f t="shared" si="108"/>
        <v>0</v>
      </c>
      <c r="BL56" s="36" t="s">
        <v>2167</v>
      </c>
      <c r="BM56" s="36" t="s">
        <v>2167</v>
      </c>
      <c r="BN56" s="37">
        <f t="shared" si="109"/>
        <v>1</v>
      </c>
      <c r="BO56" s="37">
        <f t="shared" si="110"/>
        <v>0.75</v>
      </c>
      <c r="BP56" s="37">
        <f t="shared" si="111"/>
        <v>0.75</v>
      </c>
      <c r="BQ56" s="37">
        <f t="shared" si="112"/>
        <v>0</v>
      </c>
      <c r="BR56" s="37">
        <f t="shared" si="113"/>
        <v>0</v>
      </c>
      <c r="BS56" s="36" t="s">
        <v>2080</v>
      </c>
      <c r="BT56" s="36" t="s">
        <v>2080</v>
      </c>
      <c r="BU56" s="36" t="s">
        <v>2080</v>
      </c>
      <c r="BV56" s="36" t="s">
        <v>2080</v>
      </c>
      <c r="BW56" s="37">
        <f t="shared" si="114"/>
        <v>0</v>
      </c>
      <c r="BX56" s="37">
        <f t="shared" si="115"/>
        <v>0</v>
      </c>
      <c r="BY56" s="37">
        <f t="shared" si="116"/>
        <v>0</v>
      </c>
      <c r="BZ56" s="37">
        <f t="shared" si="117"/>
        <v>0</v>
      </c>
      <c r="CA56" s="37">
        <f t="shared" si="118"/>
        <v>0</v>
      </c>
      <c r="CB56" s="37">
        <f t="shared" si="119"/>
        <v>0</v>
      </c>
      <c r="CC56" s="37">
        <f t="shared" si="120"/>
        <v>0</v>
      </c>
      <c r="CD56" s="37">
        <f t="shared" si="121"/>
        <v>0</v>
      </c>
      <c r="CE56" s="36" t="s">
        <v>2067</v>
      </c>
      <c r="CF56" s="36" t="s">
        <v>2067</v>
      </c>
      <c r="CG56" s="36" t="s">
        <v>2067</v>
      </c>
      <c r="CH56" s="36" t="s">
        <v>2080</v>
      </c>
      <c r="CI56" s="37">
        <f t="shared" si="122"/>
        <v>0</v>
      </c>
      <c r="CJ56" s="37">
        <f t="shared" si="123"/>
        <v>0</v>
      </c>
      <c r="CK56" s="37">
        <f t="shared" si="124"/>
        <v>0</v>
      </c>
      <c r="CL56" s="37">
        <f t="shared" si="125"/>
        <v>0</v>
      </c>
      <c r="CM56" s="37">
        <f t="shared" si="126"/>
        <v>0</v>
      </c>
      <c r="CN56" s="37">
        <f t="shared" si="127"/>
        <v>0</v>
      </c>
      <c r="CO56" s="37">
        <f t="shared" si="128"/>
        <v>0</v>
      </c>
      <c r="CP56" s="37">
        <f t="shared" si="129"/>
        <v>0</v>
      </c>
      <c r="CQ56" s="37">
        <f t="shared" si="130"/>
        <v>3.3333333333333339</v>
      </c>
      <c r="CR56" s="37">
        <f t="shared" si="131"/>
        <v>5</v>
      </c>
      <c r="CS56" s="37">
        <f t="shared" si="132"/>
        <v>0</v>
      </c>
      <c r="CT56" s="37">
        <f t="shared" si="133"/>
        <v>10</v>
      </c>
      <c r="CU56" s="37">
        <f t="shared" si="134"/>
        <v>0</v>
      </c>
      <c r="CV56" s="37">
        <f t="shared" si="135"/>
        <v>0</v>
      </c>
      <c r="CW56" s="37">
        <f t="shared" si="136"/>
        <v>0</v>
      </c>
      <c r="CX56" s="37">
        <f t="shared" si="137"/>
        <v>0</v>
      </c>
      <c r="CY56" s="37">
        <f t="shared" si="138"/>
        <v>0</v>
      </c>
      <c r="CZ56" s="37">
        <f t="shared" si="139"/>
        <v>18.333333333333336</v>
      </c>
    </row>
    <row r="57" spans="1:104" x14ac:dyDescent="0.25">
      <c r="A57" s="149" t="s">
        <v>2219</v>
      </c>
      <c r="B57" s="53" t="s">
        <v>1947</v>
      </c>
      <c r="C57" s="53" t="s">
        <v>1948</v>
      </c>
      <c r="D57" s="53" t="s">
        <v>1947</v>
      </c>
      <c r="E57" s="61">
        <f t="shared" si="70"/>
        <v>0</v>
      </c>
      <c r="F57" s="61">
        <f t="shared" si="71"/>
        <v>1</v>
      </c>
      <c r="G57" s="61">
        <f t="shared" si="72"/>
        <v>0</v>
      </c>
      <c r="H57" s="61">
        <f t="shared" si="73"/>
        <v>1</v>
      </c>
      <c r="I57" s="53" t="s">
        <v>2165</v>
      </c>
      <c r="J57" s="53" t="s">
        <v>2165</v>
      </c>
      <c r="K57" s="53" t="s">
        <v>1948</v>
      </c>
      <c r="L57" s="61">
        <f t="shared" si="74"/>
        <v>0</v>
      </c>
      <c r="M57" s="61">
        <f t="shared" si="75"/>
        <v>0</v>
      </c>
      <c r="N57" s="61">
        <f t="shared" si="76"/>
        <v>1</v>
      </c>
      <c r="O57" s="61">
        <f t="shared" si="77"/>
        <v>1</v>
      </c>
      <c r="P57" s="61">
        <f t="shared" si="78"/>
        <v>33.333333333333336</v>
      </c>
      <c r="Q57" s="53" t="s">
        <v>1948</v>
      </c>
      <c r="R57" s="53" t="s">
        <v>1947</v>
      </c>
      <c r="S57" s="61">
        <f t="shared" si="79"/>
        <v>1</v>
      </c>
      <c r="T57" s="61">
        <f t="shared" si="80"/>
        <v>0</v>
      </c>
      <c r="U57" s="61">
        <f t="shared" si="81"/>
        <v>1</v>
      </c>
      <c r="V57" s="61">
        <f t="shared" si="82"/>
        <v>50</v>
      </c>
      <c r="W57" s="53" t="s">
        <v>1947</v>
      </c>
      <c r="X57" s="53" t="s">
        <v>1947</v>
      </c>
      <c r="Y57" s="53" t="s">
        <v>1947</v>
      </c>
      <c r="Z57" s="53" t="s">
        <v>1947</v>
      </c>
      <c r="AA57" s="53" t="s">
        <v>1947</v>
      </c>
      <c r="AB57" s="50">
        <f t="shared" si="83"/>
        <v>0</v>
      </c>
      <c r="AC57" s="50">
        <f t="shared" si="84"/>
        <v>0</v>
      </c>
      <c r="AD57" s="50">
        <f t="shared" si="85"/>
        <v>0</v>
      </c>
      <c r="AE57" s="50">
        <f t="shared" si="86"/>
        <v>0</v>
      </c>
      <c r="AF57" s="50">
        <f t="shared" si="87"/>
        <v>0</v>
      </c>
      <c r="AG57" s="50">
        <f t="shared" si="88"/>
        <v>0</v>
      </c>
      <c r="AH57" s="51">
        <f t="shared" si="89"/>
        <v>0</v>
      </c>
      <c r="AI57" s="51">
        <f t="shared" si="90"/>
        <v>83.333333333333343</v>
      </c>
      <c r="AJ57" s="53" t="s">
        <v>1948</v>
      </c>
      <c r="AK57" s="53" t="s">
        <v>1948</v>
      </c>
      <c r="AL57" s="53" t="s">
        <v>1948</v>
      </c>
      <c r="AM57" s="50">
        <f t="shared" si="91"/>
        <v>1</v>
      </c>
      <c r="AN57" s="50">
        <f t="shared" si="92"/>
        <v>1</v>
      </c>
      <c r="AO57" s="50">
        <f t="shared" si="93"/>
        <v>1</v>
      </c>
      <c r="AP57" s="50">
        <f t="shared" si="94"/>
        <v>3</v>
      </c>
      <c r="AQ57" s="50">
        <f t="shared" si="95"/>
        <v>100</v>
      </c>
      <c r="AR57" s="36" t="s">
        <v>2166</v>
      </c>
      <c r="AS57" s="36" t="s">
        <v>2166</v>
      </c>
      <c r="AT57" s="36" t="s">
        <v>2166</v>
      </c>
      <c r="AU57" s="37">
        <f t="shared" si="96"/>
        <v>1</v>
      </c>
      <c r="AV57" s="37">
        <f t="shared" si="97"/>
        <v>1</v>
      </c>
      <c r="AW57" s="37">
        <f t="shared" si="98"/>
        <v>1</v>
      </c>
      <c r="AX57" s="37">
        <f t="shared" si="99"/>
        <v>0</v>
      </c>
      <c r="AY57" s="37">
        <f t="shared" si="100"/>
        <v>0</v>
      </c>
      <c r="AZ57" s="36" t="s">
        <v>2167</v>
      </c>
      <c r="BA57" s="36" t="s">
        <v>2167</v>
      </c>
      <c r="BB57" s="37">
        <f t="shared" si="101"/>
        <v>1</v>
      </c>
      <c r="BC57" s="37">
        <f t="shared" si="102"/>
        <v>0.75</v>
      </c>
      <c r="BD57" s="37">
        <f t="shared" si="103"/>
        <v>0.75</v>
      </c>
      <c r="BE57" s="37">
        <f t="shared" si="104"/>
        <v>0</v>
      </c>
      <c r="BF57" s="36" t="s">
        <v>2167</v>
      </c>
      <c r="BG57" s="36" t="s">
        <v>2167</v>
      </c>
      <c r="BH57" s="37">
        <f t="shared" si="105"/>
        <v>1</v>
      </c>
      <c r="BI57" s="37">
        <f t="shared" si="106"/>
        <v>0.75</v>
      </c>
      <c r="BJ57" s="37">
        <f t="shared" si="107"/>
        <v>0.75</v>
      </c>
      <c r="BK57" s="37">
        <f t="shared" si="108"/>
        <v>0</v>
      </c>
      <c r="BL57" s="36" t="s">
        <v>2167</v>
      </c>
      <c r="BM57" s="36" t="s">
        <v>2167</v>
      </c>
      <c r="BN57" s="37">
        <f t="shared" si="109"/>
        <v>1</v>
      </c>
      <c r="BO57" s="37">
        <f t="shared" si="110"/>
        <v>0.75</v>
      </c>
      <c r="BP57" s="37">
        <f t="shared" si="111"/>
        <v>0.75</v>
      </c>
      <c r="BQ57" s="37">
        <f t="shared" si="112"/>
        <v>0</v>
      </c>
      <c r="BR57" s="37">
        <f t="shared" si="113"/>
        <v>0</v>
      </c>
      <c r="BS57" s="36" t="s">
        <v>2080</v>
      </c>
      <c r="BT57" s="36" t="s">
        <v>2080</v>
      </c>
      <c r="BU57" s="36" t="s">
        <v>2080</v>
      </c>
      <c r="BV57" s="36" t="s">
        <v>2080</v>
      </c>
      <c r="BW57" s="37">
        <f t="shared" si="114"/>
        <v>0</v>
      </c>
      <c r="BX57" s="37">
        <f t="shared" si="115"/>
        <v>0</v>
      </c>
      <c r="BY57" s="37">
        <f t="shared" si="116"/>
        <v>0</v>
      </c>
      <c r="BZ57" s="37">
        <f t="shared" si="117"/>
        <v>0</v>
      </c>
      <c r="CA57" s="37">
        <f t="shared" si="118"/>
        <v>0</v>
      </c>
      <c r="CB57" s="37">
        <f t="shared" si="119"/>
        <v>0</v>
      </c>
      <c r="CC57" s="37">
        <f t="shared" si="120"/>
        <v>0</v>
      </c>
      <c r="CD57" s="37">
        <f t="shared" si="121"/>
        <v>0</v>
      </c>
      <c r="CE57" s="36" t="s">
        <v>2067</v>
      </c>
      <c r="CF57" s="36" t="s">
        <v>2067</v>
      </c>
      <c r="CG57" s="36" t="s">
        <v>2067</v>
      </c>
      <c r="CH57" s="36" t="s">
        <v>2080</v>
      </c>
      <c r="CI57" s="37">
        <f t="shared" si="122"/>
        <v>0</v>
      </c>
      <c r="CJ57" s="37">
        <f t="shared" si="123"/>
        <v>0</v>
      </c>
      <c r="CK57" s="37">
        <f t="shared" si="124"/>
        <v>0</v>
      </c>
      <c r="CL57" s="37">
        <f t="shared" si="125"/>
        <v>0</v>
      </c>
      <c r="CM57" s="37">
        <f t="shared" si="126"/>
        <v>0</v>
      </c>
      <c r="CN57" s="37">
        <f t="shared" si="127"/>
        <v>0</v>
      </c>
      <c r="CO57" s="37">
        <f t="shared" si="128"/>
        <v>0</v>
      </c>
      <c r="CP57" s="37">
        <f t="shared" si="129"/>
        <v>0</v>
      </c>
      <c r="CQ57" s="37">
        <f t="shared" si="130"/>
        <v>3.3333333333333339</v>
      </c>
      <c r="CR57" s="37">
        <f t="shared" si="131"/>
        <v>5</v>
      </c>
      <c r="CS57" s="37">
        <f t="shared" si="132"/>
        <v>0</v>
      </c>
      <c r="CT57" s="37">
        <f t="shared" si="133"/>
        <v>10</v>
      </c>
      <c r="CU57" s="37">
        <f t="shared" si="134"/>
        <v>0</v>
      </c>
      <c r="CV57" s="37">
        <f t="shared" si="135"/>
        <v>0</v>
      </c>
      <c r="CW57" s="37">
        <f t="shared" si="136"/>
        <v>0</v>
      </c>
      <c r="CX57" s="37">
        <f t="shared" si="137"/>
        <v>0</v>
      </c>
      <c r="CY57" s="37">
        <f t="shared" si="138"/>
        <v>0</v>
      </c>
      <c r="CZ57" s="37">
        <f t="shared" si="139"/>
        <v>18.333333333333336</v>
      </c>
    </row>
    <row r="58" spans="1:104" x14ac:dyDescent="0.25">
      <c r="A58" s="149" t="s">
        <v>2220</v>
      </c>
      <c r="B58" s="53" t="s">
        <v>1947</v>
      </c>
      <c r="C58" s="53" t="s">
        <v>1948</v>
      </c>
      <c r="D58" s="53" t="s">
        <v>1947</v>
      </c>
      <c r="E58" s="61">
        <f t="shared" si="70"/>
        <v>0</v>
      </c>
      <c r="F58" s="61">
        <f t="shared" si="71"/>
        <v>1</v>
      </c>
      <c r="G58" s="61">
        <f t="shared" si="72"/>
        <v>0</v>
      </c>
      <c r="H58" s="61">
        <f t="shared" si="73"/>
        <v>1</v>
      </c>
      <c r="I58" s="53" t="s">
        <v>2165</v>
      </c>
      <c r="J58" s="53" t="s">
        <v>2165</v>
      </c>
      <c r="K58" s="53" t="s">
        <v>1948</v>
      </c>
      <c r="L58" s="61">
        <f t="shared" si="74"/>
        <v>0</v>
      </c>
      <c r="M58" s="61">
        <f t="shared" si="75"/>
        <v>0</v>
      </c>
      <c r="N58" s="61">
        <f t="shared" si="76"/>
        <v>1</v>
      </c>
      <c r="O58" s="61">
        <f t="shared" si="77"/>
        <v>1</v>
      </c>
      <c r="P58" s="61">
        <f t="shared" si="78"/>
        <v>33.333333333333336</v>
      </c>
      <c r="Q58" s="53" t="s">
        <v>1948</v>
      </c>
      <c r="R58" s="53" t="s">
        <v>1947</v>
      </c>
      <c r="S58" s="61">
        <f t="shared" si="79"/>
        <v>1</v>
      </c>
      <c r="T58" s="61">
        <f t="shared" si="80"/>
        <v>0</v>
      </c>
      <c r="U58" s="61">
        <f t="shared" si="81"/>
        <v>1</v>
      </c>
      <c r="V58" s="61">
        <f t="shared" si="82"/>
        <v>50</v>
      </c>
      <c r="W58" s="53" t="s">
        <v>1947</v>
      </c>
      <c r="X58" s="53" t="s">
        <v>1947</v>
      </c>
      <c r="Y58" s="53" t="s">
        <v>1947</v>
      </c>
      <c r="Z58" s="53" t="s">
        <v>1947</v>
      </c>
      <c r="AA58" s="53" t="s">
        <v>1947</v>
      </c>
      <c r="AB58" s="50">
        <f t="shared" si="83"/>
        <v>0</v>
      </c>
      <c r="AC58" s="50">
        <f t="shared" si="84"/>
        <v>0</v>
      </c>
      <c r="AD58" s="50">
        <f t="shared" si="85"/>
        <v>0</v>
      </c>
      <c r="AE58" s="50">
        <f t="shared" si="86"/>
        <v>0</v>
      </c>
      <c r="AF58" s="50">
        <f t="shared" si="87"/>
        <v>0</v>
      </c>
      <c r="AG58" s="50">
        <f t="shared" si="88"/>
        <v>0</v>
      </c>
      <c r="AH58" s="51">
        <f t="shared" si="89"/>
        <v>0</v>
      </c>
      <c r="AI58" s="51">
        <f t="shared" si="90"/>
        <v>83.333333333333343</v>
      </c>
      <c r="AJ58" s="53" t="s">
        <v>1948</v>
      </c>
      <c r="AK58" s="53" t="s">
        <v>1948</v>
      </c>
      <c r="AL58" s="53" t="s">
        <v>1948</v>
      </c>
      <c r="AM58" s="50">
        <f t="shared" si="91"/>
        <v>1</v>
      </c>
      <c r="AN58" s="50">
        <f t="shared" si="92"/>
        <v>1</v>
      </c>
      <c r="AO58" s="50">
        <f t="shared" si="93"/>
        <v>1</v>
      </c>
      <c r="AP58" s="50">
        <f t="shared" si="94"/>
        <v>3</v>
      </c>
      <c r="AQ58" s="50">
        <f t="shared" si="95"/>
        <v>100</v>
      </c>
      <c r="AR58" s="36" t="s">
        <v>2166</v>
      </c>
      <c r="AS58" s="36" t="s">
        <v>2166</v>
      </c>
      <c r="AT58" s="36" t="s">
        <v>2166</v>
      </c>
      <c r="AU58" s="37">
        <f t="shared" si="96"/>
        <v>1</v>
      </c>
      <c r="AV58" s="37">
        <f t="shared" si="97"/>
        <v>1</v>
      </c>
      <c r="AW58" s="37">
        <f t="shared" si="98"/>
        <v>1</v>
      </c>
      <c r="AX58" s="37">
        <f t="shared" si="99"/>
        <v>0</v>
      </c>
      <c r="AY58" s="37">
        <f t="shared" si="100"/>
        <v>0</v>
      </c>
      <c r="AZ58" s="36" t="s">
        <v>2167</v>
      </c>
      <c r="BA58" s="36" t="s">
        <v>2167</v>
      </c>
      <c r="BB58" s="37">
        <f t="shared" si="101"/>
        <v>1</v>
      </c>
      <c r="BC58" s="37">
        <f t="shared" si="102"/>
        <v>0.75</v>
      </c>
      <c r="BD58" s="37">
        <f t="shared" si="103"/>
        <v>0.75</v>
      </c>
      <c r="BE58" s="37">
        <f t="shared" si="104"/>
        <v>0</v>
      </c>
      <c r="BF58" s="36" t="s">
        <v>2167</v>
      </c>
      <c r="BG58" s="36" t="s">
        <v>2167</v>
      </c>
      <c r="BH58" s="37">
        <f t="shared" si="105"/>
        <v>1</v>
      </c>
      <c r="BI58" s="37">
        <f t="shared" si="106"/>
        <v>0.75</v>
      </c>
      <c r="BJ58" s="37">
        <f t="shared" si="107"/>
        <v>0.75</v>
      </c>
      <c r="BK58" s="37">
        <f t="shared" si="108"/>
        <v>0</v>
      </c>
      <c r="BL58" s="36" t="s">
        <v>2167</v>
      </c>
      <c r="BM58" s="36" t="s">
        <v>2167</v>
      </c>
      <c r="BN58" s="37">
        <f t="shared" si="109"/>
        <v>1</v>
      </c>
      <c r="BO58" s="37">
        <f t="shared" si="110"/>
        <v>0.75</v>
      </c>
      <c r="BP58" s="37">
        <f t="shared" si="111"/>
        <v>0.75</v>
      </c>
      <c r="BQ58" s="37">
        <f t="shared" si="112"/>
        <v>0</v>
      </c>
      <c r="BR58" s="37">
        <f t="shared" si="113"/>
        <v>0</v>
      </c>
      <c r="BS58" s="36" t="s">
        <v>2080</v>
      </c>
      <c r="BT58" s="36" t="s">
        <v>2080</v>
      </c>
      <c r="BU58" s="36" t="s">
        <v>2080</v>
      </c>
      <c r="BV58" s="36" t="s">
        <v>2080</v>
      </c>
      <c r="BW58" s="37">
        <f t="shared" si="114"/>
        <v>0</v>
      </c>
      <c r="BX58" s="37">
        <f t="shared" si="115"/>
        <v>0</v>
      </c>
      <c r="BY58" s="37">
        <f t="shared" si="116"/>
        <v>0</v>
      </c>
      <c r="BZ58" s="37">
        <f t="shared" si="117"/>
        <v>0</v>
      </c>
      <c r="CA58" s="37">
        <f t="shared" si="118"/>
        <v>0</v>
      </c>
      <c r="CB58" s="37">
        <f t="shared" si="119"/>
        <v>0</v>
      </c>
      <c r="CC58" s="37">
        <f t="shared" si="120"/>
        <v>0</v>
      </c>
      <c r="CD58" s="37">
        <f t="shared" si="121"/>
        <v>0</v>
      </c>
      <c r="CE58" s="36" t="s">
        <v>2067</v>
      </c>
      <c r="CF58" s="36" t="s">
        <v>2067</v>
      </c>
      <c r="CG58" s="36" t="s">
        <v>2067</v>
      </c>
      <c r="CH58" s="36" t="s">
        <v>2080</v>
      </c>
      <c r="CI58" s="37">
        <f t="shared" si="122"/>
        <v>0</v>
      </c>
      <c r="CJ58" s="37">
        <f t="shared" si="123"/>
        <v>0</v>
      </c>
      <c r="CK58" s="37">
        <f t="shared" si="124"/>
        <v>0</v>
      </c>
      <c r="CL58" s="37">
        <f t="shared" si="125"/>
        <v>0</v>
      </c>
      <c r="CM58" s="37">
        <f t="shared" si="126"/>
        <v>0</v>
      </c>
      <c r="CN58" s="37">
        <f t="shared" si="127"/>
        <v>0</v>
      </c>
      <c r="CO58" s="37">
        <f t="shared" si="128"/>
        <v>0</v>
      </c>
      <c r="CP58" s="37">
        <f t="shared" si="129"/>
        <v>0</v>
      </c>
      <c r="CQ58" s="37">
        <f t="shared" si="130"/>
        <v>3.3333333333333339</v>
      </c>
      <c r="CR58" s="37">
        <f t="shared" si="131"/>
        <v>5</v>
      </c>
      <c r="CS58" s="37">
        <f t="shared" si="132"/>
        <v>0</v>
      </c>
      <c r="CT58" s="37">
        <f t="shared" si="133"/>
        <v>10</v>
      </c>
      <c r="CU58" s="37">
        <f t="shared" si="134"/>
        <v>0</v>
      </c>
      <c r="CV58" s="37">
        <f t="shared" si="135"/>
        <v>0</v>
      </c>
      <c r="CW58" s="37">
        <f t="shared" si="136"/>
        <v>0</v>
      </c>
      <c r="CX58" s="37">
        <f t="shared" si="137"/>
        <v>0</v>
      </c>
      <c r="CY58" s="37">
        <f t="shared" si="138"/>
        <v>0</v>
      </c>
      <c r="CZ58" s="37">
        <f t="shared" si="139"/>
        <v>18.333333333333336</v>
      </c>
    </row>
    <row r="59" spans="1:104" x14ac:dyDescent="0.25">
      <c r="A59" s="149" t="s">
        <v>2221</v>
      </c>
      <c r="B59" s="53" t="s">
        <v>1947</v>
      </c>
      <c r="C59" s="53" t="s">
        <v>1948</v>
      </c>
      <c r="D59" s="53" t="s">
        <v>1947</v>
      </c>
      <c r="E59" s="61">
        <f t="shared" si="70"/>
        <v>0</v>
      </c>
      <c r="F59" s="61">
        <f t="shared" si="71"/>
        <v>1</v>
      </c>
      <c r="G59" s="61">
        <f t="shared" si="72"/>
        <v>0</v>
      </c>
      <c r="H59" s="61">
        <f t="shared" si="73"/>
        <v>1</v>
      </c>
      <c r="I59" s="53" t="s">
        <v>2165</v>
      </c>
      <c r="J59" s="53" t="s">
        <v>2165</v>
      </c>
      <c r="K59" s="53" t="s">
        <v>1948</v>
      </c>
      <c r="L59" s="61">
        <f t="shared" si="74"/>
        <v>0</v>
      </c>
      <c r="M59" s="61">
        <f t="shared" si="75"/>
        <v>0</v>
      </c>
      <c r="N59" s="61">
        <f t="shared" si="76"/>
        <v>1</v>
      </c>
      <c r="O59" s="61">
        <f t="shared" si="77"/>
        <v>1</v>
      </c>
      <c r="P59" s="61">
        <f t="shared" si="78"/>
        <v>33.333333333333336</v>
      </c>
      <c r="Q59" s="53" t="s">
        <v>1948</v>
      </c>
      <c r="R59" s="53" t="s">
        <v>1947</v>
      </c>
      <c r="S59" s="61">
        <f t="shared" si="79"/>
        <v>1</v>
      </c>
      <c r="T59" s="61">
        <f t="shared" si="80"/>
        <v>0</v>
      </c>
      <c r="U59" s="61">
        <f t="shared" si="81"/>
        <v>1</v>
      </c>
      <c r="V59" s="61">
        <f t="shared" si="82"/>
        <v>50</v>
      </c>
      <c r="W59" s="53" t="s">
        <v>1947</v>
      </c>
      <c r="X59" s="53" t="s">
        <v>1947</v>
      </c>
      <c r="Y59" s="53" t="s">
        <v>1947</v>
      </c>
      <c r="Z59" s="53" t="s">
        <v>1947</v>
      </c>
      <c r="AA59" s="53" t="s">
        <v>1947</v>
      </c>
      <c r="AB59" s="50">
        <f t="shared" si="83"/>
        <v>0</v>
      </c>
      <c r="AC59" s="50">
        <f t="shared" si="84"/>
        <v>0</v>
      </c>
      <c r="AD59" s="50">
        <f t="shared" si="85"/>
        <v>0</v>
      </c>
      <c r="AE59" s="50">
        <f t="shared" si="86"/>
        <v>0</v>
      </c>
      <c r="AF59" s="50">
        <f t="shared" si="87"/>
        <v>0</v>
      </c>
      <c r="AG59" s="50">
        <f t="shared" si="88"/>
        <v>0</v>
      </c>
      <c r="AH59" s="51">
        <f t="shared" si="89"/>
        <v>0</v>
      </c>
      <c r="AI59" s="51">
        <f t="shared" si="90"/>
        <v>83.333333333333343</v>
      </c>
      <c r="AJ59" s="53" t="s">
        <v>1948</v>
      </c>
      <c r="AK59" s="53" t="s">
        <v>1948</v>
      </c>
      <c r="AL59" s="53" t="s">
        <v>1948</v>
      </c>
      <c r="AM59" s="50">
        <f t="shared" si="91"/>
        <v>1</v>
      </c>
      <c r="AN59" s="50">
        <f t="shared" si="92"/>
        <v>1</v>
      </c>
      <c r="AO59" s="50">
        <f t="shared" si="93"/>
        <v>1</v>
      </c>
      <c r="AP59" s="50">
        <f t="shared" si="94"/>
        <v>3</v>
      </c>
      <c r="AQ59" s="50">
        <f t="shared" si="95"/>
        <v>100</v>
      </c>
      <c r="AR59" s="36" t="s">
        <v>2166</v>
      </c>
      <c r="AS59" s="36" t="s">
        <v>2166</v>
      </c>
      <c r="AT59" s="36" t="s">
        <v>2166</v>
      </c>
      <c r="AU59" s="37">
        <f t="shared" si="96"/>
        <v>1</v>
      </c>
      <c r="AV59" s="37">
        <f t="shared" si="97"/>
        <v>1</v>
      </c>
      <c r="AW59" s="37">
        <f t="shared" si="98"/>
        <v>1</v>
      </c>
      <c r="AX59" s="37">
        <f t="shared" si="99"/>
        <v>0</v>
      </c>
      <c r="AY59" s="37">
        <f t="shared" si="100"/>
        <v>0</v>
      </c>
      <c r="AZ59" s="36" t="s">
        <v>2167</v>
      </c>
      <c r="BA59" s="36" t="s">
        <v>2167</v>
      </c>
      <c r="BB59" s="37">
        <f t="shared" si="101"/>
        <v>1</v>
      </c>
      <c r="BC59" s="37">
        <f t="shared" si="102"/>
        <v>0.75</v>
      </c>
      <c r="BD59" s="37">
        <f t="shared" si="103"/>
        <v>0.75</v>
      </c>
      <c r="BE59" s="37">
        <f t="shared" si="104"/>
        <v>0</v>
      </c>
      <c r="BF59" s="36" t="s">
        <v>2167</v>
      </c>
      <c r="BG59" s="36" t="s">
        <v>2167</v>
      </c>
      <c r="BH59" s="37">
        <f t="shared" si="105"/>
        <v>1</v>
      </c>
      <c r="BI59" s="37">
        <f t="shared" si="106"/>
        <v>0.75</v>
      </c>
      <c r="BJ59" s="37">
        <f t="shared" si="107"/>
        <v>0.75</v>
      </c>
      <c r="BK59" s="37">
        <f t="shared" si="108"/>
        <v>0</v>
      </c>
      <c r="BL59" s="36" t="s">
        <v>2167</v>
      </c>
      <c r="BM59" s="36" t="s">
        <v>2167</v>
      </c>
      <c r="BN59" s="37">
        <f t="shared" si="109"/>
        <v>1</v>
      </c>
      <c r="BO59" s="37">
        <f t="shared" si="110"/>
        <v>0.75</v>
      </c>
      <c r="BP59" s="37">
        <f t="shared" si="111"/>
        <v>0.75</v>
      </c>
      <c r="BQ59" s="37">
        <f t="shared" si="112"/>
        <v>0</v>
      </c>
      <c r="BR59" s="37">
        <f t="shared" si="113"/>
        <v>0</v>
      </c>
      <c r="BS59" s="36" t="s">
        <v>2080</v>
      </c>
      <c r="BT59" s="36" t="s">
        <v>2080</v>
      </c>
      <c r="BU59" s="36" t="s">
        <v>2080</v>
      </c>
      <c r="BV59" s="36" t="s">
        <v>2080</v>
      </c>
      <c r="BW59" s="37">
        <f t="shared" si="114"/>
        <v>0</v>
      </c>
      <c r="BX59" s="37">
        <f t="shared" si="115"/>
        <v>0</v>
      </c>
      <c r="BY59" s="37">
        <f t="shared" si="116"/>
        <v>0</v>
      </c>
      <c r="BZ59" s="37">
        <f t="shared" si="117"/>
        <v>0</v>
      </c>
      <c r="CA59" s="37">
        <f t="shared" si="118"/>
        <v>0</v>
      </c>
      <c r="CB59" s="37">
        <f t="shared" si="119"/>
        <v>0</v>
      </c>
      <c r="CC59" s="37">
        <f t="shared" si="120"/>
        <v>0</v>
      </c>
      <c r="CD59" s="37">
        <f t="shared" si="121"/>
        <v>0</v>
      </c>
      <c r="CE59" s="36" t="s">
        <v>2067</v>
      </c>
      <c r="CF59" s="36" t="s">
        <v>2067</v>
      </c>
      <c r="CG59" s="36" t="s">
        <v>2067</v>
      </c>
      <c r="CH59" s="36" t="s">
        <v>2080</v>
      </c>
      <c r="CI59" s="37">
        <f t="shared" si="122"/>
        <v>0</v>
      </c>
      <c r="CJ59" s="37">
        <f t="shared" si="123"/>
        <v>0</v>
      </c>
      <c r="CK59" s="37">
        <f t="shared" si="124"/>
        <v>0</v>
      </c>
      <c r="CL59" s="37">
        <f t="shared" si="125"/>
        <v>0</v>
      </c>
      <c r="CM59" s="37">
        <f t="shared" si="126"/>
        <v>0</v>
      </c>
      <c r="CN59" s="37">
        <f t="shared" si="127"/>
        <v>0</v>
      </c>
      <c r="CO59" s="37">
        <f t="shared" si="128"/>
        <v>0</v>
      </c>
      <c r="CP59" s="37">
        <f t="shared" si="129"/>
        <v>0</v>
      </c>
      <c r="CQ59" s="37">
        <f t="shared" si="130"/>
        <v>3.3333333333333339</v>
      </c>
      <c r="CR59" s="37">
        <f t="shared" si="131"/>
        <v>5</v>
      </c>
      <c r="CS59" s="37">
        <f t="shared" si="132"/>
        <v>0</v>
      </c>
      <c r="CT59" s="37">
        <f t="shared" si="133"/>
        <v>10</v>
      </c>
      <c r="CU59" s="37">
        <f t="shared" si="134"/>
        <v>0</v>
      </c>
      <c r="CV59" s="37">
        <f t="shared" si="135"/>
        <v>0</v>
      </c>
      <c r="CW59" s="37">
        <f t="shared" si="136"/>
        <v>0</v>
      </c>
      <c r="CX59" s="37">
        <f t="shared" si="137"/>
        <v>0</v>
      </c>
      <c r="CY59" s="37">
        <f t="shared" si="138"/>
        <v>0</v>
      </c>
      <c r="CZ59" s="37">
        <f t="shared" si="139"/>
        <v>18.333333333333336</v>
      </c>
    </row>
    <row r="60" spans="1:104" x14ac:dyDescent="0.25">
      <c r="A60" s="149" t="s">
        <v>2222</v>
      </c>
      <c r="B60" s="53" t="s">
        <v>1947</v>
      </c>
      <c r="C60" s="53" t="s">
        <v>1948</v>
      </c>
      <c r="D60" s="53" t="s">
        <v>1947</v>
      </c>
      <c r="E60" s="61">
        <f t="shared" si="70"/>
        <v>0</v>
      </c>
      <c r="F60" s="61">
        <f t="shared" si="71"/>
        <v>1</v>
      </c>
      <c r="G60" s="61">
        <f t="shared" si="72"/>
        <v>0</v>
      </c>
      <c r="H60" s="61">
        <f t="shared" si="73"/>
        <v>1</v>
      </c>
      <c r="I60" s="53" t="s">
        <v>2165</v>
      </c>
      <c r="J60" s="53" t="s">
        <v>2165</v>
      </c>
      <c r="K60" s="53" t="s">
        <v>1948</v>
      </c>
      <c r="L60" s="61">
        <f t="shared" si="74"/>
        <v>0</v>
      </c>
      <c r="M60" s="61">
        <f t="shared" si="75"/>
        <v>0</v>
      </c>
      <c r="N60" s="61">
        <f t="shared" si="76"/>
        <v>1</v>
      </c>
      <c r="O60" s="61">
        <f t="shared" si="77"/>
        <v>1</v>
      </c>
      <c r="P60" s="61">
        <f t="shared" si="78"/>
        <v>33.333333333333336</v>
      </c>
      <c r="Q60" s="53" t="s">
        <v>1948</v>
      </c>
      <c r="R60" s="53" t="s">
        <v>1947</v>
      </c>
      <c r="S60" s="61">
        <f t="shared" si="79"/>
        <v>1</v>
      </c>
      <c r="T60" s="61">
        <f t="shared" si="80"/>
        <v>0</v>
      </c>
      <c r="U60" s="61">
        <f t="shared" si="81"/>
        <v>1</v>
      </c>
      <c r="V60" s="61">
        <f t="shared" si="82"/>
        <v>50</v>
      </c>
      <c r="W60" s="53" t="s">
        <v>1947</v>
      </c>
      <c r="X60" s="53" t="s">
        <v>1947</v>
      </c>
      <c r="Y60" s="53" t="s">
        <v>1947</v>
      </c>
      <c r="Z60" s="53" t="s">
        <v>1947</v>
      </c>
      <c r="AA60" s="53" t="s">
        <v>1947</v>
      </c>
      <c r="AB60" s="50">
        <f t="shared" si="83"/>
        <v>0</v>
      </c>
      <c r="AC60" s="50">
        <f t="shared" si="84"/>
        <v>0</v>
      </c>
      <c r="AD60" s="50">
        <f t="shared" si="85"/>
        <v>0</v>
      </c>
      <c r="AE60" s="50">
        <f t="shared" si="86"/>
        <v>0</v>
      </c>
      <c r="AF60" s="50">
        <f t="shared" si="87"/>
        <v>0</v>
      </c>
      <c r="AG60" s="50">
        <f t="shared" si="88"/>
        <v>0</v>
      </c>
      <c r="AH60" s="51">
        <f t="shared" si="89"/>
        <v>0</v>
      </c>
      <c r="AI60" s="51">
        <f t="shared" si="90"/>
        <v>83.333333333333343</v>
      </c>
      <c r="AJ60" s="53" t="s">
        <v>1948</v>
      </c>
      <c r="AK60" s="53" t="s">
        <v>1948</v>
      </c>
      <c r="AL60" s="53" t="s">
        <v>1948</v>
      </c>
      <c r="AM60" s="50">
        <f t="shared" si="91"/>
        <v>1</v>
      </c>
      <c r="AN60" s="50">
        <f t="shared" si="92"/>
        <v>1</v>
      </c>
      <c r="AO60" s="50">
        <f t="shared" si="93"/>
        <v>1</v>
      </c>
      <c r="AP60" s="50">
        <f t="shared" si="94"/>
        <v>3</v>
      </c>
      <c r="AQ60" s="50">
        <f t="shared" si="95"/>
        <v>100</v>
      </c>
      <c r="AR60" s="36" t="s">
        <v>2166</v>
      </c>
      <c r="AS60" s="36" t="s">
        <v>2166</v>
      </c>
      <c r="AT60" s="36" t="s">
        <v>2166</v>
      </c>
      <c r="AU60" s="37">
        <f t="shared" si="96"/>
        <v>1</v>
      </c>
      <c r="AV60" s="37">
        <f t="shared" si="97"/>
        <v>1</v>
      </c>
      <c r="AW60" s="37">
        <f t="shared" si="98"/>
        <v>1</v>
      </c>
      <c r="AX60" s="37">
        <f t="shared" si="99"/>
        <v>0</v>
      </c>
      <c r="AY60" s="37">
        <f t="shared" si="100"/>
        <v>0</v>
      </c>
      <c r="AZ60" s="36" t="s">
        <v>2167</v>
      </c>
      <c r="BA60" s="36" t="s">
        <v>2167</v>
      </c>
      <c r="BB60" s="37">
        <f t="shared" si="101"/>
        <v>1</v>
      </c>
      <c r="BC60" s="37">
        <f t="shared" si="102"/>
        <v>0.75</v>
      </c>
      <c r="BD60" s="37">
        <f t="shared" si="103"/>
        <v>0.75</v>
      </c>
      <c r="BE60" s="37">
        <f t="shared" si="104"/>
        <v>0</v>
      </c>
      <c r="BF60" s="36" t="s">
        <v>2167</v>
      </c>
      <c r="BG60" s="36" t="s">
        <v>2167</v>
      </c>
      <c r="BH60" s="37">
        <f t="shared" si="105"/>
        <v>1</v>
      </c>
      <c r="BI60" s="37">
        <f t="shared" si="106"/>
        <v>0.75</v>
      </c>
      <c r="BJ60" s="37">
        <f t="shared" si="107"/>
        <v>0.75</v>
      </c>
      <c r="BK60" s="37">
        <f t="shared" si="108"/>
        <v>0</v>
      </c>
      <c r="BL60" s="36" t="s">
        <v>2167</v>
      </c>
      <c r="BM60" s="36" t="s">
        <v>2167</v>
      </c>
      <c r="BN60" s="37">
        <f t="shared" si="109"/>
        <v>1</v>
      </c>
      <c r="BO60" s="37">
        <f t="shared" si="110"/>
        <v>0.75</v>
      </c>
      <c r="BP60" s="37">
        <f t="shared" si="111"/>
        <v>0.75</v>
      </c>
      <c r="BQ60" s="37">
        <f t="shared" si="112"/>
        <v>0</v>
      </c>
      <c r="BR60" s="37">
        <f t="shared" si="113"/>
        <v>0</v>
      </c>
      <c r="BS60" s="36" t="s">
        <v>2080</v>
      </c>
      <c r="BT60" s="36" t="s">
        <v>2080</v>
      </c>
      <c r="BU60" s="36" t="s">
        <v>2080</v>
      </c>
      <c r="BV60" s="36" t="s">
        <v>2080</v>
      </c>
      <c r="BW60" s="37">
        <f t="shared" si="114"/>
        <v>0</v>
      </c>
      <c r="BX60" s="37">
        <f t="shared" si="115"/>
        <v>0</v>
      </c>
      <c r="BY60" s="37">
        <f t="shared" si="116"/>
        <v>0</v>
      </c>
      <c r="BZ60" s="37">
        <f t="shared" si="117"/>
        <v>0</v>
      </c>
      <c r="CA60" s="37">
        <f t="shared" si="118"/>
        <v>0</v>
      </c>
      <c r="CB60" s="37">
        <f t="shared" si="119"/>
        <v>0</v>
      </c>
      <c r="CC60" s="37">
        <f t="shared" si="120"/>
        <v>0</v>
      </c>
      <c r="CD60" s="37">
        <f t="shared" si="121"/>
        <v>0</v>
      </c>
      <c r="CE60" s="36" t="s">
        <v>2067</v>
      </c>
      <c r="CF60" s="36" t="s">
        <v>2067</v>
      </c>
      <c r="CG60" s="36" t="s">
        <v>2067</v>
      </c>
      <c r="CH60" s="36" t="s">
        <v>2080</v>
      </c>
      <c r="CI60" s="37">
        <f t="shared" si="122"/>
        <v>0</v>
      </c>
      <c r="CJ60" s="37">
        <f t="shared" si="123"/>
        <v>0</v>
      </c>
      <c r="CK60" s="37">
        <f t="shared" si="124"/>
        <v>0</v>
      </c>
      <c r="CL60" s="37">
        <f t="shared" si="125"/>
        <v>0</v>
      </c>
      <c r="CM60" s="37">
        <f t="shared" si="126"/>
        <v>0</v>
      </c>
      <c r="CN60" s="37">
        <f t="shared" si="127"/>
        <v>0</v>
      </c>
      <c r="CO60" s="37">
        <f t="shared" si="128"/>
        <v>0</v>
      </c>
      <c r="CP60" s="37">
        <f t="shared" si="129"/>
        <v>0</v>
      </c>
      <c r="CQ60" s="37">
        <f t="shared" si="130"/>
        <v>3.3333333333333339</v>
      </c>
      <c r="CR60" s="37">
        <f t="shared" si="131"/>
        <v>5</v>
      </c>
      <c r="CS60" s="37">
        <f t="shared" si="132"/>
        <v>0</v>
      </c>
      <c r="CT60" s="37">
        <f t="shared" si="133"/>
        <v>10</v>
      </c>
      <c r="CU60" s="37">
        <f t="shared" si="134"/>
        <v>0</v>
      </c>
      <c r="CV60" s="37">
        <f t="shared" si="135"/>
        <v>0</v>
      </c>
      <c r="CW60" s="37">
        <f t="shared" si="136"/>
        <v>0</v>
      </c>
      <c r="CX60" s="37">
        <f t="shared" si="137"/>
        <v>0</v>
      </c>
      <c r="CY60" s="37">
        <f t="shared" si="138"/>
        <v>0</v>
      </c>
      <c r="CZ60" s="37">
        <f t="shared" si="139"/>
        <v>18.333333333333336</v>
      </c>
    </row>
    <row r="61" spans="1:104" x14ac:dyDescent="0.25">
      <c r="A61" s="149" t="s">
        <v>2223</v>
      </c>
      <c r="B61" s="53" t="s">
        <v>1947</v>
      </c>
      <c r="C61" s="53" t="s">
        <v>1948</v>
      </c>
      <c r="D61" s="53" t="s">
        <v>1947</v>
      </c>
      <c r="E61" s="61">
        <f t="shared" si="70"/>
        <v>0</v>
      </c>
      <c r="F61" s="61">
        <f t="shared" si="71"/>
        <v>1</v>
      </c>
      <c r="G61" s="61">
        <f t="shared" si="72"/>
        <v>0</v>
      </c>
      <c r="H61" s="61">
        <f t="shared" si="73"/>
        <v>1</v>
      </c>
      <c r="I61" s="53" t="s">
        <v>2165</v>
      </c>
      <c r="J61" s="53" t="s">
        <v>2165</v>
      </c>
      <c r="K61" s="53" t="s">
        <v>1948</v>
      </c>
      <c r="L61" s="61">
        <f t="shared" si="74"/>
        <v>0</v>
      </c>
      <c r="M61" s="61">
        <f t="shared" si="75"/>
        <v>0</v>
      </c>
      <c r="N61" s="61">
        <f t="shared" si="76"/>
        <v>1</v>
      </c>
      <c r="O61" s="61">
        <f t="shared" si="77"/>
        <v>1</v>
      </c>
      <c r="P61" s="61">
        <f t="shared" si="78"/>
        <v>33.333333333333336</v>
      </c>
      <c r="Q61" s="53" t="s">
        <v>1948</v>
      </c>
      <c r="R61" s="53" t="s">
        <v>1947</v>
      </c>
      <c r="S61" s="61">
        <f t="shared" si="79"/>
        <v>1</v>
      </c>
      <c r="T61" s="61">
        <f t="shared" si="80"/>
        <v>0</v>
      </c>
      <c r="U61" s="61">
        <f t="shared" si="81"/>
        <v>1</v>
      </c>
      <c r="V61" s="61">
        <f t="shared" si="82"/>
        <v>50</v>
      </c>
      <c r="W61" s="53" t="s">
        <v>1947</v>
      </c>
      <c r="X61" s="53" t="s">
        <v>1947</v>
      </c>
      <c r="Y61" s="53" t="s">
        <v>1947</v>
      </c>
      <c r="Z61" s="53" t="s">
        <v>1947</v>
      </c>
      <c r="AA61" s="53" t="s">
        <v>1947</v>
      </c>
      <c r="AB61" s="50">
        <f t="shared" si="83"/>
        <v>0</v>
      </c>
      <c r="AC61" s="50">
        <f t="shared" si="84"/>
        <v>0</v>
      </c>
      <c r="AD61" s="50">
        <f t="shared" si="85"/>
        <v>0</v>
      </c>
      <c r="AE61" s="50">
        <f t="shared" si="86"/>
        <v>0</v>
      </c>
      <c r="AF61" s="50">
        <f t="shared" si="87"/>
        <v>0</v>
      </c>
      <c r="AG61" s="50">
        <f t="shared" si="88"/>
        <v>0</v>
      </c>
      <c r="AH61" s="51">
        <f t="shared" si="89"/>
        <v>0</v>
      </c>
      <c r="AI61" s="51">
        <f t="shared" si="90"/>
        <v>83.333333333333343</v>
      </c>
      <c r="AJ61" s="53" t="s">
        <v>1948</v>
      </c>
      <c r="AK61" s="53" t="s">
        <v>1948</v>
      </c>
      <c r="AL61" s="53" t="s">
        <v>1948</v>
      </c>
      <c r="AM61" s="50">
        <f t="shared" si="91"/>
        <v>1</v>
      </c>
      <c r="AN61" s="50">
        <f t="shared" si="92"/>
        <v>1</v>
      </c>
      <c r="AO61" s="50">
        <f t="shared" si="93"/>
        <v>1</v>
      </c>
      <c r="AP61" s="50">
        <f t="shared" si="94"/>
        <v>3</v>
      </c>
      <c r="AQ61" s="50">
        <f t="shared" si="95"/>
        <v>100</v>
      </c>
      <c r="AR61" s="36" t="s">
        <v>2166</v>
      </c>
      <c r="AS61" s="36" t="s">
        <v>2166</v>
      </c>
      <c r="AT61" s="36" t="s">
        <v>2166</v>
      </c>
      <c r="AU61" s="37">
        <f t="shared" si="96"/>
        <v>1</v>
      </c>
      <c r="AV61" s="37">
        <f t="shared" si="97"/>
        <v>1</v>
      </c>
      <c r="AW61" s="37">
        <f t="shared" si="98"/>
        <v>1</v>
      </c>
      <c r="AX61" s="37">
        <f t="shared" si="99"/>
        <v>0</v>
      </c>
      <c r="AY61" s="37">
        <f t="shared" si="100"/>
        <v>0</v>
      </c>
      <c r="AZ61" s="36" t="s">
        <v>2167</v>
      </c>
      <c r="BA61" s="36" t="s">
        <v>2167</v>
      </c>
      <c r="BB61" s="37">
        <f t="shared" si="101"/>
        <v>1</v>
      </c>
      <c r="BC61" s="37">
        <f t="shared" si="102"/>
        <v>0.75</v>
      </c>
      <c r="BD61" s="37">
        <f t="shared" si="103"/>
        <v>0.75</v>
      </c>
      <c r="BE61" s="37">
        <f t="shared" si="104"/>
        <v>0</v>
      </c>
      <c r="BF61" s="36" t="s">
        <v>2167</v>
      </c>
      <c r="BG61" s="36" t="s">
        <v>2167</v>
      </c>
      <c r="BH61" s="37">
        <f t="shared" si="105"/>
        <v>1</v>
      </c>
      <c r="BI61" s="37">
        <f t="shared" si="106"/>
        <v>0.75</v>
      </c>
      <c r="BJ61" s="37">
        <f t="shared" si="107"/>
        <v>0.75</v>
      </c>
      <c r="BK61" s="37">
        <f t="shared" si="108"/>
        <v>0</v>
      </c>
      <c r="BL61" s="36" t="s">
        <v>2167</v>
      </c>
      <c r="BM61" s="36" t="s">
        <v>2167</v>
      </c>
      <c r="BN61" s="37">
        <f t="shared" si="109"/>
        <v>1</v>
      </c>
      <c r="BO61" s="37">
        <f t="shared" si="110"/>
        <v>0.75</v>
      </c>
      <c r="BP61" s="37">
        <f t="shared" si="111"/>
        <v>0.75</v>
      </c>
      <c r="BQ61" s="37">
        <f t="shared" si="112"/>
        <v>0</v>
      </c>
      <c r="BR61" s="37">
        <f t="shared" si="113"/>
        <v>0</v>
      </c>
      <c r="BS61" s="36" t="s">
        <v>2080</v>
      </c>
      <c r="BT61" s="36" t="s">
        <v>2080</v>
      </c>
      <c r="BU61" s="36" t="s">
        <v>2080</v>
      </c>
      <c r="BV61" s="36" t="s">
        <v>2080</v>
      </c>
      <c r="BW61" s="37">
        <f t="shared" si="114"/>
        <v>0</v>
      </c>
      <c r="BX61" s="37">
        <f t="shared" si="115"/>
        <v>0</v>
      </c>
      <c r="BY61" s="37">
        <f t="shared" si="116"/>
        <v>0</v>
      </c>
      <c r="BZ61" s="37">
        <f t="shared" si="117"/>
        <v>0</v>
      </c>
      <c r="CA61" s="37">
        <f t="shared" si="118"/>
        <v>0</v>
      </c>
      <c r="CB61" s="37">
        <f t="shared" si="119"/>
        <v>0</v>
      </c>
      <c r="CC61" s="37">
        <f t="shared" si="120"/>
        <v>0</v>
      </c>
      <c r="CD61" s="37">
        <f t="shared" si="121"/>
        <v>0</v>
      </c>
      <c r="CE61" s="36" t="s">
        <v>2067</v>
      </c>
      <c r="CF61" s="36" t="s">
        <v>2067</v>
      </c>
      <c r="CG61" s="36" t="s">
        <v>2067</v>
      </c>
      <c r="CH61" s="36" t="s">
        <v>2080</v>
      </c>
      <c r="CI61" s="37">
        <f t="shared" si="122"/>
        <v>0</v>
      </c>
      <c r="CJ61" s="37">
        <f t="shared" si="123"/>
        <v>0</v>
      </c>
      <c r="CK61" s="37">
        <f t="shared" si="124"/>
        <v>0</v>
      </c>
      <c r="CL61" s="37">
        <f t="shared" si="125"/>
        <v>0</v>
      </c>
      <c r="CM61" s="37">
        <f t="shared" si="126"/>
        <v>0</v>
      </c>
      <c r="CN61" s="37">
        <f t="shared" si="127"/>
        <v>0</v>
      </c>
      <c r="CO61" s="37">
        <f t="shared" si="128"/>
        <v>0</v>
      </c>
      <c r="CP61" s="37">
        <f t="shared" si="129"/>
        <v>0</v>
      </c>
      <c r="CQ61" s="37">
        <f t="shared" si="130"/>
        <v>3.3333333333333339</v>
      </c>
      <c r="CR61" s="37">
        <f t="shared" si="131"/>
        <v>5</v>
      </c>
      <c r="CS61" s="37">
        <f t="shared" si="132"/>
        <v>0</v>
      </c>
      <c r="CT61" s="37">
        <f t="shared" si="133"/>
        <v>10</v>
      </c>
      <c r="CU61" s="37">
        <f t="shared" si="134"/>
        <v>0</v>
      </c>
      <c r="CV61" s="37">
        <f t="shared" si="135"/>
        <v>0</v>
      </c>
      <c r="CW61" s="37">
        <f t="shared" si="136"/>
        <v>0</v>
      </c>
      <c r="CX61" s="37">
        <f t="shared" si="137"/>
        <v>0</v>
      </c>
      <c r="CY61" s="37">
        <f t="shared" si="138"/>
        <v>0</v>
      </c>
      <c r="CZ61" s="37">
        <f t="shared" si="139"/>
        <v>18.333333333333336</v>
      </c>
    </row>
    <row r="62" spans="1:104" x14ac:dyDescent="0.25">
      <c r="A62" s="149" t="s">
        <v>2224</v>
      </c>
      <c r="B62" s="53" t="s">
        <v>1947</v>
      </c>
      <c r="C62" s="53" t="s">
        <v>1948</v>
      </c>
      <c r="D62" s="53" t="s">
        <v>1947</v>
      </c>
      <c r="E62" s="61">
        <f t="shared" si="70"/>
        <v>0</v>
      </c>
      <c r="F62" s="61">
        <f t="shared" si="71"/>
        <v>1</v>
      </c>
      <c r="G62" s="61">
        <f t="shared" si="72"/>
        <v>0</v>
      </c>
      <c r="H62" s="61">
        <f t="shared" si="73"/>
        <v>1</v>
      </c>
      <c r="I62" s="53" t="s">
        <v>2165</v>
      </c>
      <c r="J62" s="53" t="s">
        <v>2165</v>
      </c>
      <c r="K62" s="53" t="s">
        <v>1948</v>
      </c>
      <c r="L62" s="61">
        <f t="shared" si="74"/>
        <v>0</v>
      </c>
      <c r="M62" s="61">
        <f t="shared" si="75"/>
        <v>0</v>
      </c>
      <c r="N62" s="61">
        <f t="shared" si="76"/>
        <v>1</v>
      </c>
      <c r="O62" s="61">
        <f t="shared" si="77"/>
        <v>1</v>
      </c>
      <c r="P62" s="61">
        <f t="shared" si="78"/>
        <v>33.333333333333336</v>
      </c>
      <c r="Q62" s="53" t="s">
        <v>1948</v>
      </c>
      <c r="R62" s="53" t="s">
        <v>1947</v>
      </c>
      <c r="S62" s="61">
        <f t="shared" si="79"/>
        <v>1</v>
      </c>
      <c r="T62" s="61">
        <f t="shared" si="80"/>
        <v>0</v>
      </c>
      <c r="U62" s="61">
        <f t="shared" si="81"/>
        <v>1</v>
      </c>
      <c r="V62" s="61">
        <f t="shared" si="82"/>
        <v>50</v>
      </c>
      <c r="W62" s="53" t="s">
        <v>1947</v>
      </c>
      <c r="X62" s="53" t="s">
        <v>1947</v>
      </c>
      <c r="Y62" s="53" t="s">
        <v>1947</v>
      </c>
      <c r="Z62" s="53" t="s">
        <v>1947</v>
      </c>
      <c r="AA62" s="53" t="s">
        <v>1947</v>
      </c>
      <c r="AB62" s="50">
        <f t="shared" si="83"/>
        <v>0</v>
      </c>
      <c r="AC62" s="50">
        <f t="shared" si="84"/>
        <v>0</v>
      </c>
      <c r="AD62" s="50">
        <f t="shared" si="85"/>
        <v>0</v>
      </c>
      <c r="AE62" s="50">
        <f t="shared" si="86"/>
        <v>0</v>
      </c>
      <c r="AF62" s="50">
        <f t="shared" si="87"/>
        <v>0</v>
      </c>
      <c r="AG62" s="50">
        <f t="shared" si="88"/>
        <v>0</v>
      </c>
      <c r="AH62" s="51">
        <f t="shared" si="89"/>
        <v>0</v>
      </c>
      <c r="AI62" s="51">
        <f t="shared" si="90"/>
        <v>83.333333333333343</v>
      </c>
      <c r="AJ62" s="53" t="s">
        <v>1948</v>
      </c>
      <c r="AK62" s="53" t="s">
        <v>1948</v>
      </c>
      <c r="AL62" s="53" t="s">
        <v>1948</v>
      </c>
      <c r="AM62" s="50">
        <f t="shared" si="91"/>
        <v>1</v>
      </c>
      <c r="AN62" s="50">
        <f t="shared" si="92"/>
        <v>1</v>
      </c>
      <c r="AO62" s="50">
        <f t="shared" si="93"/>
        <v>1</v>
      </c>
      <c r="AP62" s="50">
        <f t="shared" si="94"/>
        <v>3</v>
      </c>
      <c r="AQ62" s="50">
        <f t="shared" si="95"/>
        <v>100</v>
      </c>
      <c r="AR62" s="36" t="s">
        <v>2166</v>
      </c>
      <c r="AS62" s="36" t="s">
        <v>2166</v>
      </c>
      <c r="AT62" s="36" t="s">
        <v>2166</v>
      </c>
      <c r="AU62" s="37">
        <f t="shared" si="96"/>
        <v>1</v>
      </c>
      <c r="AV62" s="37">
        <f t="shared" si="97"/>
        <v>1</v>
      </c>
      <c r="AW62" s="37">
        <f t="shared" si="98"/>
        <v>1</v>
      </c>
      <c r="AX62" s="37">
        <f t="shared" si="99"/>
        <v>0</v>
      </c>
      <c r="AY62" s="37">
        <f t="shared" si="100"/>
        <v>0</v>
      </c>
      <c r="AZ62" s="36" t="s">
        <v>2167</v>
      </c>
      <c r="BA62" s="36" t="s">
        <v>2167</v>
      </c>
      <c r="BB62" s="37">
        <f t="shared" si="101"/>
        <v>1</v>
      </c>
      <c r="BC62" s="37">
        <f t="shared" si="102"/>
        <v>0.75</v>
      </c>
      <c r="BD62" s="37">
        <f t="shared" si="103"/>
        <v>0.75</v>
      </c>
      <c r="BE62" s="37">
        <f t="shared" si="104"/>
        <v>0</v>
      </c>
      <c r="BF62" s="36" t="s">
        <v>2167</v>
      </c>
      <c r="BG62" s="36" t="s">
        <v>2167</v>
      </c>
      <c r="BH62" s="37">
        <f t="shared" si="105"/>
        <v>1</v>
      </c>
      <c r="BI62" s="37">
        <f t="shared" si="106"/>
        <v>0.75</v>
      </c>
      <c r="BJ62" s="37">
        <f t="shared" si="107"/>
        <v>0.75</v>
      </c>
      <c r="BK62" s="37">
        <f t="shared" si="108"/>
        <v>0</v>
      </c>
      <c r="BL62" s="36" t="s">
        <v>2167</v>
      </c>
      <c r="BM62" s="36" t="s">
        <v>2167</v>
      </c>
      <c r="BN62" s="37">
        <f t="shared" si="109"/>
        <v>1</v>
      </c>
      <c r="BO62" s="37">
        <f t="shared" si="110"/>
        <v>0.75</v>
      </c>
      <c r="BP62" s="37">
        <f t="shared" si="111"/>
        <v>0.75</v>
      </c>
      <c r="BQ62" s="37">
        <f t="shared" si="112"/>
        <v>0</v>
      </c>
      <c r="BR62" s="37">
        <f t="shared" si="113"/>
        <v>0</v>
      </c>
      <c r="BS62" s="36" t="s">
        <v>2080</v>
      </c>
      <c r="BT62" s="36" t="s">
        <v>2080</v>
      </c>
      <c r="BU62" s="36" t="s">
        <v>2080</v>
      </c>
      <c r="BV62" s="36" t="s">
        <v>2080</v>
      </c>
      <c r="BW62" s="37">
        <f t="shared" si="114"/>
        <v>0</v>
      </c>
      <c r="BX62" s="37">
        <f t="shared" si="115"/>
        <v>0</v>
      </c>
      <c r="BY62" s="37">
        <f t="shared" si="116"/>
        <v>0</v>
      </c>
      <c r="BZ62" s="37">
        <f t="shared" si="117"/>
        <v>0</v>
      </c>
      <c r="CA62" s="37">
        <f t="shared" si="118"/>
        <v>0</v>
      </c>
      <c r="CB62" s="37">
        <f t="shared" si="119"/>
        <v>0</v>
      </c>
      <c r="CC62" s="37">
        <f t="shared" si="120"/>
        <v>0</v>
      </c>
      <c r="CD62" s="37">
        <f t="shared" si="121"/>
        <v>0</v>
      </c>
      <c r="CE62" s="36" t="s">
        <v>2067</v>
      </c>
      <c r="CF62" s="36" t="s">
        <v>2067</v>
      </c>
      <c r="CG62" s="36" t="s">
        <v>2067</v>
      </c>
      <c r="CH62" s="36" t="s">
        <v>2080</v>
      </c>
      <c r="CI62" s="37">
        <f t="shared" si="122"/>
        <v>0</v>
      </c>
      <c r="CJ62" s="37">
        <f t="shared" si="123"/>
        <v>0</v>
      </c>
      <c r="CK62" s="37">
        <f t="shared" si="124"/>
        <v>0</v>
      </c>
      <c r="CL62" s="37">
        <f t="shared" si="125"/>
        <v>0</v>
      </c>
      <c r="CM62" s="37">
        <f t="shared" si="126"/>
        <v>0</v>
      </c>
      <c r="CN62" s="37">
        <f t="shared" si="127"/>
        <v>0</v>
      </c>
      <c r="CO62" s="37">
        <f t="shared" si="128"/>
        <v>0</v>
      </c>
      <c r="CP62" s="37">
        <f t="shared" si="129"/>
        <v>0</v>
      </c>
      <c r="CQ62" s="37">
        <f t="shared" si="130"/>
        <v>3.3333333333333339</v>
      </c>
      <c r="CR62" s="37">
        <f t="shared" si="131"/>
        <v>5</v>
      </c>
      <c r="CS62" s="37">
        <f t="shared" si="132"/>
        <v>0</v>
      </c>
      <c r="CT62" s="37">
        <f t="shared" si="133"/>
        <v>10</v>
      </c>
      <c r="CU62" s="37">
        <f t="shared" si="134"/>
        <v>0</v>
      </c>
      <c r="CV62" s="37">
        <f t="shared" si="135"/>
        <v>0</v>
      </c>
      <c r="CW62" s="37">
        <f t="shared" si="136"/>
        <v>0</v>
      </c>
      <c r="CX62" s="37">
        <f t="shared" si="137"/>
        <v>0</v>
      </c>
      <c r="CY62" s="37">
        <f t="shared" si="138"/>
        <v>0</v>
      </c>
      <c r="CZ62" s="37">
        <f t="shared" si="139"/>
        <v>18.333333333333336</v>
      </c>
    </row>
    <row r="63" spans="1:104" x14ac:dyDescent="0.25">
      <c r="A63" s="149" t="s">
        <v>2225</v>
      </c>
      <c r="B63" s="53" t="s">
        <v>1947</v>
      </c>
      <c r="C63" s="53" t="s">
        <v>1948</v>
      </c>
      <c r="D63" s="53" t="s">
        <v>1947</v>
      </c>
      <c r="E63" s="61">
        <f t="shared" si="70"/>
        <v>0</v>
      </c>
      <c r="F63" s="61">
        <f t="shared" si="71"/>
        <v>1</v>
      </c>
      <c r="G63" s="61">
        <f t="shared" si="72"/>
        <v>0</v>
      </c>
      <c r="H63" s="61">
        <f t="shared" si="73"/>
        <v>1</v>
      </c>
      <c r="I63" s="53" t="s">
        <v>2165</v>
      </c>
      <c r="J63" s="53" t="s">
        <v>2165</v>
      </c>
      <c r="K63" s="53" t="s">
        <v>1948</v>
      </c>
      <c r="L63" s="61">
        <f t="shared" si="74"/>
        <v>0</v>
      </c>
      <c r="M63" s="61">
        <f t="shared" si="75"/>
        <v>0</v>
      </c>
      <c r="N63" s="61">
        <f t="shared" si="76"/>
        <v>1</v>
      </c>
      <c r="O63" s="61">
        <f t="shared" si="77"/>
        <v>1</v>
      </c>
      <c r="P63" s="61">
        <f t="shared" si="78"/>
        <v>33.333333333333336</v>
      </c>
      <c r="Q63" s="53" t="s">
        <v>1948</v>
      </c>
      <c r="R63" s="53" t="s">
        <v>1947</v>
      </c>
      <c r="S63" s="61">
        <f t="shared" si="79"/>
        <v>1</v>
      </c>
      <c r="T63" s="61">
        <f t="shared" si="80"/>
        <v>0</v>
      </c>
      <c r="U63" s="61">
        <f t="shared" si="81"/>
        <v>1</v>
      </c>
      <c r="V63" s="61">
        <f t="shared" si="82"/>
        <v>50</v>
      </c>
      <c r="W63" s="53" t="s">
        <v>1947</v>
      </c>
      <c r="X63" s="53" t="s">
        <v>1947</v>
      </c>
      <c r="Y63" s="53" t="s">
        <v>1947</v>
      </c>
      <c r="Z63" s="53" t="s">
        <v>1947</v>
      </c>
      <c r="AA63" s="53" t="s">
        <v>1947</v>
      </c>
      <c r="AB63" s="50">
        <f t="shared" si="83"/>
        <v>0</v>
      </c>
      <c r="AC63" s="50">
        <f t="shared" si="84"/>
        <v>0</v>
      </c>
      <c r="AD63" s="50">
        <f t="shared" si="85"/>
        <v>0</v>
      </c>
      <c r="AE63" s="50">
        <f t="shared" si="86"/>
        <v>0</v>
      </c>
      <c r="AF63" s="50">
        <f t="shared" si="87"/>
        <v>0</v>
      </c>
      <c r="AG63" s="50">
        <f t="shared" si="88"/>
        <v>0</v>
      </c>
      <c r="AH63" s="51">
        <f t="shared" si="89"/>
        <v>0</v>
      </c>
      <c r="AI63" s="51">
        <f t="shared" si="90"/>
        <v>83.333333333333343</v>
      </c>
      <c r="AJ63" s="53" t="s">
        <v>1948</v>
      </c>
      <c r="AK63" s="53" t="s">
        <v>1948</v>
      </c>
      <c r="AL63" s="53" t="s">
        <v>1948</v>
      </c>
      <c r="AM63" s="50">
        <f t="shared" si="91"/>
        <v>1</v>
      </c>
      <c r="AN63" s="50">
        <f t="shared" si="92"/>
        <v>1</v>
      </c>
      <c r="AO63" s="50">
        <f t="shared" si="93"/>
        <v>1</v>
      </c>
      <c r="AP63" s="50">
        <f t="shared" si="94"/>
        <v>3</v>
      </c>
      <c r="AQ63" s="50">
        <f t="shared" si="95"/>
        <v>100</v>
      </c>
      <c r="AR63" s="36" t="s">
        <v>2166</v>
      </c>
      <c r="AS63" s="36" t="s">
        <v>2166</v>
      </c>
      <c r="AT63" s="36" t="s">
        <v>2166</v>
      </c>
      <c r="AU63" s="37">
        <f t="shared" si="96"/>
        <v>1</v>
      </c>
      <c r="AV63" s="37">
        <f t="shared" si="97"/>
        <v>1</v>
      </c>
      <c r="AW63" s="37">
        <f t="shared" si="98"/>
        <v>1</v>
      </c>
      <c r="AX63" s="37">
        <f t="shared" si="99"/>
        <v>0</v>
      </c>
      <c r="AY63" s="37">
        <f t="shared" si="100"/>
        <v>0</v>
      </c>
      <c r="AZ63" s="36" t="s">
        <v>2167</v>
      </c>
      <c r="BA63" s="36" t="s">
        <v>2167</v>
      </c>
      <c r="BB63" s="37">
        <f t="shared" si="101"/>
        <v>1</v>
      </c>
      <c r="BC63" s="37">
        <f t="shared" si="102"/>
        <v>0.75</v>
      </c>
      <c r="BD63" s="37">
        <f t="shared" si="103"/>
        <v>0.75</v>
      </c>
      <c r="BE63" s="37">
        <f t="shared" si="104"/>
        <v>0</v>
      </c>
      <c r="BF63" s="36" t="s">
        <v>2167</v>
      </c>
      <c r="BG63" s="36" t="s">
        <v>2167</v>
      </c>
      <c r="BH63" s="37">
        <f t="shared" si="105"/>
        <v>1</v>
      </c>
      <c r="BI63" s="37">
        <f t="shared" si="106"/>
        <v>0.75</v>
      </c>
      <c r="BJ63" s="37">
        <f t="shared" si="107"/>
        <v>0.75</v>
      </c>
      <c r="BK63" s="37">
        <f t="shared" si="108"/>
        <v>0</v>
      </c>
      <c r="BL63" s="36" t="s">
        <v>2167</v>
      </c>
      <c r="BM63" s="36" t="s">
        <v>2167</v>
      </c>
      <c r="BN63" s="37">
        <f t="shared" si="109"/>
        <v>1</v>
      </c>
      <c r="BO63" s="37">
        <f t="shared" si="110"/>
        <v>0.75</v>
      </c>
      <c r="BP63" s="37">
        <f t="shared" si="111"/>
        <v>0.75</v>
      </c>
      <c r="BQ63" s="37">
        <f t="shared" si="112"/>
        <v>0</v>
      </c>
      <c r="BR63" s="37">
        <f t="shared" si="113"/>
        <v>0</v>
      </c>
      <c r="BS63" s="36" t="s">
        <v>2080</v>
      </c>
      <c r="BT63" s="36" t="s">
        <v>2080</v>
      </c>
      <c r="BU63" s="36" t="s">
        <v>2080</v>
      </c>
      <c r="BV63" s="36" t="s">
        <v>2080</v>
      </c>
      <c r="BW63" s="37">
        <f t="shared" si="114"/>
        <v>0</v>
      </c>
      <c r="BX63" s="37">
        <f t="shared" si="115"/>
        <v>0</v>
      </c>
      <c r="BY63" s="37">
        <f t="shared" si="116"/>
        <v>0</v>
      </c>
      <c r="BZ63" s="37">
        <f t="shared" si="117"/>
        <v>0</v>
      </c>
      <c r="CA63" s="37">
        <f t="shared" si="118"/>
        <v>0</v>
      </c>
      <c r="CB63" s="37">
        <f t="shared" si="119"/>
        <v>0</v>
      </c>
      <c r="CC63" s="37">
        <f t="shared" si="120"/>
        <v>0</v>
      </c>
      <c r="CD63" s="37">
        <f t="shared" si="121"/>
        <v>0</v>
      </c>
      <c r="CE63" s="36" t="s">
        <v>2067</v>
      </c>
      <c r="CF63" s="36" t="s">
        <v>2067</v>
      </c>
      <c r="CG63" s="36" t="s">
        <v>2067</v>
      </c>
      <c r="CH63" s="36" t="s">
        <v>2080</v>
      </c>
      <c r="CI63" s="37">
        <f t="shared" si="122"/>
        <v>0</v>
      </c>
      <c r="CJ63" s="37">
        <f t="shared" si="123"/>
        <v>0</v>
      </c>
      <c r="CK63" s="37">
        <f t="shared" si="124"/>
        <v>0</v>
      </c>
      <c r="CL63" s="37">
        <f t="shared" si="125"/>
        <v>0</v>
      </c>
      <c r="CM63" s="37">
        <f t="shared" si="126"/>
        <v>0</v>
      </c>
      <c r="CN63" s="37">
        <f t="shared" si="127"/>
        <v>0</v>
      </c>
      <c r="CO63" s="37">
        <f t="shared" si="128"/>
        <v>0</v>
      </c>
      <c r="CP63" s="37">
        <f t="shared" si="129"/>
        <v>0</v>
      </c>
      <c r="CQ63" s="37">
        <f t="shared" si="130"/>
        <v>3.3333333333333339</v>
      </c>
      <c r="CR63" s="37">
        <f t="shared" si="131"/>
        <v>5</v>
      </c>
      <c r="CS63" s="37">
        <f t="shared" si="132"/>
        <v>0</v>
      </c>
      <c r="CT63" s="37">
        <f t="shared" si="133"/>
        <v>10</v>
      </c>
      <c r="CU63" s="37">
        <f t="shared" si="134"/>
        <v>0</v>
      </c>
      <c r="CV63" s="37">
        <f t="shared" si="135"/>
        <v>0</v>
      </c>
      <c r="CW63" s="37">
        <f t="shared" si="136"/>
        <v>0</v>
      </c>
      <c r="CX63" s="37">
        <f t="shared" si="137"/>
        <v>0</v>
      </c>
      <c r="CY63" s="37">
        <f t="shared" si="138"/>
        <v>0</v>
      </c>
      <c r="CZ63" s="37">
        <f t="shared" si="139"/>
        <v>18.333333333333336</v>
      </c>
    </row>
    <row r="64" spans="1:104" x14ac:dyDescent="0.25">
      <c r="A64" s="149" t="s">
        <v>2226</v>
      </c>
      <c r="B64" s="53" t="s">
        <v>1947</v>
      </c>
      <c r="C64" s="53" t="s">
        <v>1948</v>
      </c>
      <c r="D64" s="53" t="s">
        <v>1947</v>
      </c>
      <c r="E64" s="61">
        <f t="shared" si="70"/>
        <v>0</v>
      </c>
      <c r="F64" s="61">
        <f t="shared" si="71"/>
        <v>1</v>
      </c>
      <c r="G64" s="61">
        <f t="shared" si="72"/>
        <v>0</v>
      </c>
      <c r="H64" s="61">
        <f t="shared" si="73"/>
        <v>1</v>
      </c>
      <c r="I64" s="53" t="s">
        <v>2165</v>
      </c>
      <c r="J64" s="53" t="s">
        <v>2165</v>
      </c>
      <c r="K64" s="53" t="s">
        <v>1948</v>
      </c>
      <c r="L64" s="61">
        <f t="shared" si="74"/>
        <v>0</v>
      </c>
      <c r="M64" s="61">
        <f t="shared" si="75"/>
        <v>0</v>
      </c>
      <c r="N64" s="61">
        <f t="shared" si="76"/>
        <v>1</v>
      </c>
      <c r="O64" s="61">
        <f t="shared" si="77"/>
        <v>1</v>
      </c>
      <c r="P64" s="61">
        <f t="shared" si="78"/>
        <v>33.333333333333336</v>
      </c>
      <c r="Q64" s="53" t="s">
        <v>1948</v>
      </c>
      <c r="R64" s="53" t="s">
        <v>1947</v>
      </c>
      <c r="S64" s="61">
        <f t="shared" si="79"/>
        <v>1</v>
      </c>
      <c r="T64" s="61">
        <f t="shared" si="80"/>
        <v>0</v>
      </c>
      <c r="U64" s="61">
        <f t="shared" si="81"/>
        <v>1</v>
      </c>
      <c r="V64" s="61">
        <f t="shared" si="82"/>
        <v>50</v>
      </c>
      <c r="W64" s="53" t="s">
        <v>1947</v>
      </c>
      <c r="X64" s="53" t="s">
        <v>1947</v>
      </c>
      <c r="Y64" s="53" t="s">
        <v>1947</v>
      </c>
      <c r="Z64" s="53" t="s">
        <v>1947</v>
      </c>
      <c r="AA64" s="53" t="s">
        <v>1947</v>
      </c>
      <c r="AB64" s="50">
        <f t="shared" si="83"/>
        <v>0</v>
      </c>
      <c r="AC64" s="50">
        <f t="shared" si="84"/>
        <v>0</v>
      </c>
      <c r="AD64" s="50">
        <f t="shared" si="85"/>
        <v>0</v>
      </c>
      <c r="AE64" s="50">
        <f t="shared" si="86"/>
        <v>0</v>
      </c>
      <c r="AF64" s="50">
        <f t="shared" si="87"/>
        <v>0</v>
      </c>
      <c r="AG64" s="50">
        <f t="shared" si="88"/>
        <v>0</v>
      </c>
      <c r="AH64" s="51">
        <f t="shared" si="89"/>
        <v>0</v>
      </c>
      <c r="AI64" s="51">
        <f t="shared" si="90"/>
        <v>83.333333333333343</v>
      </c>
      <c r="AJ64" s="53" t="s">
        <v>1948</v>
      </c>
      <c r="AK64" s="53" t="s">
        <v>1948</v>
      </c>
      <c r="AL64" s="53" t="s">
        <v>1948</v>
      </c>
      <c r="AM64" s="50">
        <f t="shared" si="91"/>
        <v>1</v>
      </c>
      <c r="AN64" s="50">
        <f t="shared" si="92"/>
        <v>1</v>
      </c>
      <c r="AO64" s="50">
        <f t="shared" si="93"/>
        <v>1</v>
      </c>
      <c r="AP64" s="50">
        <f t="shared" si="94"/>
        <v>3</v>
      </c>
      <c r="AQ64" s="50">
        <f t="shared" si="95"/>
        <v>100</v>
      </c>
      <c r="AR64" s="36" t="s">
        <v>2166</v>
      </c>
      <c r="AS64" s="36" t="s">
        <v>2166</v>
      </c>
      <c r="AT64" s="36" t="s">
        <v>2166</v>
      </c>
      <c r="AU64" s="37">
        <f t="shared" si="96"/>
        <v>1</v>
      </c>
      <c r="AV64" s="37">
        <f t="shared" si="97"/>
        <v>1</v>
      </c>
      <c r="AW64" s="37">
        <f t="shared" si="98"/>
        <v>1</v>
      </c>
      <c r="AX64" s="37">
        <f t="shared" si="99"/>
        <v>0</v>
      </c>
      <c r="AY64" s="37">
        <f t="shared" si="100"/>
        <v>0</v>
      </c>
      <c r="AZ64" s="36" t="s">
        <v>2167</v>
      </c>
      <c r="BA64" s="36" t="s">
        <v>2167</v>
      </c>
      <c r="BB64" s="37">
        <f t="shared" si="101"/>
        <v>1</v>
      </c>
      <c r="BC64" s="37">
        <f t="shared" si="102"/>
        <v>0.75</v>
      </c>
      <c r="BD64" s="37">
        <f t="shared" si="103"/>
        <v>0.75</v>
      </c>
      <c r="BE64" s="37">
        <f t="shared" si="104"/>
        <v>0</v>
      </c>
      <c r="BF64" s="36" t="s">
        <v>2167</v>
      </c>
      <c r="BG64" s="36" t="s">
        <v>2167</v>
      </c>
      <c r="BH64" s="37">
        <f t="shared" si="105"/>
        <v>1</v>
      </c>
      <c r="BI64" s="37">
        <f t="shared" si="106"/>
        <v>0.75</v>
      </c>
      <c r="BJ64" s="37">
        <f t="shared" si="107"/>
        <v>0.75</v>
      </c>
      <c r="BK64" s="37">
        <f t="shared" si="108"/>
        <v>0</v>
      </c>
      <c r="BL64" s="36" t="s">
        <v>2167</v>
      </c>
      <c r="BM64" s="36" t="s">
        <v>2167</v>
      </c>
      <c r="BN64" s="37">
        <f t="shared" si="109"/>
        <v>1</v>
      </c>
      <c r="BO64" s="37">
        <f t="shared" si="110"/>
        <v>0.75</v>
      </c>
      <c r="BP64" s="37">
        <f t="shared" si="111"/>
        <v>0.75</v>
      </c>
      <c r="BQ64" s="37">
        <f t="shared" si="112"/>
        <v>0</v>
      </c>
      <c r="BR64" s="37">
        <f t="shared" si="113"/>
        <v>0</v>
      </c>
      <c r="BS64" s="36" t="s">
        <v>2080</v>
      </c>
      <c r="BT64" s="36" t="s">
        <v>2080</v>
      </c>
      <c r="BU64" s="36" t="s">
        <v>2080</v>
      </c>
      <c r="BV64" s="36" t="s">
        <v>2080</v>
      </c>
      <c r="BW64" s="37">
        <f t="shared" si="114"/>
        <v>0</v>
      </c>
      <c r="BX64" s="37">
        <f t="shared" si="115"/>
        <v>0</v>
      </c>
      <c r="BY64" s="37">
        <f t="shared" si="116"/>
        <v>0</v>
      </c>
      <c r="BZ64" s="37">
        <f t="shared" si="117"/>
        <v>0</v>
      </c>
      <c r="CA64" s="37">
        <f t="shared" si="118"/>
        <v>0</v>
      </c>
      <c r="CB64" s="37">
        <f t="shared" si="119"/>
        <v>0</v>
      </c>
      <c r="CC64" s="37">
        <f t="shared" si="120"/>
        <v>0</v>
      </c>
      <c r="CD64" s="37">
        <f t="shared" si="121"/>
        <v>0</v>
      </c>
      <c r="CE64" s="36" t="s">
        <v>2067</v>
      </c>
      <c r="CF64" s="36" t="s">
        <v>2067</v>
      </c>
      <c r="CG64" s="36" t="s">
        <v>2067</v>
      </c>
      <c r="CH64" s="36" t="s">
        <v>2080</v>
      </c>
      <c r="CI64" s="37">
        <f t="shared" si="122"/>
        <v>0</v>
      </c>
      <c r="CJ64" s="37">
        <f t="shared" si="123"/>
        <v>0</v>
      </c>
      <c r="CK64" s="37">
        <f t="shared" si="124"/>
        <v>0</v>
      </c>
      <c r="CL64" s="37">
        <f t="shared" si="125"/>
        <v>0</v>
      </c>
      <c r="CM64" s="37">
        <f t="shared" si="126"/>
        <v>0</v>
      </c>
      <c r="CN64" s="37">
        <f t="shared" si="127"/>
        <v>0</v>
      </c>
      <c r="CO64" s="37">
        <f t="shared" si="128"/>
        <v>0</v>
      </c>
      <c r="CP64" s="37">
        <f t="shared" si="129"/>
        <v>0</v>
      </c>
      <c r="CQ64" s="37">
        <f t="shared" si="130"/>
        <v>3.3333333333333339</v>
      </c>
      <c r="CR64" s="37">
        <f t="shared" si="131"/>
        <v>5</v>
      </c>
      <c r="CS64" s="37">
        <f t="shared" si="132"/>
        <v>0</v>
      </c>
      <c r="CT64" s="37">
        <f t="shared" si="133"/>
        <v>10</v>
      </c>
      <c r="CU64" s="37">
        <f t="shared" si="134"/>
        <v>0</v>
      </c>
      <c r="CV64" s="37">
        <f t="shared" si="135"/>
        <v>0</v>
      </c>
      <c r="CW64" s="37">
        <f t="shared" si="136"/>
        <v>0</v>
      </c>
      <c r="CX64" s="37">
        <f t="shared" si="137"/>
        <v>0</v>
      </c>
      <c r="CY64" s="37">
        <f t="shared" si="138"/>
        <v>0</v>
      </c>
      <c r="CZ64" s="37">
        <f t="shared" si="139"/>
        <v>18.333333333333336</v>
      </c>
    </row>
    <row r="65" spans="1:104" x14ac:dyDescent="0.25">
      <c r="A65" s="149" t="s">
        <v>2227</v>
      </c>
      <c r="B65" s="53" t="s">
        <v>1947</v>
      </c>
      <c r="C65" s="53" t="s">
        <v>1948</v>
      </c>
      <c r="D65" s="53" t="s">
        <v>1947</v>
      </c>
      <c r="E65" s="61">
        <f t="shared" si="70"/>
        <v>0</v>
      </c>
      <c r="F65" s="61">
        <f t="shared" si="71"/>
        <v>1</v>
      </c>
      <c r="G65" s="61">
        <f t="shared" si="72"/>
        <v>0</v>
      </c>
      <c r="H65" s="61">
        <f t="shared" si="73"/>
        <v>1</v>
      </c>
      <c r="I65" s="53" t="s">
        <v>2165</v>
      </c>
      <c r="J65" s="53" t="s">
        <v>2165</v>
      </c>
      <c r="K65" s="53" t="s">
        <v>1948</v>
      </c>
      <c r="L65" s="61">
        <f t="shared" si="74"/>
        <v>0</v>
      </c>
      <c r="M65" s="61">
        <f t="shared" si="75"/>
        <v>0</v>
      </c>
      <c r="N65" s="61">
        <f t="shared" si="76"/>
        <v>1</v>
      </c>
      <c r="O65" s="61">
        <f t="shared" si="77"/>
        <v>1</v>
      </c>
      <c r="P65" s="61">
        <f t="shared" si="78"/>
        <v>33.333333333333336</v>
      </c>
      <c r="Q65" s="53" t="s">
        <v>1948</v>
      </c>
      <c r="R65" s="53" t="s">
        <v>1947</v>
      </c>
      <c r="S65" s="61">
        <f t="shared" si="79"/>
        <v>1</v>
      </c>
      <c r="T65" s="61">
        <f t="shared" si="80"/>
        <v>0</v>
      </c>
      <c r="U65" s="61">
        <f t="shared" si="81"/>
        <v>1</v>
      </c>
      <c r="V65" s="61">
        <f t="shared" si="82"/>
        <v>50</v>
      </c>
      <c r="W65" s="53" t="s">
        <v>1947</v>
      </c>
      <c r="X65" s="53" t="s">
        <v>1947</v>
      </c>
      <c r="Y65" s="53" t="s">
        <v>1947</v>
      </c>
      <c r="Z65" s="53" t="s">
        <v>1947</v>
      </c>
      <c r="AA65" s="53" t="s">
        <v>1947</v>
      </c>
      <c r="AB65" s="50">
        <f t="shared" si="83"/>
        <v>0</v>
      </c>
      <c r="AC65" s="50">
        <f t="shared" si="84"/>
        <v>0</v>
      </c>
      <c r="AD65" s="50">
        <f t="shared" si="85"/>
        <v>0</v>
      </c>
      <c r="AE65" s="50">
        <f t="shared" si="86"/>
        <v>0</v>
      </c>
      <c r="AF65" s="50">
        <f t="shared" si="87"/>
        <v>0</v>
      </c>
      <c r="AG65" s="50">
        <f t="shared" si="88"/>
        <v>0</v>
      </c>
      <c r="AH65" s="51">
        <f t="shared" si="89"/>
        <v>0</v>
      </c>
      <c r="AI65" s="51">
        <f t="shared" si="90"/>
        <v>83.333333333333343</v>
      </c>
      <c r="AJ65" s="53" t="s">
        <v>1948</v>
      </c>
      <c r="AK65" s="53" t="s">
        <v>1948</v>
      </c>
      <c r="AL65" s="53" t="s">
        <v>1948</v>
      </c>
      <c r="AM65" s="50">
        <f t="shared" si="91"/>
        <v>1</v>
      </c>
      <c r="AN65" s="50">
        <f t="shared" si="92"/>
        <v>1</v>
      </c>
      <c r="AO65" s="50">
        <f t="shared" si="93"/>
        <v>1</v>
      </c>
      <c r="AP65" s="50">
        <f t="shared" si="94"/>
        <v>3</v>
      </c>
      <c r="AQ65" s="50">
        <f t="shared" si="95"/>
        <v>100</v>
      </c>
      <c r="AR65" s="36" t="s">
        <v>2166</v>
      </c>
      <c r="AS65" s="36" t="s">
        <v>2166</v>
      </c>
      <c r="AT65" s="36" t="s">
        <v>2166</v>
      </c>
      <c r="AU65" s="37">
        <f t="shared" si="96"/>
        <v>1</v>
      </c>
      <c r="AV65" s="37">
        <f t="shared" si="97"/>
        <v>1</v>
      </c>
      <c r="AW65" s="37">
        <f t="shared" si="98"/>
        <v>1</v>
      </c>
      <c r="AX65" s="37">
        <f t="shared" si="99"/>
        <v>0</v>
      </c>
      <c r="AY65" s="37">
        <f t="shared" si="100"/>
        <v>0</v>
      </c>
      <c r="AZ65" s="36" t="s">
        <v>2167</v>
      </c>
      <c r="BA65" s="36" t="s">
        <v>2167</v>
      </c>
      <c r="BB65" s="37">
        <f t="shared" si="101"/>
        <v>1</v>
      </c>
      <c r="BC65" s="37">
        <f t="shared" si="102"/>
        <v>0.75</v>
      </c>
      <c r="BD65" s="37">
        <f t="shared" si="103"/>
        <v>0.75</v>
      </c>
      <c r="BE65" s="37">
        <f t="shared" si="104"/>
        <v>0</v>
      </c>
      <c r="BF65" s="36" t="s">
        <v>2167</v>
      </c>
      <c r="BG65" s="36" t="s">
        <v>2167</v>
      </c>
      <c r="BH65" s="37">
        <f t="shared" si="105"/>
        <v>1</v>
      </c>
      <c r="BI65" s="37">
        <f t="shared" si="106"/>
        <v>0.75</v>
      </c>
      <c r="BJ65" s="37">
        <f t="shared" si="107"/>
        <v>0.75</v>
      </c>
      <c r="BK65" s="37">
        <f t="shared" si="108"/>
        <v>0</v>
      </c>
      <c r="BL65" s="36" t="s">
        <v>2167</v>
      </c>
      <c r="BM65" s="36" t="s">
        <v>2167</v>
      </c>
      <c r="BN65" s="37">
        <f t="shared" si="109"/>
        <v>1</v>
      </c>
      <c r="BO65" s="37">
        <f t="shared" si="110"/>
        <v>0.75</v>
      </c>
      <c r="BP65" s="37">
        <f t="shared" si="111"/>
        <v>0.75</v>
      </c>
      <c r="BQ65" s="37">
        <f t="shared" si="112"/>
        <v>0</v>
      </c>
      <c r="BR65" s="37">
        <f t="shared" si="113"/>
        <v>0</v>
      </c>
      <c r="BS65" s="36" t="s">
        <v>2080</v>
      </c>
      <c r="BT65" s="36" t="s">
        <v>2080</v>
      </c>
      <c r="BU65" s="36" t="s">
        <v>2080</v>
      </c>
      <c r="BV65" s="36" t="s">
        <v>2080</v>
      </c>
      <c r="BW65" s="37">
        <f t="shared" si="114"/>
        <v>0</v>
      </c>
      <c r="BX65" s="37">
        <f t="shared" si="115"/>
        <v>0</v>
      </c>
      <c r="BY65" s="37">
        <f t="shared" si="116"/>
        <v>0</v>
      </c>
      <c r="BZ65" s="37">
        <f t="shared" si="117"/>
        <v>0</v>
      </c>
      <c r="CA65" s="37">
        <f t="shared" si="118"/>
        <v>0</v>
      </c>
      <c r="CB65" s="37">
        <f t="shared" si="119"/>
        <v>0</v>
      </c>
      <c r="CC65" s="37">
        <f t="shared" si="120"/>
        <v>0</v>
      </c>
      <c r="CD65" s="37">
        <f t="shared" si="121"/>
        <v>0</v>
      </c>
      <c r="CE65" s="36" t="s">
        <v>2067</v>
      </c>
      <c r="CF65" s="36" t="s">
        <v>2067</v>
      </c>
      <c r="CG65" s="36" t="s">
        <v>2067</v>
      </c>
      <c r="CH65" s="36" t="s">
        <v>2080</v>
      </c>
      <c r="CI65" s="37">
        <f t="shared" si="122"/>
        <v>0</v>
      </c>
      <c r="CJ65" s="37">
        <f t="shared" si="123"/>
        <v>0</v>
      </c>
      <c r="CK65" s="37">
        <f t="shared" si="124"/>
        <v>0</v>
      </c>
      <c r="CL65" s="37">
        <f t="shared" si="125"/>
        <v>0</v>
      </c>
      <c r="CM65" s="37">
        <f t="shared" si="126"/>
        <v>0</v>
      </c>
      <c r="CN65" s="37">
        <f t="shared" si="127"/>
        <v>0</v>
      </c>
      <c r="CO65" s="37">
        <f t="shared" si="128"/>
        <v>0</v>
      </c>
      <c r="CP65" s="37">
        <f t="shared" si="129"/>
        <v>0</v>
      </c>
      <c r="CQ65" s="37">
        <f t="shared" si="130"/>
        <v>3.3333333333333339</v>
      </c>
      <c r="CR65" s="37">
        <f t="shared" si="131"/>
        <v>5</v>
      </c>
      <c r="CS65" s="37">
        <f t="shared" si="132"/>
        <v>0</v>
      </c>
      <c r="CT65" s="37">
        <f t="shared" si="133"/>
        <v>10</v>
      </c>
      <c r="CU65" s="37">
        <f t="shared" si="134"/>
        <v>0</v>
      </c>
      <c r="CV65" s="37">
        <f t="shared" si="135"/>
        <v>0</v>
      </c>
      <c r="CW65" s="37">
        <f t="shared" si="136"/>
        <v>0</v>
      </c>
      <c r="CX65" s="37">
        <f t="shared" si="137"/>
        <v>0</v>
      </c>
      <c r="CY65" s="37">
        <f t="shared" si="138"/>
        <v>0</v>
      </c>
      <c r="CZ65" s="37">
        <f t="shared" si="139"/>
        <v>18.333333333333336</v>
      </c>
    </row>
    <row r="66" spans="1:104" x14ac:dyDescent="0.25">
      <c r="A66" s="149" t="s">
        <v>2228</v>
      </c>
      <c r="B66" s="53" t="s">
        <v>1947</v>
      </c>
      <c r="C66" s="53" t="s">
        <v>1948</v>
      </c>
      <c r="D66" s="53" t="s">
        <v>1947</v>
      </c>
      <c r="E66" s="61">
        <f t="shared" si="70"/>
        <v>0</v>
      </c>
      <c r="F66" s="61">
        <f t="shared" si="71"/>
        <v>1</v>
      </c>
      <c r="G66" s="61">
        <f t="shared" si="72"/>
        <v>0</v>
      </c>
      <c r="H66" s="61">
        <f t="shared" si="73"/>
        <v>1</v>
      </c>
      <c r="I66" s="53" t="s">
        <v>2165</v>
      </c>
      <c r="J66" s="53" t="s">
        <v>2165</v>
      </c>
      <c r="K66" s="53" t="s">
        <v>1948</v>
      </c>
      <c r="L66" s="61">
        <f t="shared" si="74"/>
        <v>0</v>
      </c>
      <c r="M66" s="61">
        <f t="shared" si="75"/>
        <v>0</v>
      </c>
      <c r="N66" s="61">
        <f t="shared" si="76"/>
        <v>1</v>
      </c>
      <c r="O66" s="61">
        <f t="shared" si="77"/>
        <v>1</v>
      </c>
      <c r="P66" s="61">
        <f t="shared" si="78"/>
        <v>33.333333333333336</v>
      </c>
      <c r="Q66" s="53" t="s">
        <v>1948</v>
      </c>
      <c r="R66" s="53" t="s">
        <v>1947</v>
      </c>
      <c r="S66" s="61">
        <f t="shared" si="79"/>
        <v>1</v>
      </c>
      <c r="T66" s="61">
        <f t="shared" si="80"/>
        <v>0</v>
      </c>
      <c r="U66" s="61">
        <f t="shared" si="81"/>
        <v>1</v>
      </c>
      <c r="V66" s="61">
        <f t="shared" si="82"/>
        <v>50</v>
      </c>
      <c r="W66" s="53" t="s">
        <v>1947</v>
      </c>
      <c r="X66" s="53" t="s">
        <v>1947</v>
      </c>
      <c r="Y66" s="53" t="s">
        <v>1947</v>
      </c>
      <c r="Z66" s="53" t="s">
        <v>1947</v>
      </c>
      <c r="AA66" s="53" t="s">
        <v>1947</v>
      </c>
      <c r="AB66" s="50">
        <f t="shared" si="83"/>
        <v>0</v>
      </c>
      <c r="AC66" s="50">
        <f t="shared" si="84"/>
        <v>0</v>
      </c>
      <c r="AD66" s="50">
        <f t="shared" si="85"/>
        <v>0</v>
      </c>
      <c r="AE66" s="50">
        <f t="shared" si="86"/>
        <v>0</v>
      </c>
      <c r="AF66" s="50">
        <f t="shared" si="87"/>
        <v>0</v>
      </c>
      <c r="AG66" s="50">
        <f t="shared" si="88"/>
        <v>0</v>
      </c>
      <c r="AH66" s="51">
        <f t="shared" si="89"/>
        <v>0</v>
      </c>
      <c r="AI66" s="51">
        <f t="shared" si="90"/>
        <v>83.333333333333343</v>
      </c>
      <c r="AJ66" s="53" t="s">
        <v>1948</v>
      </c>
      <c r="AK66" s="53" t="s">
        <v>1948</v>
      </c>
      <c r="AL66" s="53" t="s">
        <v>1948</v>
      </c>
      <c r="AM66" s="50">
        <f t="shared" si="91"/>
        <v>1</v>
      </c>
      <c r="AN66" s="50">
        <f t="shared" si="92"/>
        <v>1</v>
      </c>
      <c r="AO66" s="50">
        <f t="shared" si="93"/>
        <v>1</v>
      </c>
      <c r="AP66" s="50">
        <f t="shared" si="94"/>
        <v>3</v>
      </c>
      <c r="AQ66" s="50">
        <f t="shared" si="95"/>
        <v>100</v>
      </c>
      <c r="AR66" s="36" t="s">
        <v>2166</v>
      </c>
      <c r="AS66" s="36" t="s">
        <v>2166</v>
      </c>
      <c r="AT66" s="36" t="s">
        <v>2166</v>
      </c>
      <c r="AU66" s="37">
        <f t="shared" si="96"/>
        <v>1</v>
      </c>
      <c r="AV66" s="37">
        <f t="shared" si="97"/>
        <v>1</v>
      </c>
      <c r="AW66" s="37">
        <f t="shared" si="98"/>
        <v>1</v>
      </c>
      <c r="AX66" s="37">
        <f t="shared" si="99"/>
        <v>0</v>
      </c>
      <c r="AY66" s="37">
        <f t="shared" si="100"/>
        <v>0</v>
      </c>
      <c r="AZ66" s="36" t="s">
        <v>2167</v>
      </c>
      <c r="BA66" s="36" t="s">
        <v>2167</v>
      </c>
      <c r="BB66" s="37">
        <f t="shared" si="101"/>
        <v>1</v>
      </c>
      <c r="BC66" s="37">
        <f t="shared" si="102"/>
        <v>0.75</v>
      </c>
      <c r="BD66" s="37">
        <f t="shared" si="103"/>
        <v>0.75</v>
      </c>
      <c r="BE66" s="37">
        <f t="shared" si="104"/>
        <v>0</v>
      </c>
      <c r="BF66" s="36" t="s">
        <v>2167</v>
      </c>
      <c r="BG66" s="36" t="s">
        <v>2167</v>
      </c>
      <c r="BH66" s="37">
        <f t="shared" si="105"/>
        <v>1</v>
      </c>
      <c r="BI66" s="37">
        <f t="shared" si="106"/>
        <v>0.75</v>
      </c>
      <c r="BJ66" s="37">
        <f t="shared" si="107"/>
        <v>0.75</v>
      </c>
      <c r="BK66" s="37">
        <f t="shared" si="108"/>
        <v>0</v>
      </c>
      <c r="BL66" s="36" t="s">
        <v>2167</v>
      </c>
      <c r="BM66" s="36" t="s">
        <v>2167</v>
      </c>
      <c r="BN66" s="37">
        <f t="shared" si="109"/>
        <v>1</v>
      </c>
      <c r="BO66" s="37">
        <f t="shared" si="110"/>
        <v>0.75</v>
      </c>
      <c r="BP66" s="37">
        <f t="shared" si="111"/>
        <v>0.75</v>
      </c>
      <c r="BQ66" s="37">
        <f t="shared" si="112"/>
        <v>0</v>
      </c>
      <c r="BR66" s="37">
        <f t="shared" si="113"/>
        <v>0</v>
      </c>
      <c r="BS66" s="36" t="s">
        <v>2080</v>
      </c>
      <c r="BT66" s="36" t="s">
        <v>2080</v>
      </c>
      <c r="BU66" s="36" t="s">
        <v>2080</v>
      </c>
      <c r="BV66" s="36" t="s">
        <v>2080</v>
      </c>
      <c r="BW66" s="37">
        <f t="shared" si="114"/>
        <v>0</v>
      </c>
      <c r="BX66" s="37">
        <f t="shared" si="115"/>
        <v>0</v>
      </c>
      <c r="BY66" s="37">
        <f t="shared" si="116"/>
        <v>0</v>
      </c>
      <c r="BZ66" s="37">
        <f t="shared" si="117"/>
        <v>0</v>
      </c>
      <c r="CA66" s="37">
        <f t="shared" si="118"/>
        <v>0</v>
      </c>
      <c r="CB66" s="37">
        <f t="shared" si="119"/>
        <v>0</v>
      </c>
      <c r="CC66" s="37">
        <f t="shared" si="120"/>
        <v>0</v>
      </c>
      <c r="CD66" s="37">
        <f t="shared" si="121"/>
        <v>0</v>
      </c>
      <c r="CE66" s="36" t="s">
        <v>2067</v>
      </c>
      <c r="CF66" s="36" t="s">
        <v>2067</v>
      </c>
      <c r="CG66" s="36" t="s">
        <v>2067</v>
      </c>
      <c r="CH66" s="36" t="s">
        <v>2080</v>
      </c>
      <c r="CI66" s="37">
        <f t="shared" si="122"/>
        <v>0</v>
      </c>
      <c r="CJ66" s="37">
        <f t="shared" si="123"/>
        <v>0</v>
      </c>
      <c r="CK66" s="37">
        <f t="shared" si="124"/>
        <v>0</v>
      </c>
      <c r="CL66" s="37">
        <f t="shared" si="125"/>
        <v>0</v>
      </c>
      <c r="CM66" s="37">
        <f t="shared" si="126"/>
        <v>0</v>
      </c>
      <c r="CN66" s="37">
        <f t="shared" si="127"/>
        <v>0</v>
      </c>
      <c r="CO66" s="37">
        <f t="shared" si="128"/>
        <v>0</v>
      </c>
      <c r="CP66" s="37">
        <f t="shared" si="129"/>
        <v>0</v>
      </c>
      <c r="CQ66" s="37">
        <f t="shared" si="130"/>
        <v>3.3333333333333339</v>
      </c>
      <c r="CR66" s="37">
        <f t="shared" si="131"/>
        <v>5</v>
      </c>
      <c r="CS66" s="37">
        <f t="shared" si="132"/>
        <v>0</v>
      </c>
      <c r="CT66" s="37">
        <f t="shared" si="133"/>
        <v>10</v>
      </c>
      <c r="CU66" s="37">
        <f t="shared" si="134"/>
        <v>0</v>
      </c>
      <c r="CV66" s="37">
        <f t="shared" si="135"/>
        <v>0</v>
      </c>
      <c r="CW66" s="37">
        <f t="shared" si="136"/>
        <v>0</v>
      </c>
      <c r="CX66" s="37">
        <f t="shared" si="137"/>
        <v>0</v>
      </c>
      <c r="CY66" s="37">
        <f t="shared" si="138"/>
        <v>0</v>
      </c>
      <c r="CZ66" s="37">
        <f t="shared" si="139"/>
        <v>18.333333333333336</v>
      </c>
    </row>
    <row r="67" spans="1:104" x14ac:dyDescent="0.25">
      <c r="A67" s="149" t="s">
        <v>2229</v>
      </c>
      <c r="B67" s="53" t="s">
        <v>1947</v>
      </c>
      <c r="C67" s="53" t="s">
        <v>1948</v>
      </c>
      <c r="D67" s="53" t="s">
        <v>1947</v>
      </c>
      <c r="E67" s="61">
        <f t="shared" si="70"/>
        <v>0</v>
      </c>
      <c r="F67" s="61">
        <f t="shared" si="71"/>
        <v>1</v>
      </c>
      <c r="G67" s="61">
        <f t="shared" si="72"/>
        <v>0</v>
      </c>
      <c r="H67" s="61">
        <f t="shared" si="73"/>
        <v>1</v>
      </c>
      <c r="I67" s="53" t="s">
        <v>2165</v>
      </c>
      <c r="J67" s="53" t="s">
        <v>2165</v>
      </c>
      <c r="K67" s="53" t="s">
        <v>1948</v>
      </c>
      <c r="L67" s="61">
        <f t="shared" si="74"/>
        <v>0</v>
      </c>
      <c r="M67" s="61">
        <f t="shared" si="75"/>
        <v>0</v>
      </c>
      <c r="N67" s="61">
        <f t="shared" si="76"/>
        <v>1</v>
      </c>
      <c r="O67" s="61">
        <f t="shared" si="77"/>
        <v>1</v>
      </c>
      <c r="P67" s="61">
        <f t="shared" si="78"/>
        <v>33.333333333333336</v>
      </c>
      <c r="Q67" s="53" t="s">
        <v>1948</v>
      </c>
      <c r="R67" s="53" t="s">
        <v>1947</v>
      </c>
      <c r="S67" s="61">
        <f t="shared" si="79"/>
        <v>1</v>
      </c>
      <c r="T67" s="61">
        <f t="shared" si="80"/>
        <v>0</v>
      </c>
      <c r="U67" s="61">
        <f t="shared" si="81"/>
        <v>1</v>
      </c>
      <c r="V67" s="61">
        <f t="shared" si="82"/>
        <v>50</v>
      </c>
      <c r="W67" s="53" t="s">
        <v>1947</v>
      </c>
      <c r="X67" s="53" t="s">
        <v>1947</v>
      </c>
      <c r="Y67" s="53" t="s">
        <v>1947</v>
      </c>
      <c r="Z67" s="53" t="s">
        <v>1947</v>
      </c>
      <c r="AA67" s="53" t="s">
        <v>1947</v>
      </c>
      <c r="AB67" s="50">
        <f t="shared" si="83"/>
        <v>0</v>
      </c>
      <c r="AC67" s="50">
        <f t="shared" si="84"/>
        <v>0</v>
      </c>
      <c r="AD67" s="50">
        <f t="shared" si="85"/>
        <v>0</v>
      </c>
      <c r="AE67" s="50">
        <f t="shared" si="86"/>
        <v>0</v>
      </c>
      <c r="AF67" s="50">
        <f t="shared" si="87"/>
        <v>0</v>
      </c>
      <c r="AG67" s="50">
        <f t="shared" si="88"/>
        <v>0</v>
      </c>
      <c r="AH67" s="51">
        <f t="shared" si="89"/>
        <v>0</v>
      </c>
      <c r="AI67" s="51">
        <f t="shared" si="90"/>
        <v>83.333333333333343</v>
      </c>
      <c r="AJ67" s="53" t="s">
        <v>1948</v>
      </c>
      <c r="AK67" s="53" t="s">
        <v>1948</v>
      </c>
      <c r="AL67" s="53" t="s">
        <v>1948</v>
      </c>
      <c r="AM67" s="50">
        <f t="shared" si="91"/>
        <v>1</v>
      </c>
      <c r="AN67" s="50">
        <f t="shared" si="92"/>
        <v>1</v>
      </c>
      <c r="AO67" s="50">
        <f t="shared" si="93"/>
        <v>1</v>
      </c>
      <c r="AP67" s="50">
        <f t="shared" si="94"/>
        <v>3</v>
      </c>
      <c r="AQ67" s="50">
        <f t="shared" si="95"/>
        <v>100</v>
      </c>
      <c r="AR67" s="36" t="s">
        <v>2166</v>
      </c>
      <c r="AS67" s="36" t="s">
        <v>2166</v>
      </c>
      <c r="AT67" s="36" t="s">
        <v>2166</v>
      </c>
      <c r="AU67" s="37">
        <f t="shared" si="96"/>
        <v>1</v>
      </c>
      <c r="AV67" s="37">
        <f t="shared" si="97"/>
        <v>1</v>
      </c>
      <c r="AW67" s="37">
        <f t="shared" si="98"/>
        <v>1</v>
      </c>
      <c r="AX67" s="37">
        <f t="shared" si="99"/>
        <v>0</v>
      </c>
      <c r="AY67" s="37">
        <f t="shared" si="100"/>
        <v>0</v>
      </c>
      <c r="AZ67" s="36" t="s">
        <v>2167</v>
      </c>
      <c r="BA67" s="36" t="s">
        <v>2167</v>
      </c>
      <c r="BB67" s="37">
        <f t="shared" si="101"/>
        <v>1</v>
      </c>
      <c r="BC67" s="37">
        <f t="shared" si="102"/>
        <v>0.75</v>
      </c>
      <c r="BD67" s="37">
        <f t="shared" si="103"/>
        <v>0.75</v>
      </c>
      <c r="BE67" s="37">
        <f t="shared" si="104"/>
        <v>0</v>
      </c>
      <c r="BF67" s="36" t="s">
        <v>2167</v>
      </c>
      <c r="BG67" s="36" t="s">
        <v>2167</v>
      </c>
      <c r="BH67" s="37">
        <f t="shared" si="105"/>
        <v>1</v>
      </c>
      <c r="BI67" s="37">
        <f t="shared" si="106"/>
        <v>0.75</v>
      </c>
      <c r="BJ67" s="37">
        <f t="shared" si="107"/>
        <v>0.75</v>
      </c>
      <c r="BK67" s="37">
        <f t="shared" si="108"/>
        <v>0</v>
      </c>
      <c r="BL67" s="36" t="s">
        <v>2167</v>
      </c>
      <c r="BM67" s="36" t="s">
        <v>2167</v>
      </c>
      <c r="BN67" s="37">
        <f t="shared" si="109"/>
        <v>1</v>
      </c>
      <c r="BO67" s="37">
        <f t="shared" si="110"/>
        <v>0.75</v>
      </c>
      <c r="BP67" s="37">
        <f t="shared" si="111"/>
        <v>0.75</v>
      </c>
      <c r="BQ67" s="37">
        <f t="shared" si="112"/>
        <v>0</v>
      </c>
      <c r="BR67" s="37">
        <f t="shared" si="113"/>
        <v>0</v>
      </c>
      <c r="BS67" s="36" t="s">
        <v>2080</v>
      </c>
      <c r="BT67" s="36" t="s">
        <v>2080</v>
      </c>
      <c r="BU67" s="36" t="s">
        <v>2080</v>
      </c>
      <c r="BV67" s="36" t="s">
        <v>2080</v>
      </c>
      <c r="BW67" s="37">
        <f t="shared" si="114"/>
        <v>0</v>
      </c>
      <c r="BX67" s="37">
        <f t="shared" si="115"/>
        <v>0</v>
      </c>
      <c r="BY67" s="37">
        <f t="shared" si="116"/>
        <v>0</v>
      </c>
      <c r="BZ67" s="37">
        <f t="shared" si="117"/>
        <v>0</v>
      </c>
      <c r="CA67" s="37">
        <f t="shared" si="118"/>
        <v>0</v>
      </c>
      <c r="CB67" s="37">
        <f t="shared" si="119"/>
        <v>0</v>
      </c>
      <c r="CC67" s="37">
        <f t="shared" si="120"/>
        <v>0</v>
      </c>
      <c r="CD67" s="37">
        <f t="shared" si="121"/>
        <v>0</v>
      </c>
      <c r="CE67" s="36" t="s">
        <v>2067</v>
      </c>
      <c r="CF67" s="36" t="s">
        <v>2067</v>
      </c>
      <c r="CG67" s="36" t="s">
        <v>2067</v>
      </c>
      <c r="CH67" s="36" t="s">
        <v>2080</v>
      </c>
      <c r="CI67" s="37">
        <f t="shared" si="122"/>
        <v>0</v>
      </c>
      <c r="CJ67" s="37">
        <f t="shared" si="123"/>
        <v>0</v>
      </c>
      <c r="CK67" s="37">
        <f t="shared" si="124"/>
        <v>0</v>
      </c>
      <c r="CL67" s="37">
        <f t="shared" si="125"/>
        <v>0</v>
      </c>
      <c r="CM67" s="37">
        <f t="shared" si="126"/>
        <v>0</v>
      </c>
      <c r="CN67" s="37">
        <f t="shared" si="127"/>
        <v>0</v>
      </c>
      <c r="CO67" s="37">
        <f t="shared" si="128"/>
        <v>0</v>
      </c>
      <c r="CP67" s="37">
        <f t="shared" si="129"/>
        <v>0</v>
      </c>
      <c r="CQ67" s="37">
        <f t="shared" si="130"/>
        <v>3.3333333333333339</v>
      </c>
      <c r="CR67" s="37">
        <f t="shared" si="131"/>
        <v>5</v>
      </c>
      <c r="CS67" s="37">
        <f t="shared" si="132"/>
        <v>0</v>
      </c>
      <c r="CT67" s="37">
        <f t="shared" si="133"/>
        <v>10</v>
      </c>
      <c r="CU67" s="37">
        <f t="shared" si="134"/>
        <v>0</v>
      </c>
      <c r="CV67" s="37">
        <f t="shared" si="135"/>
        <v>0</v>
      </c>
      <c r="CW67" s="37">
        <f t="shared" si="136"/>
        <v>0</v>
      </c>
      <c r="CX67" s="37">
        <f t="shared" si="137"/>
        <v>0</v>
      </c>
      <c r="CY67" s="37">
        <f t="shared" si="138"/>
        <v>0</v>
      </c>
      <c r="CZ67" s="37">
        <f t="shared" si="139"/>
        <v>18.333333333333336</v>
      </c>
    </row>
    <row r="68" spans="1:104" x14ac:dyDescent="0.25">
      <c r="A68" s="149" t="s">
        <v>2230</v>
      </c>
      <c r="B68" s="53" t="s">
        <v>1948</v>
      </c>
      <c r="C68" s="53" t="s">
        <v>1948</v>
      </c>
      <c r="D68" s="53" t="s">
        <v>1947</v>
      </c>
      <c r="E68" s="61">
        <f t="shared" si="70"/>
        <v>1</v>
      </c>
      <c r="F68" s="61">
        <f t="shared" si="71"/>
        <v>1</v>
      </c>
      <c r="G68" s="61">
        <f t="shared" si="72"/>
        <v>0</v>
      </c>
      <c r="H68" s="61">
        <f t="shared" si="73"/>
        <v>2</v>
      </c>
      <c r="I68" s="53" t="s">
        <v>2165</v>
      </c>
      <c r="J68" s="53" t="s">
        <v>2165</v>
      </c>
      <c r="K68" s="53" t="s">
        <v>1948</v>
      </c>
      <c r="L68" s="61">
        <f t="shared" si="74"/>
        <v>0</v>
      </c>
      <c r="M68" s="61">
        <f t="shared" si="75"/>
        <v>0</v>
      </c>
      <c r="N68" s="61">
        <f t="shared" si="76"/>
        <v>1</v>
      </c>
      <c r="O68" s="61">
        <f t="shared" si="77"/>
        <v>1</v>
      </c>
      <c r="P68" s="61">
        <f t="shared" si="78"/>
        <v>50</v>
      </c>
      <c r="Q68" s="53" t="s">
        <v>1948</v>
      </c>
      <c r="R68" s="53" t="s">
        <v>1948</v>
      </c>
      <c r="S68" s="61">
        <f t="shared" si="79"/>
        <v>1</v>
      </c>
      <c r="T68" s="61">
        <f t="shared" si="80"/>
        <v>1</v>
      </c>
      <c r="U68" s="61">
        <f t="shared" si="81"/>
        <v>2</v>
      </c>
      <c r="V68" s="61">
        <f t="shared" si="82"/>
        <v>100</v>
      </c>
      <c r="W68" s="53" t="s">
        <v>1947</v>
      </c>
      <c r="X68" s="53" t="s">
        <v>1948</v>
      </c>
      <c r="Y68" s="53" t="s">
        <v>1947</v>
      </c>
      <c r="Z68" s="53" t="s">
        <v>1948</v>
      </c>
      <c r="AA68" s="53" t="s">
        <v>1947</v>
      </c>
      <c r="AB68" s="50">
        <f t="shared" si="83"/>
        <v>0</v>
      </c>
      <c r="AC68" s="50">
        <f t="shared" si="84"/>
        <v>1</v>
      </c>
      <c r="AD68" s="50">
        <f t="shared" si="85"/>
        <v>0</v>
      </c>
      <c r="AE68" s="50">
        <f t="shared" si="86"/>
        <v>1</v>
      </c>
      <c r="AF68" s="50">
        <f t="shared" si="87"/>
        <v>0</v>
      </c>
      <c r="AG68" s="50">
        <f t="shared" si="88"/>
        <v>2</v>
      </c>
      <c r="AH68" s="51">
        <f t="shared" si="89"/>
        <v>40</v>
      </c>
      <c r="AI68" s="51">
        <f t="shared" si="90"/>
        <v>190</v>
      </c>
      <c r="AJ68" s="53" t="s">
        <v>1948</v>
      </c>
      <c r="AK68" s="53" t="s">
        <v>1948</v>
      </c>
      <c r="AL68" s="53" t="s">
        <v>1948</v>
      </c>
      <c r="AM68" s="50">
        <f t="shared" si="91"/>
        <v>1</v>
      </c>
      <c r="AN68" s="50">
        <f t="shared" si="92"/>
        <v>1</v>
      </c>
      <c r="AO68" s="50">
        <f t="shared" si="93"/>
        <v>1</v>
      </c>
      <c r="AP68" s="50">
        <f t="shared" si="94"/>
        <v>3</v>
      </c>
      <c r="AQ68" s="50">
        <f t="shared" si="95"/>
        <v>100</v>
      </c>
      <c r="AR68" s="36" t="s">
        <v>2166</v>
      </c>
      <c r="AS68" s="36" t="s">
        <v>2166</v>
      </c>
      <c r="AT68" s="36" t="s">
        <v>2166</v>
      </c>
      <c r="AU68" s="37">
        <f t="shared" si="96"/>
        <v>1</v>
      </c>
      <c r="AV68" s="37">
        <f t="shared" si="97"/>
        <v>1</v>
      </c>
      <c r="AW68" s="37">
        <f t="shared" si="98"/>
        <v>1</v>
      </c>
      <c r="AX68" s="37">
        <f t="shared" si="99"/>
        <v>0</v>
      </c>
      <c r="AY68" s="37">
        <f t="shared" si="100"/>
        <v>0</v>
      </c>
      <c r="AZ68" s="36" t="s">
        <v>2167</v>
      </c>
      <c r="BA68" s="36" t="s">
        <v>2167</v>
      </c>
      <c r="BB68" s="37">
        <f t="shared" si="101"/>
        <v>1</v>
      </c>
      <c r="BC68" s="37">
        <f t="shared" si="102"/>
        <v>0.75</v>
      </c>
      <c r="BD68" s="37">
        <f t="shared" si="103"/>
        <v>0.75</v>
      </c>
      <c r="BE68" s="37">
        <f t="shared" si="104"/>
        <v>0</v>
      </c>
      <c r="BF68" s="36" t="s">
        <v>2167</v>
      </c>
      <c r="BG68" s="36" t="s">
        <v>2167</v>
      </c>
      <c r="BH68" s="37">
        <f t="shared" si="105"/>
        <v>1</v>
      </c>
      <c r="BI68" s="37">
        <f t="shared" si="106"/>
        <v>0.75</v>
      </c>
      <c r="BJ68" s="37">
        <f t="shared" si="107"/>
        <v>0.75</v>
      </c>
      <c r="BK68" s="37">
        <f t="shared" si="108"/>
        <v>0</v>
      </c>
      <c r="BL68" s="36" t="s">
        <v>2167</v>
      </c>
      <c r="BM68" s="36" t="s">
        <v>2167</v>
      </c>
      <c r="BN68" s="37">
        <f t="shared" si="109"/>
        <v>1</v>
      </c>
      <c r="BO68" s="37">
        <f t="shared" si="110"/>
        <v>0.75</v>
      </c>
      <c r="BP68" s="37">
        <f t="shared" si="111"/>
        <v>0.75</v>
      </c>
      <c r="BQ68" s="37">
        <f t="shared" si="112"/>
        <v>0</v>
      </c>
      <c r="BR68" s="37">
        <f t="shared" si="113"/>
        <v>0</v>
      </c>
      <c r="BS68" s="36" t="s">
        <v>2080</v>
      </c>
      <c r="BT68" s="36" t="s">
        <v>2080</v>
      </c>
      <c r="BU68" s="36" t="s">
        <v>2080</v>
      </c>
      <c r="BV68" s="36" t="s">
        <v>2080</v>
      </c>
      <c r="BW68" s="37">
        <f t="shared" si="114"/>
        <v>0</v>
      </c>
      <c r="BX68" s="37">
        <f t="shared" si="115"/>
        <v>0</v>
      </c>
      <c r="BY68" s="37">
        <f t="shared" si="116"/>
        <v>0</v>
      </c>
      <c r="BZ68" s="37">
        <f t="shared" si="117"/>
        <v>0</v>
      </c>
      <c r="CA68" s="37">
        <f t="shared" si="118"/>
        <v>0</v>
      </c>
      <c r="CB68" s="37">
        <f t="shared" si="119"/>
        <v>0</v>
      </c>
      <c r="CC68" s="37">
        <f t="shared" si="120"/>
        <v>0</v>
      </c>
      <c r="CD68" s="37">
        <f t="shared" si="121"/>
        <v>0</v>
      </c>
      <c r="CE68" s="36" t="s">
        <v>2067</v>
      </c>
      <c r="CF68" s="36" t="s">
        <v>2067</v>
      </c>
      <c r="CG68" s="36" t="s">
        <v>2067</v>
      </c>
      <c r="CH68" s="36" t="s">
        <v>2080</v>
      </c>
      <c r="CI68" s="37">
        <f t="shared" si="122"/>
        <v>0</v>
      </c>
      <c r="CJ68" s="37">
        <f t="shared" si="123"/>
        <v>0</v>
      </c>
      <c r="CK68" s="37">
        <f t="shared" si="124"/>
        <v>0</v>
      </c>
      <c r="CL68" s="37">
        <f t="shared" si="125"/>
        <v>0</v>
      </c>
      <c r="CM68" s="37">
        <f t="shared" si="126"/>
        <v>0</v>
      </c>
      <c r="CN68" s="37">
        <f t="shared" si="127"/>
        <v>0</v>
      </c>
      <c r="CO68" s="37">
        <f t="shared" si="128"/>
        <v>0</v>
      </c>
      <c r="CP68" s="37">
        <f t="shared" si="129"/>
        <v>0</v>
      </c>
      <c r="CQ68" s="37">
        <f t="shared" si="130"/>
        <v>5</v>
      </c>
      <c r="CR68" s="37">
        <f t="shared" si="131"/>
        <v>10</v>
      </c>
      <c r="CS68" s="37">
        <f t="shared" si="132"/>
        <v>4</v>
      </c>
      <c r="CT68" s="37">
        <f t="shared" si="133"/>
        <v>10</v>
      </c>
      <c r="CU68" s="37">
        <f t="shared" si="134"/>
        <v>0</v>
      </c>
      <c r="CV68" s="37">
        <f t="shared" si="135"/>
        <v>0</v>
      </c>
      <c r="CW68" s="37">
        <f t="shared" si="136"/>
        <v>0</v>
      </c>
      <c r="CX68" s="37">
        <f t="shared" si="137"/>
        <v>0</v>
      </c>
      <c r="CY68" s="37">
        <f t="shared" si="138"/>
        <v>0</v>
      </c>
      <c r="CZ68" s="37">
        <f t="shared" si="139"/>
        <v>29</v>
      </c>
    </row>
    <row r="69" spans="1:104" x14ac:dyDescent="0.25">
      <c r="A69" s="149" t="s">
        <v>2231</v>
      </c>
      <c r="B69" s="53" t="s">
        <v>1947</v>
      </c>
      <c r="C69" s="53" t="s">
        <v>1948</v>
      </c>
      <c r="D69" s="53" t="s">
        <v>1947</v>
      </c>
      <c r="E69" s="61">
        <f t="shared" ref="E69:E85" si="140">IF(B69="SI",1,0)</f>
        <v>0</v>
      </c>
      <c r="F69" s="61">
        <f t="shared" ref="F69:F85" si="141">IF(C69="SI",1,0)</f>
        <v>1</v>
      </c>
      <c r="G69" s="61">
        <f t="shared" ref="G69:G85" si="142">IF(D69="SI",1,0)</f>
        <v>0</v>
      </c>
      <c r="H69" s="61">
        <f t="shared" ref="H69:H85" si="143">SUM(E69:G69)</f>
        <v>1</v>
      </c>
      <c r="I69" s="53" t="s">
        <v>2165</v>
      </c>
      <c r="J69" s="53" t="s">
        <v>2165</v>
      </c>
      <c r="K69" s="53" t="s">
        <v>1948</v>
      </c>
      <c r="L69" s="61">
        <f t="shared" ref="L69:L85" si="144">IF(I69="MUCHO",1,0)</f>
        <v>0</v>
      </c>
      <c r="M69" s="61">
        <f t="shared" ref="M69:M85" si="145">IF(J69="MUCHO",1,0)</f>
        <v>0</v>
      </c>
      <c r="N69" s="61">
        <f t="shared" ref="N69:N85" si="146">IF(K69="SI",1,0)</f>
        <v>1</v>
      </c>
      <c r="O69" s="61">
        <f t="shared" ref="O69:O85" si="147">SUM(L69:N69)</f>
        <v>1</v>
      </c>
      <c r="P69" s="61">
        <f t="shared" ref="P69:P85" si="148">((O69+H69)*100)/6</f>
        <v>33.333333333333336</v>
      </c>
      <c r="Q69" s="53" t="s">
        <v>1948</v>
      </c>
      <c r="R69" s="53" t="s">
        <v>1947</v>
      </c>
      <c r="S69" s="61">
        <f t="shared" ref="S69:S85" si="149">IF(Q69="SI",1,0)</f>
        <v>1</v>
      </c>
      <c r="T69" s="61">
        <f t="shared" ref="T69:T85" si="150">IF(R69="SI",1,0)</f>
        <v>0</v>
      </c>
      <c r="U69" s="61">
        <f t="shared" ref="U69:U85" si="151">SUM(S69:T69)</f>
        <v>1</v>
      </c>
      <c r="V69" s="61">
        <f t="shared" ref="V69:V85" si="152">((S69+T69)*100)/2</f>
        <v>50</v>
      </c>
      <c r="W69" s="53" t="s">
        <v>1947</v>
      </c>
      <c r="X69" s="53" t="s">
        <v>1947</v>
      </c>
      <c r="Y69" s="53" t="s">
        <v>1947</v>
      </c>
      <c r="Z69" s="53" t="s">
        <v>1947</v>
      </c>
      <c r="AA69" s="53" t="s">
        <v>1947</v>
      </c>
      <c r="AB69" s="50">
        <f t="shared" ref="AB69:AB85" si="153">IF(W69="SI",1,0)</f>
        <v>0</v>
      </c>
      <c r="AC69" s="50">
        <f t="shared" ref="AC69:AC85" si="154">IF(X69="SI",1,0)</f>
        <v>0</v>
      </c>
      <c r="AD69" s="50">
        <f t="shared" ref="AD69:AD85" si="155">IF(Y69="SI",1,0)</f>
        <v>0</v>
      </c>
      <c r="AE69" s="50">
        <f t="shared" ref="AE69:AE85" si="156">IF(Z69="SI",1,0)</f>
        <v>0</v>
      </c>
      <c r="AF69" s="50">
        <f t="shared" ref="AF69:AF85" si="157">IF(AA69="SI",1,0)</f>
        <v>0</v>
      </c>
      <c r="AG69" s="50">
        <f t="shared" ref="AG69:AG85" si="158">SUM(AB69:AF69)</f>
        <v>0</v>
      </c>
      <c r="AH69" s="51">
        <f t="shared" ref="AH69:AH85" si="159">((SUM(AB69:AF69))*100)/5</f>
        <v>0</v>
      </c>
      <c r="AI69" s="51">
        <f t="shared" ref="AI69:AI85" si="160">SUM(AH69,V69,P69)</f>
        <v>83.333333333333343</v>
      </c>
      <c r="AJ69" s="53" t="s">
        <v>1948</v>
      </c>
      <c r="AK69" s="53" t="s">
        <v>1948</v>
      </c>
      <c r="AL69" s="53" t="s">
        <v>1948</v>
      </c>
      <c r="AM69" s="50">
        <f t="shared" ref="AM69:AM85" si="161">IF(AJ69="SI",1,0)</f>
        <v>1</v>
      </c>
      <c r="AN69" s="50">
        <f t="shared" ref="AN69:AN85" si="162">IF(AK69="SI",1,0)</f>
        <v>1</v>
      </c>
      <c r="AO69" s="50">
        <f t="shared" ref="AO69:AO85" si="163">IF(AL69="SI",1,0)</f>
        <v>1</v>
      </c>
      <c r="AP69" s="50">
        <f t="shared" ref="AP69:AP85" si="164">SUM(AM69:AO69)</f>
        <v>3</v>
      </c>
      <c r="AQ69" s="50">
        <f t="shared" ref="AQ69:AQ85" si="165">((SUM(AM69:AO69))*100)/3</f>
        <v>100</v>
      </c>
      <c r="AR69" s="36" t="s">
        <v>2166</v>
      </c>
      <c r="AS69" s="36" t="s">
        <v>2166</v>
      </c>
      <c r="AT69" s="36" t="s">
        <v>2166</v>
      </c>
      <c r="AU69" s="37">
        <f t="shared" ref="AU69:AU85" si="166">IF(AR69="ALTA",1,IF(AR69="MEDIA",2,3))</f>
        <v>1</v>
      </c>
      <c r="AV69" s="37">
        <f t="shared" ref="AV69:AV85" si="167">IF(AS69="ALTA",1,IF(AS69="MEDIA",2,3))</f>
        <v>1</v>
      </c>
      <c r="AW69" s="37">
        <f t="shared" ref="AW69:AW85" si="168">IF(AT69="ALTA",1,IF(AT69="MEDIA",2,3))</f>
        <v>1</v>
      </c>
      <c r="AX69" s="37">
        <f t="shared" ref="AX69:AX85" si="169">IF(SUM(AU69:AW69)&gt;=7,SUM(AU69:AW69),0)</f>
        <v>0</v>
      </c>
      <c r="AY69" s="37">
        <f t="shared" ref="AY69:AY85" si="170">((AX69)*100)/9</f>
        <v>0</v>
      </c>
      <c r="AZ69" s="36" t="s">
        <v>2167</v>
      </c>
      <c r="BA69" s="36" t="s">
        <v>2167</v>
      </c>
      <c r="BB69" s="37">
        <f t="shared" ref="BB69:BB85" si="171">IF(AZ69="ALTO",3,IF(AZ69="MEDIO",2,1))</f>
        <v>1</v>
      </c>
      <c r="BC69" s="37">
        <f t="shared" ref="BC69:BC85" si="172">IF(BA69="ALTO",2.25,IF(BA69="MEDIO",1.5,0.75))</f>
        <v>0.75</v>
      </c>
      <c r="BD69" s="37">
        <f t="shared" ref="BD69:BD85" si="173">IF(BB69=1,BC69,BB69)</f>
        <v>0.75</v>
      </c>
      <c r="BE69" s="37">
        <f t="shared" ref="BE69:BE85" si="174">IF(BD69&gt;=2,BD69,0)</f>
        <v>0</v>
      </c>
      <c r="BF69" s="36" t="s">
        <v>2167</v>
      </c>
      <c r="BG69" s="36" t="s">
        <v>2167</v>
      </c>
      <c r="BH69" s="37">
        <f t="shared" ref="BH69:BH85" si="175">IF(BF69="ALTO",3,IF(BF69="MEDIO",2,1))</f>
        <v>1</v>
      </c>
      <c r="BI69" s="37">
        <f t="shared" ref="BI69:BI85" si="176">IF(BG69="ALTO",2.25,IF(BG69="MEDIO",1.5,0.75))</f>
        <v>0.75</v>
      </c>
      <c r="BJ69" s="37">
        <f t="shared" ref="BJ69:BJ85" si="177">IF(BH69=1,BI69,BH69)</f>
        <v>0.75</v>
      </c>
      <c r="BK69" s="37">
        <f t="shared" ref="BK69:BK85" si="178">IF(BJ69&gt;=2,BJ69,0)</f>
        <v>0</v>
      </c>
      <c r="BL69" s="36" t="s">
        <v>2167</v>
      </c>
      <c r="BM69" s="36" t="s">
        <v>2167</v>
      </c>
      <c r="BN69" s="37">
        <f t="shared" ref="BN69:BN85" si="179">IF(BL69="ALTO",3,IF(BL69="MEDIO",2,1))</f>
        <v>1</v>
      </c>
      <c r="BO69" s="37">
        <f t="shared" ref="BO69:BO85" si="180">IF(BM69="ALTO",2.25,IF(BM69="MEDIO",1.5,0.75))</f>
        <v>0.75</v>
      </c>
      <c r="BP69" s="37">
        <f t="shared" ref="BP69:BP85" si="181">IF(BN69=1,BO69,BN69)</f>
        <v>0.75</v>
      </c>
      <c r="BQ69" s="37">
        <f t="shared" ref="BQ69:BQ85" si="182">IF(BP69&gt;=2,BP69,0)</f>
        <v>0</v>
      </c>
      <c r="BR69" s="37">
        <f t="shared" ref="BR69:BR85" si="183">((BQ69+BK69+BE69)*100)/9</f>
        <v>0</v>
      </c>
      <c r="BS69" s="36" t="s">
        <v>2080</v>
      </c>
      <c r="BT69" s="36" t="s">
        <v>2080</v>
      </c>
      <c r="BU69" s="36" t="s">
        <v>2080</v>
      </c>
      <c r="BV69" s="36" t="s">
        <v>2080</v>
      </c>
      <c r="BW69" s="37">
        <f t="shared" ref="BW69:BW85" si="184">IF(IF(BS69="ALTO",3,IF(BS69="MEDIO",2,IF(BS69="BAJO",1,0)))&gt;=1,IF(BS69="ALTO",3,IF(BS69="MEDIO",2,IF(BS69="BAJO",1,0))),0)</f>
        <v>0</v>
      </c>
      <c r="BX69" s="37">
        <f t="shared" ref="BX69:BX85" si="185">IF(IF(BT69="ALTO",100,IF(BT69="MEDIO",50,IF(BT69="BAJO",25,0)))&gt;=50,IF(BT69="ALTO",100,IF(BT69="MEDIO",50,IF(BT69="BAJO",25,0))),0)</f>
        <v>0</v>
      </c>
      <c r="BY69" s="37">
        <f t="shared" ref="BY69:BY85" si="186">IF(IF(BU69="ALTO",100,IF(BU69="MEDIO",50,IF(BU69="BAJO",25,0)))&gt;=50,IF(BU69="ALTO",100,IF(BU69="MEDIO",50,IF(BU69="BAJO",25,0))),0)</f>
        <v>0</v>
      </c>
      <c r="BZ69" s="37">
        <f t="shared" ref="BZ69:BZ85" si="187">IF(IF(BV69="ALTO",100,IF(BV69="MEDIO",50,IF(BV69="BAJO",25,0)))&gt;=50,IF(BV69="ALTO",100,IF(BV69="MEDIO",50,IF(BV69="BAJO",25,0))),0)</f>
        <v>0</v>
      </c>
      <c r="CA69" s="37">
        <f t="shared" ref="CA69:CA85" si="188">(BW69/3)*100</f>
        <v>0</v>
      </c>
      <c r="CB69" s="37">
        <f t="shared" ref="CB69:CB85" si="189">(SUM(BX69:BZ69)/300)*100</f>
        <v>0</v>
      </c>
      <c r="CC69" s="37">
        <f t="shared" ref="CC69:CC85" si="190">SUM(CA69:CB69)</f>
        <v>0</v>
      </c>
      <c r="CD69" s="37">
        <f t="shared" ref="CD69:CD85" si="191">(CC69*100)/200</f>
        <v>0</v>
      </c>
      <c r="CE69" s="36" t="s">
        <v>2067</v>
      </c>
      <c r="CF69" s="36" t="s">
        <v>2067</v>
      </c>
      <c r="CG69" s="36" t="s">
        <v>2067</v>
      </c>
      <c r="CH69" s="36" t="s">
        <v>2080</v>
      </c>
      <c r="CI69" s="37">
        <f t="shared" ref="CI69:CI85" si="192">IF(IF(CE69="ALTO",1,IF(CE69="MEDIO",2,3))&gt;=2,IF(CE69="ALTO",1,IF(CE69="MEDIO",2,3)),0)</f>
        <v>0</v>
      </c>
      <c r="CJ69" s="37">
        <f t="shared" ref="CJ69:CJ85" si="193">IF(IF(CF69="ALTO",1,IF(CF69="MEDIO",2,IF(CF69="BAJO",3,4)))&gt;=3,IF(CF69="ALTO",1,IF(CF69="MEDIO",2,IF(CF69="BAJO",3,4))),0)</f>
        <v>0</v>
      </c>
      <c r="CK69" s="37">
        <f t="shared" ref="CK69:CK85" si="194">IF(IF(CG69="ALTO",1,IF(CG69="MEDIO",2,IF(CG69="BAJO",3,4)))&gt;=3,IF(CG69="ALTO",1,IF(CG69="MEDIO",2,IF(CG69="BAJO",3,4))),0)</f>
        <v>0</v>
      </c>
      <c r="CL69" s="37">
        <f t="shared" ref="CL69:CL85" si="195">IF(IF(CH69="ALTO",4,IF(CH69="MEDIO",3,IF(CH69="BAJO",2,1)))&gt;=3,IF(CH69="ALTO",4,IF(CH69="MEDIO",3,IF(CH69="BAJO",2,1))),0)</f>
        <v>0</v>
      </c>
      <c r="CM69" s="37">
        <f t="shared" ref="CM69:CM85" si="196">(CI69/3)*100</f>
        <v>0</v>
      </c>
      <c r="CN69" s="37">
        <f t="shared" ref="CN69:CN85" si="197">(SUM(CJ69:CK69)/8)*100</f>
        <v>0</v>
      </c>
      <c r="CO69" s="37">
        <f t="shared" ref="CO69:CO85" si="198">(SUM(CM69:CN69)*100)/200</f>
        <v>0</v>
      </c>
      <c r="CP69" s="37">
        <f t="shared" ref="CP69:CP85" si="199">(CL69*100)/4</f>
        <v>0</v>
      </c>
      <c r="CQ69" s="37">
        <f t="shared" ref="CQ69:CQ85" si="200">P69*CQ$3</f>
        <v>3.3333333333333339</v>
      </c>
      <c r="CR69" s="37">
        <f t="shared" ref="CR69:CR85" si="201">V69*CR$3</f>
        <v>5</v>
      </c>
      <c r="CS69" s="37">
        <f t="shared" ref="CS69:CS85" si="202">AH69*CS$3</f>
        <v>0</v>
      </c>
      <c r="CT69" s="37">
        <f t="shared" ref="CT69:CT85" si="203">AQ69*CT$3</f>
        <v>10</v>
      </c>
      <c r="CU69" s="37">
        <f t="shared" ref="CU69:CU85" si="204">AY69*CU$3</f>
        <v>0</v>
      </c>
      <c r="CV69" s="37">
        <f t="shared" ref="CV69:CV85" si="205">BR69*CV$3</f>
        <v>0</v>
      </c>
      <c r="CW69" s="37">
        <f t="shared" ref="CW69:CW85" si="206">CD69*CW$3</f>
        <v>0</v>
      </c>
      <c r="CX69" s="37">
        <f t="shared" ref="CX69:CX85" si="207">CO69*CX$3</f>
        <v>0</v>
      </c>
      <c r="CY69" s="37">
        <f t="shared" ref="CY69:CY85" si="208">CP69*CY$3</f>
        <v>0</v>
      </c>
      <c r="CZ69" s="37">
        <f t="shared" ref="CZ69:CZ85" si="209">SUM(CQ69:CY69)</f>
        <v>18.333333333333336</v>
      </c>
    </row>
    <row r="70" spans="1:104" x14ac:dyDescent="0.25">
      <c r="A70" s="149" t="s">
        <v>2232</v>
      </c>
      <c r="B70" s="53" t="s">
        <v>1947</v>
      </c>
      <c r="C70" s="53" t="s">
        <v>1948</v>
      </c>
      <c r="D70" s="53" t="s">
        <v>1947</v>
      </c>
      <c r="E70" s="61">
        <f t="shared" si="140"/>
        <v>0</v>
      </c>
      <c r="F70" s="61">
        <f t="shared" si="141"/>
        <v>1</v>
      </c>
      <c r="G70" s="61">
        <f t="shared" si="142"/>
        <v>0</v>
      </c>
      <c r="H70" s="61">
        <f t="shared" si="143"/>
        <v>1</v>
      </c>
      <c r="I70" s="53" t="s">
        <v>2165</v>
      </c>
      <c r="J70" s="53" t="s">
        <v>2165</v>
      </c>
      <c r="K70" s="53" t="s">
        <v>1948</v>
      </c>
      <c r="L70" s="61">
        <f t="shared" si="144"/>
        <v>0</v>
      </c>
      <c r="M70" s="61">
        <f t="shared" si="145"/>
        <v>0</v>
      </c>
      <c r="N70" s="61">
        <f t="shared" si="146"/>
        <v>1</v>
      </c>
      <c r="O70" s="61">
        <f t="shared" si="147"/>
        <v>1</v>
      </c>
      <c r="P70" s="61">
        <f t="shared" si="148"/>
        <v>33.333333333333336</v>
      </c>
      <c r="Q70" s="53" t="s">
        <v>1948</v>
      </c>
      <c r="R70" s="53" t="s">
        <v>1947</v>
      </c>
      <c r="S70" s="61">
        <f t="shared" si="149"/>
        <v>1</v>
      </c>
      <c r="T70" s="61">
        <f t="shared" si="150"/>
        <v>0</v>
      </c>
      <c r="U70" s="61">
        <f t="shared" si="151"/>
        <v>1</v>
      </c>
      <c r="V70" s="61">
        <f t="shared" si="152"/>
        <v>50</v>
      </c>
      <c r="W70" s="53" t="s">
        <v>1947</v>
      </c>
      <c r="X70" s="53" t="s">
        <v>1947</v>
      </c>
      <c r="Y70" s="53" t="s">
        <v>1947</v>
      </c>
      <c r="Z70" s="53" t="s">
        <v>1947</v>
      </c>
      <c r="AA70" s="53" t="s">
        <v>1947</v>
      </c>
      <c r="AB70" s="50">
        <f t="shared" si="153"/>
        <v>0</v>
      </c>
      <c r="AC70" s="50">
        <f t="shared" si="154"/>
        <v>0</v>
      </c>
      <c r="AD70" s="50">
        <f t="shared" si="155"/>
        <v>0</v>
      </c>
      <c r="AE70" s="50">
        <f t="shared" si="156"/>
        <v>0</v>
      </c>
      <c r="AF70" s="50">
        <f t="shared" si="157"/>
        <v>0</v>
      </c>
      <c r="AG70" s="50">
        <f t="shared" si="158"/>
        <v>0</v>
      </c>
      <c r="AH70" s="51">
        <f t="shared" si="159"/>
        <v>0</v>
      </c>
      <c r="AI70" s="51">
        <f t="shared" si="160"/>
        <v>83.333333333333343</v>
      </c>
      <c r="AJ70" s="53" t="s">
        <v>1948</v>
      </c>
      <c r="AK70" s="53" t="s">
        <v>1948</v>
      </c>
      <c r="AL70" s="53" t="s">
        <v>1948</v>
      </c>
      <c r="AM70" s="50">
        <f t="shared" si="161"/>
        <v>1</v>
      </c>
      <c r="AN70" s="50">
        <f t="shared" si="162"/>
        <v>1</v>
      </c>
      <c r="AO70" s="50">
        <f t="shared" si="163"/>
        <v>1</v>
      </c>
      <c r="AP70" s="50">
        <f t="shared" si="164"/>
        <v>3</v>
      </c>
      <c r="AQ70" s="50">
        <f t="shared" si="165"/>
        <v>100</v>
      </c>
      <c r="AR70" s="36" t="s">
        <v>2166</v>
      </c>
      <c r="AS70" s="36" t="s">
        <v>2166</v>
      </c>
      <c r="AT70" s="36" t="s">
        <v>2166</v>
      </c>
      <c r="AU70" s="37">
        <f t="shared" si="166"/>
        <v>1</v>
      </c>
      <c r="AV70" s="37">
        <f t="shared" si="167"/>
        <v>1</v>
      </c>
      <c r="AW70" s="37">
        <f t="shared" si="168"/>
        <v>1</v>
      </c>
      <c r="AX70" s="37">
        <f t="shared" si="169"/>
        <v>0</v>
      </c>
      <c r="AY70" s="37">
        <f t="shared" si="170"/>
        <v>0</v>
      </c>
      <c r="AZ70" s="36" t="s">
        <v>2167</v>
      </c>
      <c r="BA70" s="36" t="s">
        <v>2167</v>
      </c>
      <c r="BB70" s="37">
        <f t="shared" si="171"/>
        <v>1</v>
      </c>
      <c r="BC70" s="37">
        <f t="shared" si="172"/>
        <v>0.75</v>
      </c>
      <c r="BD70" s="37">
        <f t="shared" si="173"/>
        <v>0.75</v>
      </c>
      <c r="BE70" s="37">
        <f t="shared" si="174"/>
        <v>0</v>
      </c>
      <c r="BF70" s="36" t="s">
        <v>2167</v>
      </c>
      <c r="BG70" s="36" t="s">
        <v>2167</v>
      </c>
      <c r="BH70" s="37">
        <f t="shared" si="175"/>
        <v>1</v>
      </c>
      <c r="BI70" s="37">
        <f t="shared" si="176"/>
        <v>0.75</v>
      </c>
      <c r="BJ70" s="37">
        <f t="shared" si="177"/>
        <v>0.75</v>
      </c>
      <c r="BK70" s="37">
        <f t="shared" si="178"/>
        <v>0</v>
      </c>
      <c r="BL70" s="36" t="s">
        <v>2167</v>
      </c>
      <c r="BM70" s="36" t="s">
        <v>2167</v>
      </c>
      <c r="BN70" s="37">
        <f t="shared" si="179"/>
        <v>1</v>
      </c>
      <c r="BO70" s="37">
        <f t="shared" si="180"/>
        <v>0.75</v>
      </c>
      <c r="BP70" s="37">
        <f t="shared" si="181"/>
        <v>0.75</v>
      </c>
      <c r="BQ70" s="37">
        <f t="shared" si="182"/>
        <v>0</v>
      </c>
      <c r="BR70" s="37">
        <f t="shared" si="183"/>
        <v>0</v>
      </c>
      <c r="BS70" s="36" t="s">
        <v>2080</v>
      </c>
      <c r="BT70" s="36" t="s">
        <v>2080</v>
      </c>
      <c r="BU70" s="36" t="s">
        <v>2080</v>
      </c>
      <c r="BV70" s="36" t="s">
        <v>2080</v>
      </c>
      <c r="BW70" s="37">
        <f t="shared" si="184"/>
        <v>0</v>
      </c>
      <c r="BX70" s="37">
        <f t="shared" si="185"/>
        <v>0</v>
      </c>
      <c r="BY70" s="37">
        <f t="shared" si="186"/>
        <v>0</v>
      </c>
      <c r="BZ70" s="37">
        <f t="shared" si="187"/>
        <v>0</v>
      </c>
      <c r="CA70" s="37">
        <f t="shared" si="188"/>
        <v>0</v>
      </c>
      <c r="CB70" s="37">
        <f t="shared" si="189"/>
        <v>0</v>
      </c>
      <c r="CC70" s="37">
        <f t="shared" si="190"/>
        <v>0</v>
      </c>
      <c r="CD70" s="37">
        <f t="shared" si="191"/>
        <v>0</v>
      </c>
      <c r="CE70" s="36" t="s">
        <v>2067</v>
      </c>
      <c r="CF70" s="36" t="s">
        <v>2067</v>
      </c>
      <c r="CG70" s="36" t="s">
        <v>2067</v>
      </c>
      <c r="CH70" s="36" t="s">
        <v>2080</v>
      </c>
      <c r="CI70" s="37">
        <f t="shared" si="192"/>
        <v>0</v>
      </c>
      <c r="CJ70" s="37">
        <f t="shared" si="193"/>
        <v>0</v>
      </c>
      <c r="CK70" s="37">
        <f t="shared" si="194"/>
        <v>0</v>
      </c>
      <c r="CL70" s="37">
        <f t="shared" si="195"/>
        <v>0</v>
      </c>
      <c r="CM70" s="37">
        <f t="shared" si="196"/>
        <v>0</v>
      </c>
      <c r="CN70" s="37">
        <f t="shared" si="197"/>
        <v>0</v>
      </c>
      <c r="CO70" s="37">
        <f t="shared" si="198"/>
        <v>0</v>
      </c>
      <c r="CP70" s="37">
        <f t="shared" si="199"/>
        <v>0</v>
      </c>
      <c r="CQ70" s="37">
        <f t="shared" si="200"/>
        <v>3.3333333333333339</v>
      </c>
      <c r="CR70" s="37">
        <f t="shared" si="201"/>
        <v>5</v>
      </c>
      <c r="CS70" s="37">
        <f t="shared" si="202"/>
        <v>0</v>
      </c>
      <c r="CT70" s="37">
        <f t="shared" si="203"/>
        <v>10</v>
      </c>
      <c r="CU70" s="37">
        <f t="shared" si="204"/>
        <v>0</v>
      </c>
      <c r="CV70" s="37">
        <f t="shared" si="205"/>
        <v>0</v>
      </c>
      <c r="CW70" s="37">
        <f t="shared" si="206"/>
        <v>0</v>
      </c>
      <c r="CX70" s="37">
        <f t="shared" si="207"/>
        <v>0</v>
      </c>
      <c r="CY70" s="37">
        <f t="shared" si="208"/>
        <v>0</v>
      </c>
      <c r="CZ70" s="37">
        <f t="shared" si="209"/>
        <v>18.333333333333336</v>
      </c>
    </row>
    <row r="71" spans="1:104" x14ac:dyDescent="0.25">
      <c r="A71" s="149" t="s">
        <v>2233</v>
      </c>
      <c r="B71" s="53" t="s">
        <v>1947</v>
      </c>
      <c r="C71" s="53" t="s">
        <v>1948</v>
      </c>
      <c r="D71" s="53" t="s">
        <v>1947</v>
      </c>
      <c r="E71" s="61">
        <f t="shared" si="140"/>
        <v>0</v>
      </c>
      <c r="F71" s="61">
        <f t="shared" si="141"/>
        <v>1</v>
      </c>
      <c r="G71" s="61">
        <f t="shared" si="142"/>
        <v>0</v>
      </c>
      <c r="H71" s="61">
        <f t="shared" si="143"/>
        <v>1</v>
      </c>
      <c r="I71" s="53" t="s">
        <v>2165</v>
      </c>
      <c r="J71" s="53" t="s">
        <v>2165</v>
      </c>
      <c r="K71" s="53" t="s">
        <v>1948</v>
      </c>
      <c r="L71" s="61">
        <f t="shared" si="144"/>
        <v>0</v>
      </c>
      <c r="M71" s="61">
        <f t="shared" si="145"/>
        <v>0</v>
      </c>
      <c r="N71" s="61">
        <f t="shared" si="146"/>
        <v>1</v>
      </c>
      <c r="O71" s="61">
        <f t="shared" si="147"/>
        <v>1</v>
      </c>
      <c r="P71" s="61">
        <f t="shared" si="148"/>
        <v>33.333333333333336</v>
      </c>
      <c r="Q71" s="53" t="s">
        <v>1948</v>
      </c>
      <c r="R71" s="53" t="s">
        <v>1947</v>
      </c>
      <c r="S71" s="61">
        <f t="shared" si="149"/>
        <v>1</v>
      </c>
      <c r="T71" s="61">
        <f t="shared" si="150"/>
        <v>0</v>
      </c>
      <c r="U71" s="61">
        <f t="shared" si="151"/>
        <v>1</v>
      </c>
      <c r="V71" s="61">
        <f t="shared" si="152"/>
        <v>50</v>
      </c>
      <c r="W71" s="53" t="s">
        <v>1947</v>
      </c>
      <c r="X71" s="53" t="s">
        <v>1947</v>
      </c>
      <c r="Y71" s="53" t="s">
        <v>1947</v>
      </c>
      <c r="Z71" s="53" t="s">
        <v>1947</v>
      </c>
      <c r="AA71" s="53" t="s">
        <v>1947</v>
      </c>
      <c r="AB71" s="50">
        <f t="shared" si="153"/>
        <v>0</v>
      </c>
      <c r="AC71" s="50">
        <f t="shared" si="154"/>
        <v>0</v>
      </c>
      <c r="AD71" s="50">
        <f t="shared" si="155"/>
        <v>0</v>
      </c>
      <c r="AE71" s="50">
        <f t="shared" si="156"/>
        <v>0</v>
      </c>
      <c r="AF71" s="50">
        <f t="shared" si="157"/>
        <v>0</v>
      </c>
      <c r="AG71" s="50">
        <f t="shared" si="158"/>
        <v>0</v>
      </c>
      <c r="AH71" s="51">
        <f t="shared" si="159"/>
        <v>0</v>
      </c>
      <c r="AI71" s="51">
        <f t="shared" si="160"/>
        <v>83.333333333333343</v>
      </c>
      <c r="AJ71" s="53" t="s">
        <v>1948</v>
      </c>
      <c r="AK71" s="53" t="s">
        <v>1948</v>
      </c>
      <c r="AL71" s="53" t="s">
        <v>1948</v>
      </c>
      <c r="AM71" s="50">
        <f t="shared" si="161"/>
        <v>1</v>
      </c>
      <c r="AN71" s="50">
        <f t="shared" si="162"/>
        <v>1</v>
      </c>
      <c r="AO71" s="50">
        <f t="shared" si="163"/>
        <v>1</v>
      </c>
      <c r="AP71" s="50">
        <f t="shared" si="164"/>
        <v>3</v>
      </c>
      <c r="AQ71" s="50">
        <f t="shared" si="165"/>
        <v>100</v>
      </c>
      <c r="AR71" s="36" t="s">
        <v>2166</v>
      </c>
      <c r="AS71" s="36" t="s">
        <v>2166</v>
      </c>
      <c r="AT71" s="36" t="s">
        <v>2166</v>
      </c>
      <c r="AU71" s="37">
        <f t="shared" si="166"/>
        <v>1</v>
      </c>
      <c r="AV71" s="37">
        <f t="shared" si="167"/>
        <v>1</v>
      </c>
      <c r="AW71" s="37">
        <f t="shared" si="168"/>
        <v>1</v>
      </c>
      <c r="AX71" s="37">
        <f t="shared" si="169"/>
        <v>0</v>
      </c>
      <c r="AY71" s="37">
        <f t="shared" si="170"/>
        <v>0</v>
      </c>
      <c r="AZ71" s="36" t="s">
        <v>2167</v>
      </c>
      <c r="BA71" s="36" t="s">
        <v>2167</v>
      </c>
      <c r="BB71" s="37">
        <f t="shared" si="171"/>
        <v>1</v>
      </c>
      <c r="BC71" s="37">
        <f t="shared" si="172"/>
        <v>0.75</v>
      </c>
      <c r="BD71" s="37">
        <f t="shared" si="173"/>
        <v>0.75</v>
      </c>
      <c r="BE71" s="37">
        <f t="shared" si="174"/>
        <v>0</v>
      </c>
      <c r="BF71" s="36" t="s">
        <v>2167</v>
      </c>
      <c r="BG71" s="36" t="s">
        <v>2167</v>
      </c>
      <c r="BH71" s="37">
        <f t="shared" si="175"/>
        <v>1</v>
      </c>
      <c r="BI71" s="37">
        <f t="shared" si="176"/>
        <v>0.75</v>
      </c>
      <c r="BJ71" s="37">
        <f t="shared" si="177"/>
        <v>0.75</v>
      </c>
      <c r="BK71" s="37">
        <f t="shared" si="178"/>
        <v>0</v>
      </c>
      <c r="BL71" s="36" t="s">
        <v>2167</v>
      </c>
      <c r="BM71" s="36" t="s">
        <v>2167</v>
      </c>
      <c r="BN71" s="37">
        <f t="shared" si="179"/>
        <v>1</v>
      </c>
      <c r="BO71" s="37">
        <f t="shared" si="180"/>
        <v>0.75</v>
      </c>
      <c r="BP71" s="37">
        <f t="shared" si="181"/>
        <v>0.75</v>
      </c>
      <c r="BQ71" s="37">
        <f t="shared" si="182"/>
        <v>0</v>
      </c>
      <c r="BR71" s="37">
        <f t="shared" si="183"/>
        <v>0</v>
      </c>
      <c r="BS71" s="36" t="s">
        <v>2080</v>
      </c>
      <c r="BT71" s="36" t="s">
        <v>2080</v>
      </c>
      <c r="BU71" s="36" t="s">
        <v>2080</v>
      </c>
      <c r="BV71" s="36" t="s">
        <v>2080</v>
      </c>
      <c r="BW71" s="37">
        <f t="shared" si="184"/>
        <v>0</v>
      </c>
      <c r="BX71" s="37">
        <f t="shared" si="185"/>
        <v>0</v>
      </c>
      <c r="BY71" s="37">
        <f t="shared" si="186"/>
        <v>0</v>
      </c>
      <c r="BZ71" s="37">
        <f t="shared" si="187"/>
        <v>0</v>
      </c>
      <c r="CA71" s="37">
        <f t="shared" si="188"/>
        <v>0</v>
      </c>
      <c r="CB71" s="37">
        <f t="shared" si="189"/>
        <v>0</v>
      </c>
      <c r="CC71" s="37">
        <f t="shared" si="190"/>
        <v>0</v>
      </c>
      <c r="CD71" s="37">
        <f t="shared" si="191"/>
        <v>0</v>
      </c>
      <c r="CE71" s="36" t="s">
        <v>2067</v>
      </c>
      <c r="CF71" s="36" t="s">
        <v>2067</v>
      </c>
      <c r="CG71" s="36" t="s">
        <v>2067</v>
      </c>
      <c r="CH71" s="36" t="s">
        <v>2080</v>
      </c>
      <c r="CI71" s="37">
        <f t="shared" si="192"/>
        <v>0</v>
      </c>
      <c r="CJ71" s="37">
        <f t="shared" si="193"/>
        <v>0</v>
      </c>
      <c r="CK71" s="37">
        <f t="shared" si="194"/>
        <v>0</v>
      </c>
      <c r="CL71" s="37">
        <f t="shared" si="195"/>
        <v>0</v>
      </c>
      <c r="CM71" s="37">
        <f t="shared" si="196"/>
        <v>0</v>
      </c>
      <c r="CN71" s="37">
        <f t="shared" si="197"/>
        <v>0</v>
      </c>
      <c r="CO71" s="37">
        <f t="shared" si="198"/>
        <v>0</v>
      </c>
      <c r="CP71" s="37">
        <f t="shared" si="199"/>
        <v>0</v>
      </c>
      <c r="CQ71" s="37">
        <f t="shared" si="200"/>
        <v>3.3333333333333339</v>
      </c>
      <c r="CR71" s="37">
        <f t="shared" si="201"/>
        <v>5</v>
      </c>
      <c r="CS71" s="37">
        <f t="shared" si="202"/>
        <v>0</v>
      </c>
      <c r="CT71" s="37">
        <f t="shared" si="203"/>
        <v>10</v>
      </c>
      <c r="CU71" s="37">
        <f t="shared" si="204"/>
        <v>0</v>
      </c>
      <c r="CV71" s="37">
        <f t="shared" si="205"/>
        <v>0</v>
      </c>
      <c r="CW71" s="37">
        <f t="shared" si="206"/>
        <v>0</v>
      </c>
      <c r="CX71" s="37">
        <f t="shared" si="207"/>
        <v>0</v>
      </c>
      <c r="CY71" s="37">
        <f t="shared" si="208"/>
        <v>0</v>
      </c>
      <c r="CZ71" s="37">
        <f t="shared" si="209"/>
        <v>18.333333333333336</v>
      </c>
    </row>
    <row r="72" spans="1:104" x14ac:dyDescent="0.25">
      <c r="A72" s="149" t="s">
        <v>2234</v>
      </c>
      <c r="B72" s="53" t="s">
        <v>1947</v>
      </c>
      <c r="C72" s="53" t="s">
        <v>1948</v>
      </c>
      <c r="D72" s="53" t="s">
        <v>1947</v>
      </c>
      <c r="E72" s="61">
        <f t="shared" si="140"/>
        <v>0</v>
      </c>
      <c r="F72" s="61">
        <f t="shared" si="141"/>
        <v>1</v>
      </c>
      <c r="G72" s="61">
        <f t="shared" si="142"/>
        <v>0</v>
      </c>
      <c r="H72" s="61">
        <f t="shared" si="143"/>
        <v>1</v>
      </c>
      <c r="I72" s="53" t="s">
        <v>2165</v>
      </c>
      <c r="J72" s="53" t="s">
        <v>2165</v>
      </c>
      <c r="K72" s="53" t="s">
        <v>1948</v>
      </c>
      <c r="L72" s="61">
        <f t="shared" si="144"/>
        <v>0</v>
      </c>
      <c r="M72" s="61">
        <f t="shared" si="145"/>
        <v>0</v>
      </c>
      <c r="N72" s="61">
        <f t="shared" si="146"/>
        <v>1</v>
      </c>
      <c r="O72" s="61">
        <f t="shared" si="147"/>
        <v>1</v>
      </c>
      <c r="P72" s="61">
        <f t="shared" si="148"/>
        <v>33.333333333333336</v>
      </c>
      <c r="Q72" s="53" t="s">
        <v>1948</v>
      </c>
      <c r="R72" s="53" t="s">
        <v>1947</v>
      </c>
      <c r="S72" s="61">
        <f t="shared" si="149"/>
        <v>1</v>
      </c>
      <c r="T72" s="61">
        <f t="shared" si="150"/>
        <v>0</v>
      </c>
      <c r="U72" s="61">
        <f t="shared" si="151"/>
        <v>1</v>
      </c>
      <c r="V72" s="61">
        <f t="shared" si="152"/>
        <v>50</v>
      </c>
      <c r="W72" s="53" t="s">
        <v>1947</v>
      </c>
      <c r="X72" s="53" t="s">
        <v>1947</v>
      </c>
      <c r="Y72" s="53" t="s">
        <v>1947</v>
      </c>
      <c r="Z72" s="53" t="s">
        <v>1947</v>
      </c>
      <c r="AA72" s="53" t="s">
        <v>1947</v>
      </c>
      <c r="AB72" s="50">
        <f t="shared" si="153"/>
        <v>0</v>
      </c>
      <c r="AC72" s="50">
        <f t="shared" si="154"/>
        <v>0</v>
      </c>
      <c r="AD72" s="50">
        <f t="shared" si="155"/>
        <v>0</v>
      </c>
      <c r="AE72" s="50">
        <f t="shared" si="156"/>
        <v>0</v>
      </c>
      <c r="AF72" s="50">
        <f t="shared" si="157"/>
        <v>0</v>
      </c>
      <c r="AG72" s="50">
        <f t="shared" si="158"/>
        <v>0</v>
      </c>
      <c r="AH72" s="51">
        <f t="shared" si="159"/>
        <v>0</v>
      </c>
      <c r="AI72" s="51">
        <f t="shared" si="160"/>
        <v>83.333333333333343</v>
      </c>
      <c r="AJ72" s="53" t="s">
        <v>1948</v>
      </c>
      <c r="AK72" s="53" t="s">
        <v>1948</v>
      </c>
      <c r="AL72" s="53" t="s">
        <v>1948</v>
      </c>
      <c r="AM72" s="50">
        <f t="shared" si="161"/>
        <v>1</v>
      </c>
      <c r="AN72" s="50">
        <f t="shared" si="162"/>
        <v>1</v>
      </c>
      <c r="AO72" s="50">
        <f t="shared" si="163"/>
        <v>1</v>
      </c>
      <c r="AP72" s="50">
        <f t="shared" si="164"/>
        <v>3</v>
      </c>
      <c r="AQ72" s="50">
        <f t="shared" si="165"/>
        <v>100</v>
      </c>
      <c r="AR72" s="36" t="s">
        <v>2166</v>
      </c>
      <c r="AS72" s="36" t="s">
        <v>2166</v>
      </c>
      <c r="AT72" s="36" t="s">
        <v>2166</v>
      </c>
      <c r="AU72" s="37">
        <f t="shared" si="166"/>
        <v>1</v>
      </c>
      <c r="AV72" s="37">
        <f t="shared" si="167"/>
        <v>1</v>
      </c>
      <c r="AW72" s="37">
        <f t="shared" si="168"/>
        <v>1</v>
      </c>
      <c r="AX72" s="37">
        <f t="shared" si="169"/>
        <v>0</v>
      </c>
      <c r="AY72" s="37">
        <f t="shared" si="170"/>
        <v>0</v>
      </c>
      <c r="AZ72" s="36" t="s">
        <v>2167</v>
      </c>
      <c r="BA72" s="36" t="s">
        <v>2167</v>
      </c>
      <c r="BB72" s="37">
        <f t="shared" si="171"/>
        <v>1</v>
      </c>
      <c r="BC72" s="37">
        <f t="shared" si="172"/>
        <v>0.75</v>
      </c>
      <c r="BD72" s="37">
        <f t="shared" si="173"/>
        <v>0.75</v>
      </c>
      <c r="BE72" s="37">
        <f t="shared" si="174"/>
        <v>0</v>
      </c>
      <c r="BF72" s="36" t="s">
        <v>2167</v>
      </c>
      <c r="BG72" s="36" t="s">
        <v>2167</v>
      </c>
      <c r="BH72" s="37">
        <f t="shared" si="175"/>
        <v>1</v>
      </c>
      <c r="BI72" s="37">
        <f t="shared" si="176"/>
        <v>0.75</v>
      </c>
      <c r="BJ72" s="37">
        <f t="shared" si="177"/>
        <v>0.75</v>
      </c>
      <c r="BK72" s="37">
        <f t="shared" si="178"/>
        <v>0</v>
      </c>
      <c r="BL72" s="36" t="s">
        <v>2167</v>
      </c>
      <c r="BM72" s="36" t="s">
        <v>2167</v>
      </c>
      <c r="BN72" s="37">
        <f t="shared" si="179"/>
        <v>1</v>
      </c>
      <c r="BO72" s="37">
        <f t="shared" si="180"/>
        <v>0.75</v>
      </c>
      <c r="BP72" s="37">
        <f t="shared" si="181"/>
        <v>0.75</v>
      </c>
      <c r="BQ72" s="37">
        <f t="shared" si="182"/>
        <v>0</v>
      </c>
      <c r="BR72" s="37">
        <f t="shared" si="183"/>
        <v>0</v>
      </c>
      <c r="BS72" s="36" t="s">
        <v>2080</v>
      </c>
      <c r="BT72" s="36" t="s">
        <v>2080</v>
      </c>
      <c r="BU72" s="36" t="s">
        <v>2080</v>
      </c>
      <c r="BV72" s="36" t="s">
        <v>2080</v>
      </c>
      <c r="BW72" s="37">
        <f t="shared" si="184"/>
        <v>0</v>
      </c>
      <c r="BX72" s="37">
        <f t="shared" si="185"/>
        <v>0</v>
      </c>
      <c r="BY72" s="37">
        <f t="shared" si="186"/>
        <v>0</v>
      </c>
      <c r="BZ72" s="37">
        <f t="shared" si="187"/>
        <v>0</v>
      </c>
      <c r="CA72" s="37">
        <f t="shared" si="188"/>
        <v>0</v>
      </c>
      <c r="CB72" s="37">
        <f t="shared" si="189"/>
        <v>0</v>
      </c>
      <c r="CC72" s="37">
        <f t="shared" si="190"/>
        <v>0</v>
      </c>
      <c r="CD72" s="37">
        <f t="shared" si="191"/>
        <v>0</v>
      </c>
      <c r="CE72" s="36" t="s">
        <v>2067</v>
      </c>
      <c r="CF72" s="36" t="s">
        <v>2067</v>
      </c>
      <c r="CG72" s="36" t="s">
        <v>2067</v>
      </c>
      <c r="CH72" s="36" t="s">
        <v>2080</v>
      </c>
      <c r="CI72" s="37">
        <f t="shared" si="192"/>
        <v>0</v>
      </c>
      <c r="CJ72" s="37">
        <f t="shared" si="193"/>
        <v>0</v>
      </c>
      <c r="CK72" s="37">
        <f t="shared" si="194"/>
        <v>0</v>
      </c>
      <c r="CL72" s="37">
        <f t="shared" si="195"/>
        <v>0</v>
      </c>
      <c r="CM72" s="37">
        <f t="shared" si="196"/>
        <v>0</v>
      </c>
      <c r="CN72" s="37">
        <f t="shared" si="197"/>
        <v>0</v>
      </c>
      <c r="CO72" s="37">
        <f t="shared" si="198"/>
        <v>0</v>
      </c>
      <c r="CP72" s="37">
        <f t="shared" si="199"/>
        <v>0</v>
      </c>
      <c r="CQ72" s="37">
        <f t="shared" si="200"/>
        <v>3.3333333333333339</v>
      </c>
      <c r="CR72" s="37">
        <f t="shared" si="201"/>
        <v>5</v>
      </c>
      <c r="CS72" s="37">
        <f t="shared" si="202"/>
        <v>0</v>
      </c>
      <c r="CT72" s="37">
        <f t="shared" si="203"/>
        <v>10</v>
      </c>
      <c r="CU72" s="37">
        <f t="shared" si="204"/>
        <v>0</v>
      </c>
      <c r="CV72" s="37">
        <f t="shared" si="205"/>
        <v>0</v>
      </c>
      <c r="CW72" s="37">
        <f t="shared" si="206"/>
        <v>0</v>
      </c>
      <c r="CX72" s="37">
        <f t="shared" si="207"/>
        <v>0</v>
      </c>
      <c r="CY72" s="37">
        <f t="shared" si="208"/>
        <v>0</v>
      </c>
      <c r="CZ72" s="37">
        <f t="shared" si="209"/>
        <v>18.333333333333336</v>
      </c>
    </row>
    <row r="73" spans="1:104" x14ac:dyDescent="0.25">
      <c r="A73" s="149" t="s">
        <v>2235</v>
      </c>
      <c r="B73" s="53" t="s">
        <v>1947</v>
      </c>
      <c r="C73" s="53" t="s">
        <v>1948</v>
      </c>
      <c r="D73" s="53" t="s">
        <v>1947</v>
      </c>
      <c r="E73" s="61">
        <f t="shared" si="140"/>
        <v>0</v>
      </c>
      <c r="F73" s="61">
        <f t="shared" si="141"/>
        <v>1</v>
      </c>
      <c r="G73" s="61">
        <f t="shared" si="142"/>
        <v>0</v>
      </c>
      <c r="H73" s="61">
        <f t="shared" si="143"/>
        <v>1</v>
      </c>
      <c r="I73" s="53" t="s">
        <v>2165</v>
      </c>
      <c r="J73" s="53" t="s">
        <v>2165</v>
      </c>
      <c r="K73" s="53" t="s">
        <v>1948</v>
      </c>
      <c r="L73" s="61">
        <f t="shared" si="144"/>
        <v>0</v>
      </c>
      <c r="M73" s="61">
        <f t="shared" si="145"/>
        <v>0</v>
      </c>
      <c r="N73" s="61">
        <f t="shared" si="146"/>
        <v>1</v>
      </c>
      <c r="O73" s="61">
        <f t="shared" si="147"/>
        <v>1</v>
      </c>
      <c r="P73" s="61">
        <f t="shared" si="148"/>
        <v>33.333333333333336</v>
      </c>
      <c r="Q73" s="53" t="s">
        <v>1948</v>
      </c>
      <c r="R73" s="53" t="s">
        <v>1947</v>
      </c>
      <c r="S73" s="61">
        <f t="shared" si="149"/>
        <v>1</v>
      </c>
      <c r="T73" s="61">
        <f t="shared" si="150"/>
        <v>0</v>
      </c>
      <c r="U73" s="61">
        <f t="shared" si="151"/>
        <v>1</v>
      </c>
      <c r="V73" s="61">
        <f t="shared" si="152"/>
        <v>50</v>
      </c>
      <c r="W73" s="53" t="s">
        <v>1947</v>
      </c>
      <c r="X73" s="53" t="s">
        <v>1947</v>
      </c>
      <c r="Y73" s="53" t="s">
        <v>1947</v>
      </c>
      <c r="Z73" s="53" t="s">
        <v>1947</v>
      </c>
      <c r="AA73" s="53" t="s">
        <v>1947</v>
      </c>
      <c r="AB73" s="50">
        <f t="shared" si="153"/>
        <v>0</v>
      </c>
      <c r="AC73" s="50">
        <f t="shared" si="154"/>
        <v>0</v>
      </c>
      <c r="AD73" s="50">
        <f t="shared" si="155"/>
        <v>0</v>
      </c>
      <c r="AE73" s="50">
        <f t="shared" si="156"/>
        <v>0</v>
      </c>
      <c r="AF73" s="50">
        <f t="shared" si="157"/>
        <v>0</v>
      </c>
      <c r="AG73" s="50">
        <f t="shared" si="158"/>
        <v>0</v>
      </c>
      <c r="AH73" s="51">
        <f t="shared" si="159"/>
        <v>0</v>
      </c>
      <c r="AI73" s="51">
        <f t="shared" si="160"/>
        <v>83.333333333333343</v>
      </c>
      <c r="AJ73" s="53" t="s">
        <v>1948</v>
      </c>
      <c r="AK73" s="53" t="s">
        <v>1948</v>
      </c>
      <c r="AL73" s="53" t="s">
        <v>1948</v>
      </c>
      <c r="AM73" s="50">
        <f t="shared" si="161"/>
        <v>1</v>
      </c>
      <c r="AN73" s="50">
        <f t="shared" si="162"/>
        <v>1</v>
      </c>
      <c r="AO73" s="50">
        <f t="shared" si="163"/>
        <v>1</v>
      </c>
      <c r="AP73" s="50">
        <f t="shared" si="164"/>
        <v>3</v>
      </c>
      <c r="AQ73" s="50">
        <f t="shared" si="165"/>
        <v>100</v>
      </c>
      <c r="AR73" s="36" t="s">
        <v>2166</v>
      </c>
      <c r="AS73" s="36" t="s">
        <v>2166</v>
      </c>
      <c r="AT73" s="36" t="s">
        <v>2166</v>
      </c>
      <c r="AU73" s="37">
        <f t="shared" si="166"/>
        <v>1</v>
      </c>
      <c r="AV73" s="37">
        <f t="shared" si="167"/>
        <v>1</v>
      </c>
      <c r="AW73" s="37">
        <f t="shared" si="168"/>
        <v>1</v>
      </c>
      <c r="AX73" s="37">
        <f t="shared" si="169"/>
        <v>0</v>
      </c>
      <c r="AY73" s="37">
        <f t="shared" si="170"/>
        <v>0</v>
      </c>
      <c r="AZ73" s="36" t="s">
        <v>2167</v>
      </c>
      <c r="BA73" s="36" t="s">
        <v>2167</v>
      </c>
      <c r="BB73" s="37">
        <f t="shared" si="171"/>
        <v>1</v>
      </c>
      <c r="BC73" s="37">
        <f t="shared" si="172"/>
        <v>0.75</v>
      </c>
      <c r="BD73" s="37">
        <f t="shared" si="173"/>
        <v>0.75</v>
      </c>
      <c r="BE73" s="37">
        <f t="shared" si="174"/>
        <v>0</v>
      </c>
      <c r="BF73" s="36" t="s">
        <v>2167</v>
      </c>
      <c r="BG73" s="36" t="s">
        <v>2167</v>
      </c>
      <c r="BH73" s="37">
        <f t="shared" si="175"/>
        <v>1</v>
      </c>
      <c r="BI73" s="37">
        <f t="shared" si="176"/>
        <v>0.75</v>
      </c>
      <c r="BJ73" s="37">
        <f t="shared" si="177"/>
        <v>0.75</v>
      </c>
      <c r="BK73" s="37">
        <f t="shared" si="178"/>
        <v>0</v>
      </c>
      <c r="BL73" s="36" t="s">
        <v>2167</v>
      </c>
      <c r="BM73" s="36" t="s">
        <v>2167</v>
      </c>
      <c r="BN73" s="37">
        <f t="shared" si="179"/>
        <v>1</v>
      </c>
      <c r="BO73" s="37">
        <f t="shared" si="180"/>
        <v>0.75</v>
      </c>
      <c r="BP73" s="37">
        <f t="shared" si="181"/>
        <v>0.75</v>
      </c>
      <c r="BQ73" s="37">
        <f t="shared" si="182"/>
        <v>0</v>
      </c>
      <c r="BR73" s="37">
        <f t="shared" si="183"/>
        <v>0</v>
      </c>
      <c r="BS73" s="36" t="s">
        <v>2080</v>
      </c>
      <c r="BT73" s="36" t="s">
        <v>2080</v>
      </c>
      <c r="BU73" s="36" t="s">
        <v>2080</v>
      </c>
      <c r="BV73" s="36" t="s">
        <v>2080</v>
      </c>
      <c r="BW73" s="37">
        <f t="shared" si="184"/>
        <v>0</v>
      </c>
      <c r="BX73" s="37">
        <f t="shared" si="185"/>
        <v>0</v>
      </c>
      <c r="BY73" s="37">
        <f t="shared" si="186"/>
        <v>0</v>
      </c>
      <c r="BZ73" s="37">
        <f t="shared" si="187"/>
        <v>0</v>
      </c>
      <c r="CA73" s="37">
        <f t="shared" si="188"/>
        <v>0</v>
      </c>
      <c r="CB73" s="37">
        <f t="shared" si="189"/>
        <v>0</v>
      </c>
      <c r="CC73" s="37">
        <f t="shared" si="190"/>
        <v>0</v>
      </c>
      <c r="CD73" s="37">
        <f t="shared" si="191"/>
        <v>0</v>
      </c>
      <c r="CE73" s="36" t="s">
        <v>2067</v>
      </c>
      <c r="CF73" s="36" t="s">
        <v>2067</v>
      </c>
      <c r="CG73" s="36" t="s">
        <v>2067</v>
      </c>
      <c r="CH73" s="36" t="s">
        <v>2080</v>
      </c>
      <c r="CI73" s="37">
        <f t="shared" si="192"/>
        <v>0</v>
      </c>
      <c r="CJ73" s="37">
        <f t="shared" si="193"/>
        <v>0</v>
      </c>
      <c r="CK73" s="37">
        <f t="shared" si="194"/>
        <v>0</v>
      </c>
      <c r="CL73" s="37">
        <f t="shared" si="195"/>
        <v>0</v>
      </c>
      <c r="CM73" s="37">
        <f t="shared" si="196"/>
        <v>0</v>
      </c>
      <c r="CN73" s="37">
        <f t="shared" si="197"/>
        <v>0</v>
      </c>
      <c r="CO73" s="37">
        <f t="shared" si="198"/>
        <v>0</v>
      </c>
      <c r="CP73" s="37">
        <f t="shared" si="199"/>
        <v>0</v>
      </c>
      <c r="CQ73" s="37">
        <f t="shared" si="200"/>
        <v>3.3333333333333339</v>
      </c>
      <c r="CR73" s="37">
        <f t="shared" si="201"/>
        <v>5</v>
      </c>
      <c r="CS73" s="37">
        <f t="shared" si="202"/>
        <v>0</v>
      </c>
      <c r="CT73" s="37">
        <f t="shared" si="203"/>
        <v>10</v>
      </c>
      <c r="CU73" s="37">
        <f t="shared" si="204"/>
        <v>0</v>
      </c>
      <c r="CV73" s="37">
        <f t="shared" si="205"/>
        <v>0</v>
      </c>
      <c r="CW73" s="37">
        <f t="shared" si="206"/>
        <v>0</v>
      </c>
      <c r="CX73" s="37">
        <f t="shared" si="207"/>
        <v>0</v>
      </c>
      <c r="CY73" s="37">
        <f t="shared" si="208"/>
        <v>0</v>
      </c>
      <c r="CZ73" s="37">
        <f t="shared" si="209"/>
        <v>18.333333333333336</v>
      </c>
    </row>
    <row r="74" spans="1:104" x14ac:dyDescent="0.25">
      <c r="A74" s="149" t="s">
        <v>2236</v>
      </c>
      <c r="B74" s="53" t="s">
        <v>1947</v>
      </c>
      <c r="C74" s="53" t="s">
        <v>1948</v>
      </c>
      <c r="D74" s="53" t="s">
        <v>1947</v>
      </c>
      <c r="E74" s="61">
        <f t="shared" si="140"/>
        <v>0</v>
      </c>
      <c r="F74" s="61">
        <f t="shared" si="141"/>
        <v>1</v>
      </c>
      <c r="G74" s="61">
        <f t="shared" si="142"/>
        <v>0</v>
      </c>
      <c r="H74" s="61">
        <f t="shared" si="143"/>
        <v>1</v>
      </c>
      <c r="I74" s="53" t="s">
        <v>2165</v>
      </c>
      <c r="J74" s="53" t="s">
        <v>2165</v>
      </c>
      <c r="K74" s="53" t="s">
        <v>1948</v>
      </c>
      <c r="L74" s="61">
        <f t="shared" si="144"/>
        <v>0</v>
      </c>
      <c r="M74" s="61">
        <f t="shared" si="145"/>
        <v>0</v>
      </c>
      <c r="N74" s="61">
        <f t="shared" si="146"/>
        <v>1</v>
      </c>
      <c r="O74" s="61">
        <f t="shared" si="147"/>
        <v>1</v>
      </c>
      <c r="P74" s="61">
        <f t="shared" si="148"/>
        <v>33.333333333333336</v>
      </c>
      <c r="Q74" s="53" t="s">
        <v>1948</v>
      </c>
      <c r="R74" s="53" t="s">
        <v>1947</v>
      </c>
      <c r="S74" s="61">
        <f t="shared" si="149"/>
        <v>1</v>
      </c>
      <c r="T74" s="61">
        <f t="shared" si="150"/>
        <v>0</v>
      </c>
      <c r="U74" s="61">
        <f t="shared" si="151"/>
        <v>1</v>
      </c>
      <c r="V74" s="61">
        <f t="shared" si="152"/>
        <v>50</v>
      </c>
      <c r="W74" s="53" t="s">
        <v>1947</v>
      </c>
      <c r="X74" s="53" t="s">
        <v>1947</v>
      </c>
      <c r="Y74" s="53" t="s">
        <v>1947</v>
      </c>
      <c r="Z74" s="53" t="s">
        <v>1947</v>
      </c>
      <c r="AA74" s="53" t="s">
        <v>1947</v>
      </c>
      <c r="AB74" s="50">
        <f t="shared" si="153"/>
        <v>0</v>
      </c>
      <c r="AC74" s="50">
        <f t="shared" si="154"/>
        <v>0</v>
      </c>
      <c r="AD74" s="50">
        <f t="shared" si="155"/>
        <v>0</v>
      </c>
      <c r="AE74" s="50">
        <f t="shared" si="156"/>
        <v>0</v>
      </c>
      <c r="AF74" s="50">
        <f t="shared" si="157"/>
        <v>0</v>
      </c>
      <c r="AG74" s="50">
        <f t="shared" si="158"/>
        <v>0</v>
      </c>
      <c r="AH74" s="51">
        <f t="shared" si="159"/>
        <v>0</v>
      </c>
      <c r="AI74" s="51">
        <f t="shared" si="160"/>
        <v>83.333333333333343</v>
      </c>
      <c r="AJ74" s="53" t="s">
        <v>1948</v>
      </c>
      <c r="AK74" s="53" t="s">
        <v>1948</v>
      </c>
      <c r="AL74" s="53" t="s">
        <v>1948</v>
      </c>
      <c r="AM74" s="50">
        <f t="shared" si="161"/>
        <v>1</v>
      </c>
      <c r="AN74" s="50">
        <f t="shared" si="162"/>
        <v>1</v>
      </c>
      <c r="AO74" s="50">
        <f t="shared" si="163"/>
        <v>1</v>
      </c>
      <c r="AP74" s="50">
        <f t="shared" si="164"/>
        <v>3</v>
      </c>
      <c r="AQ74" s="50">
        <f t="shared" si="165"/>
        <v>100</v>
      </c>
      <c r="AR74" s="36" t="s">
        <v>2166</v>
      </c>
      <c r="AS74" s="36" t="s">
        <v>2166</v>
      </c>
      <c r="AT74" s="36" t="s">
        <v>2166</v>
      </c>
      <c r="AU74" s="37">
        <f t="shared" si="166"/>
        <v>1</v>
      </c>
      <c r="AV74" s="37">
        <f t="shared" si="167"/>
        <v>1</v>
      </c>
      <c r="AW74" s="37">
        <f t="shared" si="168"/>
        <v>1</v>
      </c>
      <c r="AX74" s="37">
        <f t="shared" si="169"/>
        <v>0</v>
      </c>
      <c r="AY74" s="37">
        <f t="shared" si="170"/>
        <v>0</v>
      </c>
      <c r="AZ74" s="36" t="s">
        <v>2167</v>
      </c>
      <c r="BA74" s="36" t="s">
        <v>2167</v>
      </c>
      <c r="BB74" s="37">
        <f t="shared" si="171"/>
        <v>1</v>
      </c>
      <c r="BC74" s="37">
        <f t="shared" si="172"/>
        <v>0.75</v>
      </c>
      <c r="BD74" s="37">
        <f t="shared" si="173"/>
        <v>0.75</v>
      </c>
      <c r="BE74" s="37">
        <f t="shared" si="174"/>
        <v>0</v>
      </c>
      <c r="BF74" s="36" t="s">
        <v>2167</v>
      </c>
      <c r="BG74" s="36" t="s">
        <v>2167</v>
      </c>
      <c r="BH74" s="37">
        <f t="shared" si="175"/>
        <v>1</v>
      </c>
      <c r="BI74" s="37">
        <f t="shared" si="176"/>
        <v>0.75</v>
      </c>
      <c r="BJ74" s="37">
        <f t="shared" si="177"/>
        <v>0.75</v>
      </c>
      <c r="BK74" s="37">
        <f t="shared" si="178"/>
        <v>0</v>
      </c>
      <c r="BL74" s="36" t="s">
        <v>2167</v>
      </c>
      <c r="BM74" s="36" t="s">
        <v>2167</v>
      </c>
      <c r="BN74" s="37">
        <f t="shared" si="179"/>
        <v>1</v>
      </c>
      <c r="BO74" s="37">
        <f t="shared" si="180"/>
        <v>0.75</v>
      </c>
      <c r="BP74" s="37">
        <f t="shared" si="181"/>
        <v>0.75</v>
      </c>
      <c r="BQ74" s="37">
        <f t="shared" si="182"/>
        <v>0</v>
      </c>
      <c r="BR74" s="37">
        <f t="shared" si="183"/>
        <v>0</v>
      </c>
      <c r="BS74" s="36" t="s">
        <v>2080</v>
      </c>
      <c r="BT74" s="36" t="s">
        <v>2080</v>
      </c>
      <c r="BU74" s="36" t="s">
        <v>2080</v>
      </c>
      <c r="BV74" s="36" t="s">
        <v>2080</v>
      </c>
      <c r="BW74" s="37">
        <f t="shared" si="184"/>
        <v>0</v>
      </c>
      <c r="BX74" s="37">
        <f t="shared" si="185"/>
        <v>0</v>
      </c>
      <c r="BY74" s="37">
        <f t="shared" si="186"/>
        <v>0</v>
      </c>
      <c r="BZ74" s="37">
        <f t="shared" si="187"/>
        <v>0</v>
      </c>
      <c r="CA74" s="37">
        <f t="shared" si="188"/>
        <v>0</v>
      </c>
      <c r="CB74" s="37">
        <f t="shared" si="189"/>
        <v>0</v>
      </c>
      <c r="CC74" s="37">
        <f t="shared" si="190"/>
        <v>0</v>
      </c>
      <c r="CD74" s="37">
        <f t="shared" si="191"/>
        <v>0</v>
      </c>
      <c r="CE74" s="36" t="s">
        <v>2067</v>
      </c>
      <c r="CF74" s="36" t="s">
        <v>2067</v>
      </c>
      <c r="CG74" s="36" t="s">
        <v>2067</v>
      </c>
      <c r="CH74" s="36" t="s">
        <v>2080</v>
      </c>
      <c r="CI74" s="37">
        <f t="shared" si="192"/>
        <v>0</v>
      </c>
      <c r="CJ74" s="37">
        <f t="shared" si="193"/>
        <v>0</v>
      </c>
      <c r="CK74" s="37">
        <f t="shared" si="194"/>
        <v>0</v>
      </c>
      <c r="CL74" s="37">
        <f t="shared" si="195"/>
        <v>0</v>
      </c>
      <c r="CM74" s="37">
        <f t="shared" si="196"/>
        <v>0</v>
      </c>
      <c r="CN74" s="37">
        <f t="shared" si="197"/>
        <v>0</v>
      </c>
      <c r="CO74" s="37">
        <f t="shared" si="198"/>
        <v>0</v>
      </c>
      <c r="CP74" s="37">
        <f t="shared" si="199"/>
        <v>0</v>
      </c>
      <c r="CQ74" s="37">
        <f t="shared" si="200"/>
        <v>3.3333333333333339</v>
      </c>
      <c r="CR74" s="37">
        <f t="shared" si="201"/>
        <v>5</v>
      </c>
      <c r="CS74" s="37">
        <f t="shared" si="202"/>
        <v>0</v>
      </c>
      <c r="CT74" s="37">
        <f t="shared" si="203"/>
        <v>10</v>
      </c>
      <c r="CU74" s="37">
        <f t="shared" si="204"/>
        <v>0</v>
      </c>
      <c r="CV74" s="37">
        <f t="shared" si="205"/>
        <v>0</v>
      </c>
      <c r="CW74" s="37">
        <f t="shared" si="206"/>
        <v>0</v>
      </c>
      <c r="CX74" s="37">
        <f t="shared" si="207"/>
        <v>0</v>
      </c>
      <c r="CY74" s="37">
        <f t="shared" si="208"/>
        <v>0</v>
      </c>
      <c r="CZ74" s="37">
        <f t="shared" si="209"/>
        <v>18.333333333333336</v>
      </c>
    </row>
    <row r="75" spans="1:104" x14ac:dyDescent="0.25">
      <c r="A75" s="149" t="s">
        <v>2237</v>
      </c>
      <c r="B75" s="53" t="s">
        <v>1947</v>
      </c>
      <c r="C75" s="53" t="s">
        <v>1948</v>
      </c>
      <c r="D75" s="53" t="s">
        <v>1947</v>
      </c>
      <c r="E75" s="61">
        <f t="shared" si="140"/>
        <v>0</v>
      </c>
      <c r="F75" s="61">
        <f t="shared" si="141"/>
        <v>1</v>
      </c>
      <c r="G75" s="61">
        <f t="shared" si="142"/>
        <v>0</v>
      </c>
      <c r="H75" s="61">
        <f t="shared" si="143"/>
        <v>1</v>
      </c>
      <c r="I75" s="53" t="s">
        <v>2165</v>
      </c>
      <c r="J75" s="53" t="s">
        <v>2165</v>
      </c>
      <c r="K75" s="53" t="s">
        <v>1948</v>
      </c>
      <c r="L75" s="61">
        <f t="shared" si="144"/>
        <v>0</v>
      </c>
      <c r="M75" s="61">
        <f t="shared" si="145"/>
        <v>0</v>
      </c>
      <c r="N75" s="61">
        <f t="shared" si="146"/>
        <v>1</v>
      </c>
      <c r="O75" s="61">
        <f t="shared" si="147"/>
        <v>1</v>
      </c>
      <c r="P75" s="61">
        <f t="shared" si="148"/>
        <v>33.333333333333336</v>
      </c>
      <c r="Q75" s="53" t="s">
        <v>1948</v>
      </c>
      <c r="R75" s="53" t="s">
        <v>1947</v>
      </c>
      <c r="S75" s="61">
        <f t="shared" si="149"/>
        <v>1</v>
      </c>
      <c r="T75" s="61">
        <f t="shared" si="150"/>
        <v>0</v>
      </c>
      <c r="U75" s="61">
        <f t="shared" si="151"/>
        <v>1</v>
      </c>
      <c r="V75" s="61">
        <f t="shared" si="152"/>
        <v>50</v>
      </c>
      <c r="W75" s="53" t="s">
        <v>1947</v>
      </c>
      <c r="X75" s="53" t="s">
        <v>1947</v>
      </c>
      <c r="Y75" s="53" t="s">
        <v>1947</v>
      </c>
      <c r="Z75" s="53" t="s">
        <v>1947</v>
      </c>
      <c r="AA75" s="53" t="s">
        <v>1947</v>
      </c>
      <c r="AB75" s="50">
        <f t="shared" si="153"/>
        <v>0</v>
      </c>
      <c r="AC75" s="50">
        <f t="shared" si="154"/>
        <v>0</v>
      </c>
      <c r="AD75" s="50">
        <f t="shared" si="155"/>
        <v>0</v>
      </c>
      <c r="AE75" s="50">
        <f t="shared" si="156"/>
        <v>0</v>
      </c>
      <c r="AF75" s="50">
        <f t="shared" si="157"/>
        <v>0</v>
      </c>
      <c r="AG75" s="50">
        <f t="shared" si="158"/>
        <v>0</v>
      </c>
      <c r="AH75" s="51">
        <f t="shared" si="159"/>
        <v>0</v>
      </c>
      <c r="AI75" s="51">
        <f t="shared" si="160"/>
        <v>83.333333333333343</v>
      </c>
      <c r="AJ75" s="53" t="s">
        <v>1948</v>
      </c>
      <c r="AK75" s="53" t="s">
        <v>1948</v>
      </c>
      <c r="AL75" s="53" t="s">
        <v>1948</v>
      </c>
      <c r="AM75" s="50">
        <f t="shared" si="161"/>
        <v>1</v>
      </c>
      <c r="AN75" s="50">
        <f t="shared" si="162"/>
        <v>1</v>
      </c>
      <c r="AO75" s="50">
        <f t="shared" si="163"/>
        <v>1</v>
      </c>
      <c r="AP75" s="50">
        <f t="shared" si="164"/>
        <v>3</v>
      </c>
      <c r="AQ75" s="50">
        <f t="shared" si="165"/>
        <v>100</v>
      </c>
      <c r="AR75" s="36" t="s">
        <v>2166</v>
      </c>
      <c r="AS75" s="36" t="s">
        <v>2166</v>
      </c>
      <c r="AT75" s="36" t="s">
        <v>2166</v>
      </c>
      <c r="AU75" s="37">
        <f t="shared" si="166"/>
        <v>1</v>
      </c>
      <c r="AV75" s="37">
        <f t="shared" si="167"/>
        <v>1</v>
      </c>
      <c r="AW75" s="37">
        <f t="shared" si="168"/>
        <v>1</v>
      </c>
      <c r="AX75" s="37">
        <f t="shared" si="169"/>
        <v>0</v>
      </c>
      <c r="AY75" s="37">
        <f t="shared" si="170"/>
        <v>0</v>
      </c>
      <c r="AZ75" s="36" t="s">
        <v>2167</v>
      </c>
      <c r="BA75" s="36" t="s">
        <v>2167</v>
      </c>
      <c r="BB75" s="37">
        <f t="shared" si="171"/>
        <v>1</v>
      </c>
      <c r="BC75" s="37">
        <f t="shared" si="172"/>
        <v>0.75</v>
      </c>
      <c r="BD75" s="37">
        <f t="shared" si="173"/>
        <v>0.75</v>
      </c>
      <c r="BE75" s="37">
        <f t="shared" si="174"/>
        <v>0</v>
      </c>
      <c r="BF75" s="36" t="s">
        <v>2167</v>
      </c>
      <c r="BG75" s="36" t="s">
        <v>2167</v>
      </c>
      <c r="BH75" s="37">
        <f t="shared" si="175"/>
        <v>1</v>
      </c>
      <c r="BI75" s="37">
        <f t="shared" si="176"/>
        <v>0.75</v>
      </c>
      <c r="BJ75" s="37">
        <f t="shared" si="177"/>
        <v>0.75</v>
      </c>
      <c r="BK75" s="37">
        <f t="shared" si="178"/>
        <v>0</v>
      </c>
      <c r="BL75" s="36" t="s">
        <v>2167</v>
      </c>
      <c r="BM75" s="36" t="s">
        <v>2167</v>
      </c>
      <c r="BN75" s="37">
        <f t="shared" si="179"/>
        <v>1</v>
      </c>
      <c r="BO75" s="37">
        <f t="shared" si="180"/>
        <v>0.75</v>
      </c>
      <c r="BP75" s="37">
        <f t="shared" si="181"/>
        <v>0.75</v>
      </c>
      <c r="BQ75" s="37">
        <f t="shared" si="182"/>
        <v>0</v>
      </c>
      <c r="BR75" s="37">
        <f t="shared" si="183"/>
        <v>0</v>
      </c>
      <c r="BS75" s="36" t="s">
        <v>2080</v>
      </c>
      <c r="BT75" s="36" t="s">
        <v>2080</v>
      </c>
      <c r="BU75" s="36" t="s">
        <v>2080</v>
      </c>
      <c r="BV75" s="36" t="s">
        <v>2080</v>
      </c>
      <c r="BW75" s="37">
        <f t="shared" si="184"/>
        <v>0</v>
      </c>
      <c r="BX75" s="37">
        <f t="shared" si="185"/>
        <v>0</v>
      </c>
      <c r="BY75" s="37">
        <f t="shared" si="186"/>
        <v>0</v>
      </c>
      <c r="BZ75" s="37">
        <f t="shared" si="187"/>
        <v>0</v>
      </c>
      <c r="CA75" s="37">
        <f t="shared" si="188"/>
        <v>0</v>
      </c>
      <c r="CB75" s="37">
        <f t="shared" si="189"/>
        <v>0</v>
      </c>
      <c r="CC75" s="37">
        <f t="shared" si="190"/>
        <v>0</v>
      </c>
      <c r="CD75" s="37">
        <f t="shared" si="191"/>
        <v>0</v>
      </c>
      <c r="CE75" s="36" t="s">
        <v>2067</v>
      </c>
      <c r="CF75" s="36" t="s">
        <v>2067</v>
      </c>
      <c r="CG75" s="36" t="s">
        <v>2067</v>
      </c>
      <c r="CH75" s="36" t="s">
        <v>2080</v>
      </c>
      <c r="CI75" s="37">
        <f t="shared" si="192"/>
        <v>0</v>
      </c>
      <c r="CJ75" s="37">
        <f t="shared" si="193"/>
        <v>0</v>
      </c>
      <c r="CK75" s="37">
        <f t="shared" si="194"/>
        <v>0</v>
      </c>
      <c r="CL75" s="37">
        <f t="shared" si="195"/>
        <v>0</v>
      </c>
      <c r="CM75" s="37">
        <f t="shared" si="196"/>
        <v>0</v>
      </c>
      <c r="CN75" s="37">
        <f t="shared" si="197"/>
        <v>0</v>
      </c>
      <c r="CO75" s="37">
        <f t="shared" si="198"/>
        <v>0</v>
      </c>
      <c r="CP75" s="37">
        <f t="shared" si="199"/>
        <v>0</v>
      </c>
      <c r="CQ75" s="37">
        <f t="shared" si="200"/>
        <v>3.3333333333333339</v>
      </c>
      <c r="CR75" s="37">
        <f t="shared" si="201"/>
        <v>5</v>
      </c>
      <c r="CS75" s="37">
        <f t="shared" si="202"/>
        <v>0</v>
      </c>
      <c r="CT75" s="37">
        <f t="shared" si="203"/>
        <v>10</v>
      </c>
      <c r="CU75" s="37">
        <f t="shared" si="204"/>
        <v>0</v>
      </c>
      <c r="CV75" s="37">
        <f t="shared" si="205"/>
        <v>0</v>
      </c>
      <c r="CW75" s="37">
        <f t="shared" si="206"/>
        <v>0</v>
      </c>
      <c r="CX75" s="37">
        <f t="shared" si="207"/>
        <v>0</v>
      </c>
      <c r="CY75" s="37">
        <f t="shared" si="208"/>
        <v>0</v>
      </c>
      <c r="CZ75" s="37">
        <f t="shared" si="209"/>
        <v>18.333333333333336</v>
      </c>
    </row>
    <row r="76" spans="1:104" x14ac:dyDescent="0.25">
      <c r="A76" s="149" t="s">
        <v>2238</v>
      </c>
      <c r="B76" s="53" t="s">
        <v>1947</v>
      </c>
      <c r="C76" s="53" t="s">
        <v>1948</v>
      </c>
      <c r="D76" s="53" t="s">
        <v>1947</v>
      </c>
      <c r="E76" s="61">
        <f t="shared" si="140"/>
        <v>0</v>
      </c>
      <c r="F76" s="61">
        <f t="shared" si="141"/>
        <v>1</v>
      </c>
      <c r="G76" s="61">
        <f t="shared" si="142"/>
        <v>0</v>
      </c>
      <c r="H76" s="61">
        <f t="shared" si="143"/>
        <v>1</v>
      </c>
      <c r="I76" s="53" t="s">
        <v>2165</v>
      </c>
      <c r="J76" s="53" t="s">
        <v>2165</v>
      </c>
      <c r="K76" s="53" t="s">
        <v>1948</v>
      </c>
      <c r="L76" s="61">
        <f t="shared" si="144"/>
        <v>0</v>
      </c>
      <c r="M76" s="61">
        <f t="shared" si="145"/>
        <v>0</v>
      </c>
      <c r="N76" s="61">
        <f t="shared" si="146"/>
        <v>1</v>
      </c>
      <c r="O76" s="61">
        <f t="shared" si="147"/>
        <v>1</v>
      </c>
      <c r="P76" s="61">
        <f t="shared" si="148"/>
        <v>33.333333333333336</v>
      </c>
      <c r="Q76" s="53" t="s">
        <v>1948</v>
      </c>
      <c r="R76" s="53" t="s">
        <v>1947</v>
      </c>
      <c r="S76" s="61">
        <f t="shared" si="149"/>
        <v>1</v>
      </c>
      <c r="T76" s="61">
        <f t="shared" si="150"/>
        <v>0</v>
      </c>
      <c r="U76" s="61">
        <f t="shared" si="151"/>
        <v>1</v>
      </c>
      <c r="V76" s="61">
        <f t="shared" si="152"/>
        <v>50</v>
      </c>
      <c r="W76" s="53" t="s">
        <v>1947</v>
      </c>
      <c r="X76" s="53" t="s">
        <v>1947</v>
      </c>
      <c r="Y76" s="53" t="s">
        <v>1947</v>
      </c>
      <c r="Z76" s="53" t="s">
        <v>1947</v>
      </c>
      <c r="AA76" s="53" t="s">
        <v>1947</v>
      </c>
      <c r="AB76" s="50">
        <f t="shared" si="153"/>
        <v>0</v>
      </c>
      <c r="AC76" s="50">
        <f t="shared" si="154"/>
        <v>0</v>
      </c>
      <c r="AD76" s="50">
        <f t="shared" si="155"/>
        <v>0</v>
      </c>
      <c r="AE76" s="50">
        <f t="shared" si="156"/>
        <v>0</v>
      </c>
      <c r="AF76" s="50">
        <f t="shared" si="157"/>
        <v>0</v>
      </c>
      <c r="AG76" s="50">
        <f t="shared" si="158"/>
        <v>0</v>
      </c>
      <c r="AH76" s="51">
        <f t="shared" si="159"/>
        <v>0</v>
      </c>
      <c r="AI76" s="51">
        <f t="shared" si="160"/>
        <v>83.333333333333343</v>
      </c>
      <c r="AJ76" s="53" t="s">
        <v>1948</v>
      </c>
      <c r="AK76" s="53" t="s">
        <v>1948</v>
      </c>
      <c r="AL76" s="53" t="s">
        <v>1948</v>
      </c>
      <c r="AM76" s="50">
        <f t="shared" si="161"/>
        <v>1</v>
      </c>
      <c r="AN76" s="50">
        <f t="shared" si="162"/>
        <v>1</v>
      </c>
      <c r="AO76" s="50">
        <f t="shared" si="163"/>
        <v>1</v>
      </c>
      <c r="AP76" s="50">
        <f t="shared" si="164"/>
        <v>3</v>
      </c>
      <c r="AQ76" s="50">
        <f t="shared" si="165"/>
        <v>100</v>
      </c>
      <c r="AR76" s="36" t="s">
        <v>2166</v>
      </c>
      <c r="AS76" s="36" t="s">
        <v>2166</v>
      </c>
      <c r="AT76" s="36" t="s">
        <v>2166</v>
      </c>
      <c r="AU76" s="37">
        <f t="shared" si="166"/>
        <v>1</v>
      </c>
      <c r="AV76" s="37">
        <f t="shared" si="167"/>
        <v>1</v>
      </c>
      <c r="AW76" s="37">
        <f t="shared" si="168"/>
        <v>1</v>
      </c>
      <c r="AX76" s="37">
        <f t="shared" si="169"/>
        <v>0</v>
      </c>
      <c r="AY76" s="37">
        <f t="shared" si="170"/>
        <v>0</v>
      </c>
      <c r="AZ76" s="36" t="s">
        <v>2167</v>
      </c>
      <c r="BA76" s="36" t="s">
        <v>2167</v>
      </c>
      <c r="BB76" s="37">
        <f t="shared" si="171"/>
        <v>1</v>
      </c>
      <c r="BC76" s="37">
        <f t="shared" si="172"/>
        <v>0.75</v>
      </c>
      <c r="BD76" s="37">
        <f t="shared" si="173"/>
        <v>0.75</v>
      </c>
      <c r="BE76" s="37">
        <f t="shared" si="174"/>
        <v>0</v>
      </c>
      <c r="BF76" s="36" t="s">
        <v>2167</v>
      </c>
      <c r="BG76" s="36" t="s">
        <v>2167</v>
      </c>
      <c r="BH76" s="37">
        <f t="shared" si="175"/>
        <v>1</v>
      </c>
      <c r="BI76" s="37">
        <f t="shared" si="176"/>
        <v>0.75</v>
      </c>
      <c r="BJ76" s="37">
        <f t="shared" si="177"/>
        <v>0.75</v>
      </c>
      <c r="BK76" s="37">
        <f t="shared" si="178"/>
        <v>0</v>
      </c>
      <c r="BL76" s="36" t="s">
        <v>2167</v>
      </c>
      <c r="BM76" s="36" t="s">
        <v>2167</v>
      </c>
      <c r="BN76" s="37">
        <f t="shared" si="179"/>
        <v>1</v>
      </c>
      <c r="BO76" s="37">
        <f t="shared" si="180"/>
        <v>0.75</v>
      </c>
      <c r="BP76" s="37">
        <f t="shared" si="181"/>
        <v>0.75</v>
      </c>
      <c r="BQ76" s="37">
        <f t="shared" si="182"/>
        <v>0</v>
      </c>
      <c r="BR76" s="37">
        <f t="shared" si="183"/>
        <v>0</v>
      </c>
      <c r="BS76" s="36" t="s">
        <v>2080</v>
      </c>
      <c r="BT76" s="36" t="s">
        <v>2080</v>
      </c>
      <c r="BU76" s="36" t="s">
        <v>2080</v>
      </c>
      <c r="BV76" s="36" t="s">
        <v>2080</v>
      </c>
      <c r="BW76" s="37">
        <f t="shared" si="184"/>
        <v>0</v>
      </c>
      <c r="BX76" s="37">
        <f t="shared" si="185"/>
        <v>0</v>
      </c>
      <c r="BY76" s="37">
        <f t="shared" si="186"/>
        <v>0</v>
      </c>
      <c r="BZ76" s="37">
        <f t="shared" si="187"/>
        <v>0</v>
      </c>
      <c r="CA76" s="37">
        <f t="shared" si="188"/>
        <v>0</v>
      </c>
      <c r="CB76" s="37">
        <f t="shared" si="189"/>
        <v>0</v>
      </c>
      <c r="CC76" s="37">
        <f t="shared" si="190"/>
        <v>0</v>
      </c>
      <c r="CD76" s="37">
        <f t="shared" si="191"/>
        <v>0</v>
      </c>
      <c r="CE76" s="36" t="s">
        <v>2067</v>
      </c>
      <c r="CF76" s="36" t="s">
        <v>2067</v>
      </c>
      <c r="CG76" s="36" t="s">
        <v>2067</v>
      </c>
      <c r="CH76" s="36" t="s">
        <v>2080</v>
      </c>
      <c r="CI76" s="37">
        <f t="shared" si="192"/>
        <v>0</v>
      </c>
      <c r="CJ76" s="37">
        <f t="shared" si="193"/>
        <v>0</v>
      </c>
      <c r="CK76" s="37">
        <f t="shared" si="194"/>
        <v>0</v>
      </c>
      <c r="CL76" s="37">
        <f t="shared" si="195"/>
        <v>0</v>
      </c>
      <c r="CM76" s="37">
        <f t="shared" si="196"/>
        <v>0</v>
      </c>
      <c r="CN76" s="37">
        <f t="shared" si="197"/>
        <v>0</v>
      </c>
      <c r="CO76" s="37">
        <f t="shared" si="198"/>
        <v>0</v>
      </c>
      <c r="CP76" s="37">
        <f t="shared" si="199"/>
        <v>0</v>
      </c>
      <c r="CQ76" s="37">
        <f t="shared" si="200"/>
        <v>3.3333333333333339</v>
      </c>
      <c r="CR76" s="37">
        <f t="shared" si="201"/>
        <v>5</v>
      </c>
      <c r="CS76" s="37">
        <f t="shared" si="202"/>
        <v>0</v>
      </c>
      <c r="CT76" s="37">
        <f t="shared" si="203"/>
        <v>10</v>
      </c>
      <c r="CU76" s="37">
        <f t="shared" si="204"/>
        <v>0</v>
      </c>
      <c r="CV76" s="37">
        <f t="shared" si="205"/>
        <v>0</v>
      </c>
      <c r="CW76" s="37">
        <f t="shared" si="206"/>
        <v>0</v>
      </c>
      <c r="CX76" s="37">
        <f t="shared" si="207"/>
        <v>0</v>
      </c>
      <c r="CY76" s="37">
        <f t="shared" si="208"/>
        <v>0</v>
      </c>
      <c r="CZ76" s="37">
        <f t="shared" si="209"/>
        <v>18.333333333333336</v>
      </c>
    </row>
    <row r="77" spans="1:104" x14ac:dyDescent="0.25">
      <c r="A77" s="149" t="s">
        <v>2239</v>
      </c>
      <c r="B77" s="53" t="s">
        <v>1948</v>
      </c>
      <c r="C77" s="53" t="s">
        <v>1948</v>
      </c>
      <c r="D77" s="53" t="s">
        <v>1947</v>
      </c>
      <c r="E77" s="61">
        <f t="shared" si="140"/>
        <v>1</v>
      </c>
      <c r="F77" s="61">
        <f t="shared" si="141"/>
        <v>1</v>
      </c>
      <c r="G77" s="61">
        <f t="shared" si="142"/>
        <v>0</v>
      </c>
      <c r="H77" s="61">
        <f t="shared" si="143"/>
        <v>2</v>
      </c>
      <c r="I77" s="53" t="s">
        <v>2165</v>
      </c>
      <c r="J77" s="53" t="s">
        <v>2165</v>
      </c>
      <c r="K77" s="53" t="s">
        <v>1948</v>
      </c>
      <c r="L77" s="61">
        <f t="shared" si="144"/>
        <v>0</v>
      </c>
      <c r="M77" s="61">
        <f t="shared" si="145"/>
        <v>0</v>
      </c>
      <c r="N77" s="61">
        <f t="shared" si="146"/>
        <v>1</v>
      </c>
      <c r="O77" s="61">
        <f t="shared" si="147"/>
        <v>1</v>
      </c>
      <c r="P77" s="61">
        <f t="shared" si="148"/>
        <v>50</v>
      </c>
      <c r="Q77" s="53" t="s">
        <v>1948</v>
      </c>
      <c r="R77" s="53" t="s">
        <v>1948</v>
      </c>
      <c r="S77" s="61">
        <f t="shared" si="149"/>
        <v>1</v>
      </c>
      <c r="T77" s="61">
        <f t="shared" si="150"/>
        <v>1</v>
      </c>
      <c r="U77" s="61">
        <f t="shared" si="151"/>
        <v>2</v>
      </c>
      <c r="V77" s="61">
        <f t="shared" si="152"/>
        <v>100</v>
      </c>
      <c r="W77" s="53" t="s">
        <v>1947</v>
      </c>
      <c r="X77" s="53" t="s">
        <v>1947</v>
      </c>
      <c r="Y77" s="53" t="s">
        <v>1947</v>
      </c>
      <c r="Z77" s="53" t="s">
        <v>1947</v>
      </c>
      <c r="AA77" s="53" t="s">
        <v>1947</v>
      </c>
      <c r="AB77" s="50">
        <f t="shared" si="153"/>
        <v>0</v>
      </c>
      <c r="AC77" s="50">
        <f t="shared" si="154"/>
        <v>0</v>
      </c>
      <c r="AD77" s="50">
        <f t="shared" si="155"/>
        <v>0</v>
      </c>
      <c r="AE77" s="50">
        <f t="shared" si="156"/>
        <v>0</v>
      </c>
      <c r="AF77" s="50">
        <f t="shared" si="157"/>
        <v>0</v>
      </c>
      <c r="AG77" s="50">
        <f t="shared" si="158"/>
        <v>0</v>
      </c>
      <c r="AH77" s="51">
        <f t="shared" si="159"/>
        <v>0</v>
      </c>
      <c r="AI77" s="51">
        <f t="shared" si="160"/>
        <v>150</v>
      </c>
      <c r="AJ77" s="53" t="s">
        <v>1948</v>
      </c>
      <c r="AK77" s="53" t="s">
        <v>1948</v>
      </c>
      <c r="AL77" s="53" t="s">
        <v>1948</v>
      </c>
      <c r="AM77" s="50">
        <f t="shared" si="161"/>
        <v>1</v>
      </c>
      <c r="AN77" s="50">
        <f t="shared" si="162"/>
        <v>1</v>
      </c>
      <c r="AO77" s="50">
        <f t="shared" si="163"/>
        <v>1</v>
      </c>
      <c r="AP77" s="50">
        <f t="shared" si="164"/>
        <v>3</v>
      </c>
      <c r="AQ77" s="50">
        <f t="shared" si="165"/>
        <v>100</v>
      </c>
      <c r="AR77" s="36" t="s">
        <v>2166</v>
      </c>
      <c r="AS77" s="36" t="s">
        <v>2166</v>
      </c>
      <c r="AT77" s="36" t="s">
        <v>2166</v>
      </c>
      <c r="AU77" s="37">
        <f t="shared" si="166"/>
        <v>1</v>
      </c>
      <c r="AV77" s="37">
        <f t="shared" si="167"/>
        <v>1</v>
      </c>
      <c r="AW77" s="37">
        <f t="shared" si="168"/>
        <v>1</v>
      </c>
      <c r="AX77" s="37">
        <f t="shared" si="169"/>
        <v>0</v>
      </c>
      <c r="AY77" s="37">
        <f t="shared" si="170"/>
        <v>0</v>
      </c>
      <c r="AZ77" s="36" t="s">
        <v>2167</v>
      </c>
      <c r="BA77" s="36" t="s">
        <v>2167</v>
      </c>
      <c r="BB77" s="37">
        <f t="shared" si="171"/>
        <v>1</v>
      </c>
      <c r="BC77" s="37">
        <f t="shared" si="172"/>
        <v>0.75</v>
      </c>
      <c r="BD77" s="37">
        <f t="shared" si="173"/>
        <v>0.75</v>
      </c>
      <c r="BE77" s="37">
        <f t="shared" si="174"/>
        <v>0</v>
      </c>
      <c r="BF77" s="36" t="s">
        <v>2167</v>
      </c>
      <c r="BG77" s="36" t="s">
        <v>2167</v>
      </c>
      <c r="BH77" s="37">
        <f t="shared" si="175"/>
        <v>1</v>
      </c>
      <c r="BI77" s="37">
        <f t="shared" si="176"/>
        <v>0.75</v>
      </c>
      <c r="BJ77" s="37">
        <f t="shared" si="177"/>
        <v>0.75</v>
      </c>
      <c r="BK77" s="37">
        <f t="shared" si="178"/>
        <v>0</v>
      </c>
      <c r="BL77" s="36" t="s">
        <v>2167</v>
      </c>
      <c r="BM77" s="36" t="s">
        <v>2167</v>
      </c>
      <c r="BN77" s="37">
        <f t="shared" si="179"/>
        <v>1</v>
      </c>
      <c r="BO77" s="37">
        <f t="shared" si="180"/>
        <v>0.75</v>
      </c>
      <c r="BP77" s="37">
        <f t="shared" si="181"/>
        <v>0.75</v>
      </c>
      <c r="BQ77" s="37">
        <f t="shared" si="182"/>
        <v>0</v>
      </c>
      <c r="BR77" s="37">
        <f t="shared" si="183"/>
        <v>0</v>
      </c>
      <c r="BS77" s="36" t="s">
        <v>2080</v>
      </c>
      <c r="BT77" s="36" t="s">
        <v>2080</v>
      </c>
      <c r="BU77" s="36" t="s">
        <v>2080</v>
      </c>
      <c r="BV77" s="36" t="s">
        <v>2080</v>
      </c>
      <c r="BW77" s="37">
        <f t="shared" si="184"/>
        <v>0</v>
      </c>
      <c r="BX77" s="37">
        <f t="shared" si="185"/>
        <v>0</v>
      </c>
      <c r="BY77" s="37">
        <f t="shared" si="186"/>
        <v>0</v>
      </c>
      <c r="BZ77" s="37">
        <f t="shared" si="187"/>
        <v>0</v>
      </c>
      <c r="CA77" s="37">
        <f t="shared" si="188"/>
        <v>0</v>
      </c>
      <c r="CB77" s="37">
        <f t="shared" si="189"/>
        <v>0</v>
      </c>
      <c r="CC77" s="37">
        <f t="shared" si="190"/>
        <v>0</v>
      </c>
      <c r="CD77" s="37">
        <f t="shared" si="191"/>
        <v>0</v>
      </c>
      <c r="CE77" s="36" t="s">
        <v>2067</v>
      </c>
      <c r="CF77" s="36" t="s">
        <v>2067</v>
      </c>
      <c r="CG77" s="36" t="s">
        <v>2067</v>
      </c>
      <c r="CH77" s="36" t="s">
        <v>2080</v>
      </c>
      <c r="CI77" s="37">
        <f t="shared" si="192"/>
        <v>0</v>
      </c>
      <c r="CJ77" s="37">
        <f t="shared" si="193"/>
        <v>0</v>
      </c>
      <c r="CK77" s="37">
        <f t="shared" si="194"/>
        <v>0</v>
      </c>
      <c r="CL77" s="37">
        <f t="shared" si="195"/>
        <v>0</v>
      </c>
      <c r="CM77" s="37">
        <f t="shared" si="196"/>
        <v>0</v>
      </c>
      <c r="CN77" s="37">
        <f t="shared" si="197"/>
        <v>0</v>
      </c>
      <c r="CO77" s="37">
        <f t="shared" si="198"/>
        <v>0</v>
      </c>
      <c r="CP77" s="37">
        <f t="shared" si="199"/>
        <v>0</v>
      </c>
      <c r="CQ77" s="37">
        <f t="shared" si="200"/>
        <v>5</v>
      </c>
      <c r="CR77" s="37">
        <f t="shared" si="201"/>
        <v>10</v>
      </c>
      <c r="CS77" s="37">
        <f t="shared" si="202"/>
        <v>0</v>
      </c>
      <c r="CT77" s="37">
        <f t="shared" si="203"/>
        <v>10</v>
      </c>
      <c r="CU77" s="37">
        <f t="shared" si="204"/>
        <v>0</v>
      </c>
      <c r="CV77" s="37">
        <f t="shared" si="205"/>
        <v>0</v>
      </c>
      <c r="CW77" s="37">
        <f t="shared" si="206"/>
        <v>0</v>
      </c>
      <c r="CX77" s="37">
        <f t="shared" si="207"/>
        <v>0</v>
      </c>
      <c r="CY77" s="37">
        <f t="shared" si="208"/>
        <v>0</v>
      </c>
      <c r="CZ77" s="37">
        <f t="shared" si="209"/>
        <v>25</v>
      </c>
    </row>
    <row r="78" spans="1:104" x14ac:dyDescent="0.25">
      <c r="A78" s="149" t="s">
        <v>2240</v>
      </c>
      <c r="B78" s="53" t="s">
        <v>1948</v>
      </c>
      <c r="C78" s="53" t="s">
        <v>1948</v>
      </c>
      <c r="D78" s="53" t="s">
        <v>1947</v>
      </c>
      <c r="E78" s="61">
        <f t="shared" si="140"/>
        <v>1</v>
      </c>
      <c r="F78" s="61">
        <f t="shared" si="141"/>
        <v>1</v>
      </c>
      <c r="G78" s="61">
        <f t="shared" si="142"/>
        <v>0</v>
      </c>
      <c r="H78" s="61">
        <f t="shared" si="143"/>
        <v>2</v>
      </c>
      <c r="I78" s="53" t="s">
        <v>2165</v>
      </c>
      <c r="J78" s="53" t="s">
        <v>2165</v>
      </c>
      <c r="K78" s="53" t="s">
        <v>1948</v>
      </c>
      <c r="L78" s="61">
        <f t="shared" si="144"/>
        <v>0</v>
      </c>
      <c r="M78" s="61">
        <f t="shared" si="145"/>
        <v>0</v>
      </c>
      <c r="N78" s="61">
        <f t="shared" si="146"/>
        <v>1</v>
      </c>
      <c r="O78" s="61">
        <f t="shared" si="147"/>
        <v>1</v>
      </c>
      <c r="P78" s="61">
        <f t="shared" si="148"/>
        <v>50</v>
      </c>
      <c r="Q78" s="53" t="s">
        <v>1948</v>
      </c>
      <c r="R78" s="53" t="s">
        <v>1948</v>
      </c>
      <c r="S78" s="61">
        <f t="shared" si="149"/>
        <v>1</v>
      </c>
      <c r="T78" s="61">
        <f t="shared" si="150"/>
        <v>1</v>
      </c>
      <c r="U78" s="61">
        <f t="shared" si="151"/>
        <v>2</v>
      </c>
      <c r="V78" s="61">
        <f t="shared" si="152"/>
        <v>100</v>
      </c>
      <c r="W78" s="53" t="s">
        <v>1948</v>
      </c>
      <c r="X78" s="53" t="s">
        <v>1947</v>
      </c>
      <c r="Y78" s="53" t="s">
        <v>1947</v>
      </c>
      <c r="Z78" s="53" t="s">
        <v>1947</v>
      </c>
      <c r="AA78" s="53" t="s">
        <v>1948</v>
      </c>
      <c r="AB78" s="50">
        <f t="shared" si="153"/>
        <v>1</v>
      </c>
      <c r="AC78" s="50">
        <f t="shared" si="154"/>
        <v>0</v>
      </c>
      <c r="AD78" s="50">
        <f t="shared" si="155"/>
        <v>0</v>
      </c>
      <c r="AE78" s="50">
        <f t="shared" si="156"/>
        <v>0</v>
      </c>
      <c r="AF78" s="50">
        <f t="shared" si="157"/>
        <v>1</v>
      </c>
      <c r="AG78" s="50">
        <f t="shared" si="158"/>
        <v>2</v>
      </c>
      <c r="AH78" s="51">
        <f t="shared" si="159"/>
        <v>40</v>
      </c>
      <c r="AI78" s="51">
        <f t="shared" si="160"/>
        <v>190</v>
      </c>
      <c r="AJ78" s="53" t="s">
        <v>1948</v>
      </c>
      <c r="AK78" s="53" t="s">
        <v>1948</v>
      </c>
      <c r="AL78" s="53" t="s">
        <v>1948</v>
      </c>
      <c r="AM78" s="50">
        <f t="shared" si="161"/>
        <v>1</v>
      </c>
      <c r="AN78" s="50">
        <f t="shared" si="162"/>
        <v>1</v>
      </c>
      <c r="AO78" s="50">
        <f t="shared" si="163"/>
        <v>1</v>
      </c>
      <c r="AP78" s="50">
        <f t="shared" si="164"/>
        <v>3</v>
      </c>
      <c r="AQ78" s="50">
        <f t="shared" si="165"/>
        <v>100</v>
      </c>
      <c r="AR78" s="36" t="s">
        <v>2166</v>
      </c>
      <c r="AS78" s="36" t="s">
        <v>2166</v>
      </c>
      <c r="AT78" s="36" t="s">
        <v>2166</v>
      </c>
      <c r="AU78" s="37">
        <f t="shared" si="166"/>
        <v>1</v>
      </c>
      <c r="AV78" s="37">
        <f t="shared" si="167"/>
        <v>1</v>
      </c>
      <c r="AW78" s="37">
        <f t="shared" si="168"/>
        <v>1</v>
      </c>
      <c r="AX78" s="37">
        <f t="shared" si="169"/>
        <v>0</v>
      </c>
      <c r="AY78" s="37">
        <f t="shared" si="170"/>
        <v>0</v>
      </c>
      <c r="AZ78" s="36" t="s">
        <v>2167</v>
      </c>
      <c r="BA78" s="36" t="s">
        <v>2167</v>
      </c>
      <c r="BB78" s="37">
        <f t="shared" si="171"/>
        <v>1</v>
      </c>
      <c r="BC78" s="37">
        <f t="shared" si="172"/>
        <v>0.75</v>
      </c>
      <c r="BD78" s="37">
        <f t="shared" si="173"/>
        <v>0.75</v>
      </c>
      <c r="BE78" s="37">
        <f t="shared" si="174"/>
        <v>0</v>
      </c>
      <c r="BF78" s="36" t="s">
        <v>2167</v>
      </c>
      <c r="BG78" s="36" t="s">
        <v>2167</v>
      </c>
      <c r="BH78" s="37">
        <f t="shared" si="175"/>
        <v>1</v>
      </c>
      <c r="BI78" s="37">
        <f t="shared" si="176"/>
        <v>0.75</v>
      </c>
      <c r="BJ78" s="37">
        <f t="shared" si="177"/>
        <v>0.75</v>
      </c>
      <c r="BK78" s="37">
        <f t="shared" si="178"/>
        <v>0</v>
      </c>
      <c r="BL78" s="36" t="s">
        <v>2167</v>
      </c>
      <c r="BM78" s="36" t="s">
        <v>2167</v>
      </c>
      <c r="BN78" s="37">
        <f t="shared" si="179"/>
        <v>1</v>
      </c>
      <c r="BO78" s="37">
        <f t="shared" si="180"/>
        <v>0.75</v>
      </c>
      <c r="BP78" s="37">
        <f t="shared" si="181"/>
        <v>0.75</v>
      </c>
      <c r="BQ78" s="37">
        <f t="shared" si="182"/>
        <v>0</v>
      </c>
      <c r="BR78" s="37">
        <f t="shared" si="183"/>
        <v>0</v>
      </c>
      <c r="BS78" s="36" t="s">
        <v>2080</v>
      </c>
      <c r="BT78" s="36" t="s">
        <v>2080</v>
      </c>
      <c r="BU78" s="36" t="s">
        <v>2080</v>
      </c>
      <c r="BV78" s="36" t="s">
        <v>2080</v>
      </c>
      <c r="BW78" s="37">
        <f t="shared" si="184"/>
        <v>0</v>
      </c>
      <c r="BX78" s="37">
        <f t="shared" si="185"/>
        <v>0</v>
      </c>
      <c r="BY78" s="37">
        <f t="shared" si="186"/>
        <v>0</v>
      </c>
      <c r="BZ78" s="37">
        <f t="shared" si="187"/>
        <v>0</v>
      </c>
      <c r="CA78" s="37">
        <f t="shared" si="188"/>
        <v>0</v>
      </c>
      <c r="CB78" s="37">
        <f t="shared" si="189"/>
        <v>0</v>
      </c>
      <c r="CC78" s="37">
        <f t="shared" si="190"/>
        <v>0</v>
      </c>
      <c r="CD78" s="37">
        <f t="shared" si="191"/>
        <v>0</v>
      </c>
      <c r="CE78" s="36" t="s">
        <v>2067</v>
      </c>
      <c r="CF78" s="36" t="s">
        <v>2067</v>
      </c>
      <c r="CG78" s="36" t="s">
        <v>2067</v>
      </c>
      <c r="CH78" s="36" t="s">
        <v>2080</v>
      </c>
      <c r="CI78" s="37">
        <f t="shared" si="192"/>
        <v>0</v>
      </c>
      <c r="CJ78" s="37">
        <f t="shared" si="193"/>
        <v>0</v>
      </c>
      <c r="CK78" s="37">
        <f t="shared" si="194"/>
        <v>0</v>
      </c>
      <c r="CL78" s="37">
        <f t="shared" si="195"/>
        <v>0</v>
      </c>
      <c r="CM78" s="37">
        <f t="shared" si="196"/>
        <v>0</v>
      </c>
      <c r="CN78" s="37">
        <f t="shared" si="197"/>
        <v>0</v>
      </c>
      <c r="CO78" s="37">
        <f t="shared" si="198"/>
        <v>0</v>
      </c>
      <c r="CP78" s="37">
        <f t="shared" si="199"/>
        <v>0</v>
      </c>
      <c r="CQ78" s="37">
        <f t="shared" si="200"/>
        <v>5</v>
      </c>
      <c r="CR78" s="37">
        <f t="shared" si="201"/>
        <v>10</v>
      </c>
      <c r="CS78" s="37">
        <f t="shared" si="202"/>
        <v>4</v>
      </c>
      <c r="CT78" s="37">
        <f t="shared" si="203"/>
        <v>10</v>
      </c>
      <c r="CU78" s="37">
        <f t="shared" si="204"/>
        <v>0</v>
      </c>
      <c r="CV78" s="37">
        <f t="shared" si="205"/>
        <v>0</v>
      </c>
      <c r="CW78" s="37">
        <f t="shared" si="206"/>
        <v>0</v>
      </c>
      <c r="CX78" s="37">
        <f t="shared" si="207"/>
        <v>0</v>
      </c>
      <c r="CY78" s="37">
        <f t="shared" si="208"/>
        <v>0</v>
      </c>
      <c r="CZ78" s="37">
        <f t="shared" si="209"/>
        <v>29</v>
      </c>
    </row>
    <row r="79" spans="1:104" x14ac:dyDescent="0.25">
      <c r="A79" s="149" t="s">
        <v>2241</v>
      </c>
      <c r="B79" s="53" t="s">
        <v>1948</v>
      </c>
      <c r="C79" s="53" t="s">
        <v>1948</v>
      </c>
      <c r="D79" s="53" t="s">
        <v>1947</v>
      </c>
      <c r="E79" s="61">
        <f t="shared" si="140"/>
        <v>1</v>
      </c>
      <c r="F79" s="61">
        <f t="shared" si="141"/>
        <v>1</v>
      </c>
      <c r="G79" s="61">
        <f t="shared" si="142"/>
        <v>0</v>
      </c>
      <c r="H79" s="61">
        <f t="shared" si="143"/>
        <v>2</v>
      </c>
      <c r="I79" s="53" t="s">
        <v>2165</v>
      </c>
      <c r="J79" s="53" t="s">
        <v>2165</v>
      </c>
      <c r="K79" s="53" t="s">
        <v>1948</v>
      </c>
      <c r="L79" s="61">
        <f t="shared" si="144"/>
        <v>0</v>
      </c>
      <c r="M79" s="61">
        <f t="shared" si="145"/>
        <v>0</v>
      </c>
      <c r="N79" s="61">
        <f t="shared" si="146"/>
        <v>1</v>
      </c>
      <c r="O79" s="61">
        <f t="shared" si="147"/>
        <v>1</v>
      </c>
      <c r="P79" s="61">
        <f t="shared" si="148"/>
        <v>50</v>
      </c>
      <c r="Q79" s="53" t="s">
        <v>1948</v>
      </c>
      <c r="R79" s="53" t="s">
        <v>1948</v>
      </c>
      <c r="S79" s="61">
        <f t="shared" si="149"/>
        <v>1</v>
      </c>
      <c r="T79" s="61">
        <f t="shared" si="150"/>
        <v>1</v>
      </c>
      <c r="U79" s="61">
        <f t="shared" si="151"/>
        <v>2</v>
      </c>
      <c r="V79" s="61">
        <f t="shared" si="152"/>
        <v>100</v>
      </c>
      <c r="W79" s="53" t="s">
        <v>1947</v>
      </c>
      <c r="X79" s="53" t="s">
        <v>1948</v>
      </c>
      <c r="Y79" s="53" t="s">
        <v>1948</v>
      </c>
      <c r="Z79" s="53" t="s">
        <v>1947</v>
      </c>
      <c r="AA79" s="53" t="s">
        <v>1947</v>
      </c>
      <c r="AB79" s="50">
        <f t="shared" si="153"/>
        <v>0</v>
      </c>
      <c r="AC79" s="50">
        <f t="shared" si="154"/>
        <v>1</v>
      </c>
      <c r="AD79" s="50">
        <f t="shared" si="155"/>
        <v>1</v>
      </c>
      <c r="AE79" s="50">
        <f t="shared" si="156"/>
        <v>0</v>
      </c>
      <c r="AF79" s="50">
        <f t="shared" si="157"/>
        <v>0</v>
      </c>
      <c r="AG79" s="50">
        <f t="shared" si="158"/>
        <v>2</v>
      </c>
      <c r="AH79" s="51">
        <f t="shared" si="159"/>
        <v>40</v>
      </c>
      <c r="AI79" s="51">
        <f t="shared" si="160"/>
        <v>190</v>
      </c>
      <c r="AJ79" s="53" t="s">
        <v>1948</v>
      </c>
      <c r="AK79" s="53" t="s">
        <v>1948</v>
      </c>
      <c r="AL79" s="53" t="s">
        <v>1948</v>
      </c>
      <c r="AM79" s="50">
        <f t="shared" si="161"/>
        <v>1</v>
      </c>
      <c r="AN79" s="50">
        <f t="shared" si="162"/>
        <v>1</v>
      </c>
      <c r="AO79" s="50">
        <f t="shared" si="163"/>
        <v>1</v>
      </c>
      <c r="AP79" s="50">
        <f t="shared" si="164"/>
        <v>3</v>
      </c>
      <c r="AQ79" s="50">
        <f t="shared" si="165"/>
        <v>100</v>
      </c>
      <c r="AR79" s="36" t="s">
        <v>2166</v>
      </c>
      <c r="AS79" s="36" t="s">
        <v>2166</v>
      </c>
      <c r="AT79" s="36" t="s">
        <v>2166</v>
      </c>
      <c r="AU79" s="37">
        <f t="shared" si="166"/>
        <v>1</v>
      </c>
      <c r="AV79" s="37">
        <f t="shared" si="167"/>
        <v>1</v>
      </c>
      <c r="AW79" s="37">
        <f t="shared" si="168"/>
        <v>1</v>
      </c>
      <c r="AX79" s="37">
        <f t="shared" si="169"/>
        <v>0</v>
      </c>
      <c r="AY79" s="37">
        <f t="shared" si="170"/>
        <v>0</v>
      </c>
      <c r="AZ79" s="36" t="s">
        <v>2167</v>
      </c>
      <c r="BA79" s="36" t="s">
        <v>2167</v>
      </c>
      <c r="BB79" s="37">
        <f t="shared" si="171"/>
        <v>1</v>
      </c>
      <c r="BC79" s="37">
        <f t="shared" si="172"/>
        <v>0.75</v>
      </c>
      <c r="BD79" s="37">
        <f t="shared" si="173"/>
        <v>0.75</v>
      </c>
      <c r="BE79" s="37">
        <f t="shared" si="174"/>
        <v>0</v>
      </c>
      <c r="BF79" s="36" t="s">
        <v>2167</v>
      </c>
      <c r="BG79" s="36" t="s">
        <v>2167</v>
      </c>
      <c r="BH79" s="37">
        <f t="shared" si="175"/>
        <v>1</v>
      </c>
      <c r="BI79" s="37">
        <f t="shared" si="176"/>
        <v>0.75</v>
      </c>
      <c r="BJ79" s="37">
        <f t="shared" si="177"/>
        <v>0.75</v>
      </c>
      <c r="BK79" s="37">
        <f t="shared" si="178"/>
        <v>0</v>
      </c>
      <c r="BL79" s="36" t="s">
        <v>2167</v>
      </c>
      <c r="BM79" s="36" t="s">
        <v>2167</v>
      </c>
      <c r="BN79" s="37">
        <f t="shared" si="179"/>
        <v>1</v>
      </c>
      <c r="BO79" s="37">
        <f t="shared" si="180"/>
        <v>0.75</v>
      </c>
      <c r="BP79" s="37">
        <f t="shared" si="181"/>
        <v>0.75</v>
      </c>
      <c r="BQ79" s="37">
        <f t="shared" si="182"/>
        <v>0</v>
      </c>
      <c r="BR79" s="37">
        <f t="shared" si="183"/>
        <v>0</v>
      </c>
      <c r="BS79" s="36" t="s">
        <v>2080</v>
      </c>
      <c r="BT79" s="36" t="s">
        <v>2080</v>
      </c>
      <c r="BU79" s="36" t="s">
        <v>2080</v>
      </c>
      <c r="BV79" s="36" t="s">
        <v>2080</v>
      </c>
      <c r="BW79" s="37">
        <f t="shared" si="184"/>
        <v>0</v>
      </c>
      <c r="BX79" s="37">
        <f t="shared" si="185"/>
        <v>0</v>
      </c>
      <c r="BY79" s="37">
        <f t="shared" si="186"/>
        <v>0</v>
      </c>
      <c r="BZ79" s="37">
        <f t="shared" si="187"/>
        <v>0</v>
      </c>
      <c r="CA79" s="37">
        <f t="shared" si="188"/>
        <v>0</v>
      </c>
      <c r="CB79" s="37">
        <f t="shared" si="189"/>
        <v>0</v>
      </c>
      <c r="CC79" s="37">
        <f t="shared" si="190"/>
        <v>0</v>
      </c>
      <c r="CD79" s="37">
        <f t="shared" si="191"/>
        <v>0</v>
      </c>
      <c r="CE79" s="36" t="s">
        <v>2067</v>
      </c>
      <c r="CF79" s="36" t="s">
        <v>2067</v>
      </c>
      <c r="CG79" s="36" t="s">
        <v>2067</v>
      </c>
      <c r="CH79" s="36" t="s">
        <v>2080</v>
      </c>
      <c r="CI79" s="37">
        <f t="shared" si="192"/>
        <v>0</v>
      </c>
      <c r="CJ79" s="37">
        <f t="shared" si="193"/>
        <v>0</v>
      </c>
      <c r="CK79" s="37">
        <f t="shared" si="194"/>
        <v>0</v>
      </c>
      <c r="CL79" s="37">
        <f t="shared" si="195"/>
        <v>0</v>
      </c>
      <c r="CM79" s="37">
        <f t="shared" si="196"/>
        <v>0</v>
      </c>
      <c r="CN79" s="37">
        <f t="shared" si="197"/>
        <v>0</v>
      </c>
      <c r="CO79" s="37">
        <f t="shared" si="198"/>
        <v>0</v>
      </c>
      <c r="CP79" s="37">
        <f t="shared" si="199"/>
        <v>0</v>
      </c>
      <c r="CQ79" s="37">
        <f t="shared" si="200"/>
        <v>5</v>
      </c>
      <c r="CR79" s="37">
        <f t="shared" si="201"/>
        <v>10</v>
      </c>
      <c r="CS79" s="37">
        <f t="shared" si="202"/>
        <v>4</v>
      </c>
      <c r="CT79" s="37">
        <f t="shared" si="203"/>
        <v>10</v>
      </c>
      <c r="CU79" s="37">
        <f t="shared" si="204"/>
        <v>0</v>
      </c>
      <c r="CV79" s="37">
        <f t="shared" si="205"/>
        <v>0</v>
      </c>
      <c r="CW79" s="37">
        <f t="shared" si="206"/>
        <v>0</v>
      </c>
      <c r="CX79" s="37">
        <f t="shared" si="207"/>
        <v>0</v>
      </c>
      <c r="CY79" s="37">
        <f t="shared" si="208"/>
        <v>0</v>
      </c>
      <c r="CZ79" s="37">
        <f t="shared" si="209"/>
        <v>29</v>
      </c>
    </row>
    <row r="80" spans="1:104" x14ac:dyDescent="0.25">
      <c r="A80" s="149" t="s">
        <v>2242</v>
      </c>
      <c r="B80" s="53" t="s">
        <v>1948</v>
      </c>
      <c r="C80" s="53" t="s">
        <v>1948</v>
      </c>
      <c r="D80" s="53" t="s">
        <v>1947</v>
      </c>
      <c r="E80" s="61">
        <f t="shared" si="140"/>
        <v>1</v>
      </c>
      <c r="F80" s="61">
        <f t="shared" si="141"/>
        <v>1</v>
      </c>
      <c r="G80" s="61">
        <f t="shared" si="142"/>
        <v>0</v>
      </c>
      <c r="H80" s="61">
        <f t="shared" si="143"/>
        <v>2</v>
      </c>
      <c r="I80" s="53" t="s">
        <v>2165</v>
      </c>
      <c r="J80" s="53" t="s">
        <v>2165</v>
      </c>
      <c r="K80" s="53" t="s">
        <v>1948</v>
      </c>
      <c r="L80" s="61">
        <f t="shared" si="144"/>
        <v>0</v>
      </c>
      <c r="M80" s="61">
        <f t="shared" si="145"/>
        <v>0</v>
      </c>
      <c r="N80" s="61">
        <f t="shared" si="146"/>
        <v>1</v>
      </c>
      <c r="O80" s="61">
        <f t="shared" si="147"/>
        <v>1</v>
      </c>
      <c r="P80" s="61">
        <f t="shared" si="148"/>
        <v>50</v>
      </c>
      <c r="Q80" s="53" t="s">
        <v>1948</v>
      </c>
      <c r="R80" s="53" t="s">
        <v>1948</v>
      </c>
      <c r="S80" s="61">
        <f t="shared" si="149"/>
        <v>1</v>
      </c>
      <c r="T80" s="61">
        <f t="shared" si="150"/>
        <v>1</v>
      </c>
      <c r="U80" s="61">
        <f t="shared" si="151"/>
        <v>2</v>
      </c>
      <c r="V80" s="61">
        <f t="shared" si="152"/>
        <v>100</v>
      </c>
      <c r="W80" s="53" t="s">
        <v>1947</v>
      </c>
      <c r="X80" s="53" t="s">
        <v>1948</v>
      </c>
      <c r="Y80" s="53" t="s">
        <v>1947</v>
      </c>
      <c r="Z80" s="53" t="s">
        <v>1947</v>
      </c>
      <c r="AA80" s="53" t="s">
        <v>1947</v>
      </c>
      <c r="AB80" s="50">
        <f t="shared" si="153"/>
        <v>0</v>
      </c>
      <c r="AC80" s="50">
        <f t="shared" si="154"/>
        <v>1</v>
      </c>
      <c r="AD80" s="50">
        <f t="shared" si="155"/>
        <v>0</v>
      </c>
      <c r="AE80" s="50">
        <f t="shared" si="156"/>
        <v>0</v>
      </c>
      <c r="AF80" s="50">
        <f t="shared" si="157"/>
        <v>0</v>
      </c>
      <c r="AG80" s="50">
        <f t="shared" si="158"/>
        <v>1</v>
      </c>
      <c r="AH80" s="51">
        <f t="shared" si="159"/>
        <v>20</v>
      </c>
      <c r="AI80" s="51">
        <f t="shared" si="160"/>
        <v>170</v>
      </c>
      <c r="AJ80" s="53" t="s">
        <v>1948</v>
      </c>
      <c r="AK80" s="53" t="s">
        <v>1948</v>
      </c>
      <c r="AL80" s="53" t="s">
        <v>1948</v>
      </c>
      <c r="AM80" s="50">
        <f t="shared" si="161"/>
        <v>1</v>
      </c>
      <c r="AN80" s="50">
        <f t="shared" si="162"/>
        <v>1</v>
      </c>
      <c r="AO80" s="50">
        <f t="shared" si="163"/>
        <v>1</v>
      </c>
      <c r="AP80" s="50">
        <f t="shared" si="164"/>
        <v>3</v>
      </c>
      <c r="AQ80" s="50">
        <f t="shared" si="165"/>
        <v>100</v>
      </c>
      <c r="AR80" s="36" t="s">
        <v>2166</v>
      </c>
      <c r="AS80" s="36" t="s">
        <v>2166</v>
      </c>
      <c r="AT80" s="36" t="s">
        <v>2166</v>
      </c>
      <c r="AU80" s="37">
        <f t="shared" si="166"/>
        <v>1</v>
      </c>
      <c r="AV80" s="37">
        <f t="shared" si="167"/>
        <v>1</v>
      </c>
      <c r="AW80" s="37">
        <f t="shared" si="168"/>
        <v>1</v>
      </c>
      <c r="AX80" s="37">
        <f t="shared" si="169"/>
        <v>0</v>
      </c>
      <c r="AY80" s="37">
        <f t="shared" si="170"/>
        <v>0</v>
      </c>
      <c r="AZ80" s="36" t="s">
        <v>2167</v>
      </c>
      <c r="BA80" s="36" t="s">
        <v>2167</v>
      </c>
      <c r="BB80" s="37">
        <f t="shared" si="171"/>
        <v>1</v>
      </c>
      <c r="BC80" s="37">
        <f t="shared" si="172"/>
        <v>0.75</v>
      </c>
      <c r="BD80" s="37">
        <f t="shared" si="173"/>
        <v>0.75</v>
      </c>
      <c r="BE80" s="37">
        <f t="shared" si="174"/>
        <v>0</v>
      </c>
      <c r="BF80" s="36" t="s">
        <v>2167</v>
      </c>
      <c r="BG80" s="36" t="s">
        <v>2167</v>
      </c>
      <c r="BH80" s="37">
        <f t="shared" si="175"/>
        <v>1</v>
      </c>
      <c r="BI80" s="37">
        <f t="shared" si="176"/>
        <v>0.75</v>
      </c>
      <c r="BJ80" s="37">
        <f t="shared" si="177"/>
        <v>0.75</v>
      </c>
      <c r="BK80" s="37">
        <f t="shared" si="178"/>
        <v>0</v>
      </c>
      <c r="BL80" s="36" t="s">
        <v>2167</v>
      </c>
      <c r="BM80" s="36" t="s">
        <v>2167</v>
      </c>
      <c r="BN80" s="37">
        <f t="shared" si="179"/>
        <v>1</v>
      </c>
      <c r="BO80" s="37">
        <f t="shared" si="180"/>
        <v>0.75</v>
      </c>
      <c r="BP80" s="37">
        <f t="shared" si="181"/>
        <v>0.75</v>
      </c>
      <c r="BQ80" s="37">
        <f t="shared" si="182"/>
        <v>0</v>
      </c>
      <c r="BR80" s="37">
        <f t="shared" si="183"/>
        <v>0</v>
      </c>
      <c r="BS80" s="36" t="s">
        <v>2080</v>
      </c>
      <c r="BT80" s="36" t="s">
        <v>2080</v>
      </c>
      <c r="BU80" s="36" t="s">
        <v>2080</v>
      </c>
      <c r="BV80" s="36" t="s">
        <v>2080</v>
      </c>
      <c r="BW80" s="37">
        <f t="shared" si="184"/>
        <v>0</v>
      </c>
      <c r="BX80" s="37">
        <f t="shared" si="185"/>
        <v>0</v>
      </c>
      <c r="BY80" s="37">
        <f t="shared" si="186"/>
        <v>0</v>
      </c>
      <c r="BZ80" s="37">
        <f t="shared" si="187"/>
        <v>0</v>
      </c>
      <c r="CA80" s="37">
        <f t="shared" si="188"/>
        <v>0</v>
      </c>
      <c r="CB80" s="37">
        <f t="shared" si="189"/>
        <v>0</v>
      </c>
      <c r="CC80" s="37">
        <f t="shared" si="190"/>
        <v>0</v>
      </c>
      <c r="CD80" s="37">
        <f t="shared" si="191"/>
        <v>0</v>
      </c>
      <c r="CE80" s="36" t="s">
        <v>2067</v>
      </c>
      <c r="CF80" s="36" t="s">
        <v>2067</v>
      </c>
      <c r="CG80" s="36" t="s">
        <v>2067</v>
      </c>
      <c r="CH80" s="36" t="s">
        <v>2080</v>
      </c>
      <c r="CI80" s="37">
        <f t="shared" si="192"/>
        <v>0</v>
      </c>
      <c r="CJ80" s="37">
        <f t="shared" si="193"/>
        <v>0</v>
      </c>
      <c r="CK80" s="37">
        <f t="shared" si="194"/>
        <v>0</v>
      </c>
      <c r="CL80" s="37">
        <f t="shared" si="195"/>
        <v>0</v>
      </c>
      <c r="CM80" s="37">
        <f t="shared" si="196"/>
        <v>0</v>
      </c>
      <c r="CN80" s="37">
        <f t="shared" si="197"/>
        <v>0</v>
      </c>
      <c r="CO80" s="37">
        <f t="shared" si="198"/>
        <v>0</v>
      </c>
      <c r="CP80" s="37">
        <f t="shared" si="199"/>
        <v>0</v>
      </c>
      <c r="CQ80" s="37">
        <f t="shared" si="200"/>
        <v>5</v>
      </c>
      <c r="CR80" s="37">
        <f t="shared" si="201"/>
        <v>10</v>
      </c>
      <c r="CS80" s="37">
        <f t="shared" si="202"/>
        <v>2</v>
      </c>
      <c r="CT80" s="37">
        <f t="shared" si="203"/>
        <v>10</v>
      </c>
      <c r="CU80" s="37">
        <f t="shared" si="204"/>
        <v>0</v>
      </c>
      <c r="CV80" s="37">
        <f t="shared" si="205"/>
        <v>0</v>
      </c>
      <c r="CW80" s="37">
        <f t="shared" si="206"/>
        <v>0</v>
      </c>
      <c r="CX80" s="37">
        <f t="shared" si="207"/>
        <v>0</v>
      </c>
      <c r="CY80" s="37">
        <f t="shared" si="208"/>
        <v>0</v>
      </c>
      <c r="CZ80" s="37">
        <f t="shared" si="209"/>
        <v>27</v>
      </c>
    </row>
    <row r="81" spans="1:104" x14ac:dyDescent="0.25">
      <c r="A81" s="149" t="s">
        <v>2243</v>
      </c>
      <c r="B81" s="53" t="s">
        <v>1948</v>
      </c>
      <c r="C81" s="53" t="s">
        <v>1948</v>
      </c>
      <c r="D81" s="53" t="s">
        <v>1947</v>
      </c>
      <c r="E81" s="61">
        <f t="shared" si="140"/>
        <v>1</v>
      </c>
      <c r="F81" s="61">
        <f t="shared" si="141"/>
        <v>1</v>
      </c>
      <c r="G81" s="61">
        <f t="shared" si="142"/>
        <v>0</v>
      </c>
      <c r="H81" s="61">
        <f t="shared" si="143"/>
        <v>2</v>
      </c>
      <c r="I81" s="53" t="s">
        <v>2165</v>
      </c>
      <c r="J81" s="53" t="s">
        <v>2165</v>
      </c>
      <c r="K81" s="53" t="s">
        <v>1948</v>
      </c>
      <c r="L81" s="61">
        <f t="shared" si="144"/>
        <v>0</v>
      </c>
      <c r="M81" s="61">
        <f t="shared" si="145"/>
        <v>0</v>
      </c>
      <c r="N81" s="61">
        <f t="shared" si="146"/>
        <v>1</v>
      </c>
      <c r="O81" s="61">
        <f t="shared" si="147"/>
        <v>1</v>
      </c>
      <c r="P81" s="61">
        <f t="shared" si="148"/>
        <v>50</v>
      </c>
      <c r="Q81" s="53" t="s">
        <v>1948</v>
      </c>
      <c r="R81" s="53" t="s">
        <v>1948</v>
      </c>
      <c r="S81" s="61">
        <f t="shared" si="149"/>
        <v>1</v>
      </c>
      <c r="T81" s="61">
        <f t="shared" si="150"/>
        <v>1</v>
      </c>
      <c r="U81" s="61">
        <f t="shared" si="151"/>
        <v>2</v>
      </c>
      <c r="V81" s="61">
        <f t="shared" si="152"/>
        <v>100</v>
      </c>
      <c r="W81" s="53" t="s">
        <v>1947</v>
      </c>
      <c r="X81" s="53" t="s">
        <v>1948</v>
      </c>
      <c r="Y81" s="53" t="s">
        <v>1947</v>
      </c>
      <c r="Z81" s="53" t="s">
        <v>1947</v>
      </c>
      <c r="AA81" s="53" t="s">
        <v>1947</v>
      </c>
      <c r="AB81" s="50">
        <f t="shared" si="153"/>
        <v>0</v>
      </c>
      <c r="AC81" s="50">
        <f t="shared" si="154"/>
        <v>1</v>
      </c>
      <c r="AD81" s="50">
        <f t="shared" si="155"/>
        <v>0</v>
      </c>
      <c r="AE81" s="50">
        <f t="shared" si="156"/>
        <v>0</v>
      </c>
      <c r="AF81" s="50">
        <f t="shared" si="157"/>
        <v>0</v>
      </c>
      <c r="AG81" s="50">
        <f t="shared" si="158"/>
        <v>1</v>
      </c>
      <c r="AH81" s="51">
        <f t="shared" si="159"/>
        <v>20</v>
      </c>
      <c r="AI81" s="51">
        <f t="shared" si="160"/>
        <v>170</v>
      </c>
      <c r="AJ81" s="53" t="s">
        <v>1948</v>
      </c>
      <c r="AK81" s="53" t="s">
        <v>1948</v>
      </c>
      <c r="AL81" s="53" t="s">
        <v>1948</v>
      </c>
      <c r="AM81" s="50">
        <f t="shared" si="161"/>
        <v>1</v>
      </c>
      <c r="AN81" s="50">
        <f t="shared" si="162"/>
        <v>1</v>
      </c>
      <c r="AO81" s="50">
        <f t="shared" si="163"/>
        <v>1</v>
      </c>
      <c r="AP81" s="50">
        <f t="shared" si="164"/>
        <v>3</v>
      </c>
      <c r="AQ81" s="50">
        <f t="shared" si="165"/>
        <v>100</v>
      </c>
      <c r="AR81" s="36" t="s">
        <v>2166</v>
      </c>
      <c r="AS81" s="36" t="s">
        <v>2166</v>
      </c>
      <c r="AT81" s="36" t="s">
        <v>2166</v>
      </c>
      <c r="AU81" s="37">
        <f t="shared" si="166"/>
        <v>1</v>
      </c>
      <c r="AV81" s="37">
        <f t="shared" si="167"/>
        <v>1</v>
      </c>
      <c r="AW81" s="37">
        <f t="shared" si="168"/>
        <v>1</v>
      </c>
      <c r="AX81" s="37">
        <f t="shared" si="169"/>
        <v>0</v>
      </c>
      <c r="AY81" s="37">
        <f t="shared" si="170"/>
        <v>0</v>
      </c>
      <c r="AZ81" s="36" t="s">
        <v>2167</v>
      </c>
      <c r="BA81" s="36" t="s">
        <v>2167</v>
      </c>
      <c r="BB81" s="37">
        <f t="shared" si="171"/>
        <v>1</v>
      </c>
      <c r="BC81" s="37">
        <f t="shared" si="172"/>
        <v>0.75</v>
      </c>
      <c r="BD81" s="37">
        <f t="shared" si="173"/>
        <v>0.75</v>
      </c>
      <c r="BE81" s="37">
        <f t="shared" si="174"/>
        <v>0</v>
      </c>
      <c r="BF81" s="36" t="s">
        <v>2167</v>
      </c>
      <c r="BG81" s="36" t="s">
        <v>2167</v>
      </c>
      <c r="BH81" s="37">
        <f t="shared" si="175"/>
        <v>1</v>
      </c>
      <c r="BI81" s="37">
        <f t="shared" si="176"/>
        <v>0.75</v>
      </c>
      <c r="BJ81" s="37">
        <f t="shared" si="177"/>
        <v>0.75</v>
      </c>
      <c r="BK81" s="37">
        <f t="shared" si="178"/>
        <v>0</v>
      </c>
      <c r="BL81" s="36" t="s">
        <v>2167</v>
      </c>
      <c r="BM81" s="36" t="s">
        <v>2167</v>
      </c>
      <c r="BN81" s="37">
        <f t="shared" si="179"/>
        <v>1</v>
      </c>
      <c r="BO81" s="37">
        <f t="shared" si="180"/>
        <v>0.75</v>
      </c>
      <c r="BP81" s="37">
        <f t="shared" si="181"/>
        <v>0.75</v>
      </c>
      <c r="BQ81" s="37">
        <f t="shared" si="182"/>
        <v>0</v>
      </c>
      <c r="BR81" s="37">
        <f t="shared" si="183"/>
        <v>0</v>
      </c>
      <c r="BS81" s="36" t="s">
        <v>2080</v>
      </c>
      <c r="BT81" s="36" t="s">
        <v>2080</v>
      </c>
      <c r="BU81" s="36" t="s">
        <v>2080</v>
      </c>
      <c r="BV81" s="36" t="s">
        <v>2080</v>
      </c>
      <c r="BW81" s="37">
        <f t="shared" si="184"/>
        <v>0</v>
      </c>
      <c r="BX81" s="37">
        <f t="shared" si="185"/>
        <v>0</v>
      </c>
      <c r="BY81" s="37">
        <f t="shared" si="186"/>
        <v>0</v>
      </c>
      <c r="BZ81" s="37">
        <f t="shared" si="187"/>
        <v>0</v>
      </c>
      <c r="CA81" s="37">
        <f t="shared" si="188"/>
        <v>0</v>
      </c>
      <c r="CB81" s="37">
        <f t="shared" si="189"/>
        <v>0</v>
      </c>
      <c r="CC81" s="37">
        <f t="shared" si="190"/>
        <v>0</v>
      </c>
      <c r="CD81" s="37">
        <f t="shared" si="191"/>
        <v>0</v>
      </c>
      <c r="CE81" s="36" t="s">
        <v>2067</v>
      </c>
      <c r="CF81" s="36" t="s">
        <v>2067</v>
      </c>
      <c r="CG81" s="36" t="s">
        <v>2067</v>
      </c>
      <c r="CH81" s="36" t="s">
        <v>2080</v>
      </c>
      <c r="CI81" s="37">
        <f t="shared" si="192"/>
        <v>0</v>
      </c>
      <c r="CJ81" s="37">
        <f t="shared" si="193"/>
        <v>0</v>
      </c>
      <c r="CK81" s="37">
        <f t="shared" si="194"/>
        <v>0</v>
      </c>
      <c r="CL81" s="37">
        <f t="shared" si="195"/>
        <v>0</v>
      </c>
      <c r="CM81" s="37">
        <f t="shared" si="196"/>
        <v>0</v>
      </c>
      <c r="CN81" s="37">
        <f t="shared" si="197"/>
        <v>0</v>
      </c>
      <c r="CO81" s="37">
        <f t="shared" si="198"/>
        <v>0</v>
      </c>
      <c r="CP81" s="37">
        <f t="shared" si="199"/>
        <v>0</v>
      </c>
      <c r="CQ81" s="37">
        <f t="shared" si="200"/>
        <v>5</v>
      </c>
      <c r="CR81" s="37">
        <f t="shared" si="201"/>
        <v>10</v>
      </c>
      <c r="CS81" s="37">
        <f t="shared" si="202"/>
        <v>2</v>
      </c>
      <c r="CT81" s="37">
        <f t="shared" si="203"/>
        <v>10</v>
      </c>
      <c r="CU81" s="37">
        <f t="shared" si="204"/>
        <v>0</v>
      </c>
      <c r="CV81" s="37">
        <f t="shared" si="205"/>
        <v>0</v>
      </c>
      <c r="CW81" s="37">
        <f t="shared" si="206"/>
        <v>0</v>
      </c>
      <c r="CX81" s="37">
        <f t="shared" si="207"/>
        <v>0</v>
      </c>
      <c r="CY81" s="37">
        <f t="shared" si="208"/>
        <v>0</v>
      </c>
      <c r="CZ81" s="37">
        <f t="shared" si="209"/>
        <v>27</v>
      </c>
    </row>
    <row r="82" spans="1:104" x14ac:dyDescent="0.25">
      <c r="A82" s="149" t="s">
        <v>2244</v>
      </c>
      <c r="B82" s="53" t="s">
        <v>1948</v>
      </c>
      <c r="C82" s="53" t="s">
        <v>1948</v>
      </c>
      <c r="D82" s="53" t="s">
        <v>1947</v>
      </c>
      <c r="E82" s="61">
        <f t="shared" si="140"/>
        <v>1</v>
      </c>
      <c r="F82" s="61">
        <f t="shared" si="141"/>
        <v>1</v>
      </c>
      <c r="G82" s="61">
        <f t="shared" si="142"/>
        <v>0</v>
      </c>
      <c r="H82" s="61">
        <f t="shared" si="143"/>
        <v>2</v>
      </c>
      <c r="I82" s="53" t="s">
        <v>2165</v>
      </c>
      <c r="J82" s="53" t="s">
        <v>2165</v>
      </c>
      <c r="K82" s="53" t="s">
        <v>1948</v>
      </c>
      <c r="L82" s="61">
        <f t="shared" si="144"/>
        <v>0</v>
      </c>
      <c r="M82" s="61">
        <f t="shared" si="145"/>
        <v>0</v>
      </c>
      <c r="N82" s="61">
        <f t="shared" si="146"/>
        <v>1</v>
      </c>
      <c r="O82" s="61">
        <f t="shared" si="147"/>
        <v>1</v>
      </c>
      <c r="P82" s="61">
        <f t="shared" si="148"/>
        <v>50</v>
      </c>
      <c r="Q82" s="53" t="s">
        <v>1948</v>
      </c>
      <c r="R82" s="53" t="s">
        <v>1948</v>
      </c>
      <c r="S82" s="61">
        <f t="shared" si="149"/>
        <v>1</v>
      </c>
      <c r="T82" s="61">
        <f t="shared" si="150"/>
        <v>1</v>
      </c>
      <c r="U82" s="61">
        <f t="shared" si="151"/>
        <v>2</v>
      </c>
      <c r="V82" s="61">
        <f t="shared" si="152"/>
        <v>100</v>
      </c>
      <c r="W82" s="53" t="s">
        <v>1948</v>
      </c>
      <c r="X82" s="53" t="s">
        <v>1947</v>
      </c>
      <c r="Y82" s="53" t="s">
        <v>1947</v>
      </c>
      <c r="Z82" s="53" t="s">
        <v>1947</v>
      </c>
      <c r="AA82" s="53" t="s">
        <v>1947</v>
      </c>
      <c r="AB82" s="50">
        <f t="shared" si="153"/>
        <v>1</v>
      </c>
      <c r="AC82" s="50">
        <f t="shared" si="154"/>
        <v>0</v>
      </c>
      <c r="AD82" s="50">
        <f t="shared" si="155"/>
        <v>0</v>
      </c>
      <c r="AE82" s="50">
        <f t="shared" si="156"/>
        <v>0</v>
      </c>
      <c r="AF82" s="50">
        <f t="shared" si="157"/>
        <v>0</v>
      </c>
      <c r="AG82" s="50">
        <f t="shared" si="158"/>
        <v>1</v>
      </c>
      <c r="AH82" s="51">
        <f t="shared" si="159"/>
        <v>20</v>
      </c>
      <c r="AI82" s="51">
        <f t="shared" si="160"/>
        <v>170</v>
      </c>
      <c r="AJ82" s="53" t="s">
        <v>1948</v>
      </c>
      <c r="AK82" s="53" t="s">
        <v>1948</v>
      </c>
      <c r="AL82" s="53" t="s">
        <v>1948</v>
      </c>
      <c r="AM82" s="50">
        <f t="shared" si="161"/>
        <v>1</v>
      </c>
      <c r="AN82" s="50">
        <f t="shared" si="162"/>
        <v>1</v>
      </c>
      <c r="AO82" s="50">
        <f t="shared" si="163"/>
        <v>1</v>
      </c>
      <c r="AP82" s="50">
        <f t="shared" si="164"/>
        <v>3</v>
      </c>
      <c r="AQ82" s="50">
        <f t="shared" si="165"/>
        <v>100</v>
      </c>
      <c r="AR82" s="36" t="s">
        <v>2166</v>
      </c>
      <c r="AS82" s="36" t="s">
        <v>2166</v>
      </c>
      <c r="AT82" s="36" t="s">
        <v>2166</v>
      </c>
      <c r="AU82" s="37">
        <f t="shared" si="166"/>
        <v>1</v>
      </c>
      <c r="AV82" s="37">
        <f t="shared" si="167"/>
        <v>1</v>
      </c>
      <c r="AW82" s="37">
        <f t="shared" si="168"/>
        <v>1</v>
      </c>
      <c r="AX82" s="37">
        <f t="shared" si="169"/>
        <v>0</v>
      </c>
      <c r="AY82" s="37">
        <f t="shared" si="170"/>
        <v>0</v>
      </c>
      <c r="AZ82" s="36" t="s">
        <v>2167</v>
      </c>
      <c r="BA82" s="36" t="s">
        <v>2167</v>
      </c>
      <c r="BB82" s="37">
        <f t="shared" si="171"/>
        <v>1</v>
      </c>
      <c r="BC82" s="37">
        <f t="shared" si="172"/>
        <v>0.75</v>
      </c>
      <c r="BD82" s="37">
        <f t="shared" si="173"/>
        <v>0.75</v>
      </c>
      <c r="BE82" s="37">
        <f t="shared" si="174"/>
        <v>0</v>
      </c>
      <c r="BF82" s="36" t="s">
        <v>2167</v>
      </c>
      <c r="BG82" s="36" t="s">
        <v>2167</v>
      </c>
      <c r="BH82" s="37">
        <f t="shared" si="175"/>
        <v>1</v>
      </c>
      <c r="BI82" s="37">
        <f t="shared" si="176"/>
        <v>0.75</v>
      </c>
      <c r="BJ82" s="37">
        <f t="shared" si="177"/>
        <v>0.75</v>
      </c>
      <c r="BK82" s="37">
        <f t="shared" si="178"/>
        <v>0</v>
      </c>
      <c r="BL82" s="36" t="s">
        <v>2167</v>
      </c>
      <c r="BM82" s="36" t="s">
        <v>2167</v>
      </c>
      <c r="BN82" s="37">
        <f t="shared" si="179"/>
        <v>1</v>
      </c>
      <c r="BO82" s="37">
        <f t="shared" si="180"/>
        <v>0.75</v>
      </c>
      <c r="BP82" s="37">
        <f t="shared" si="181"/>
        <v>0.75</v>
      </c>
      <c r="BQ82" s="37">
        <f t="shared" si="182"/>
        <v>0</v>
      </c>
      <c r="BR82" s="37">
        <f t="shared" si="183"/>
        <v>0</v>
      </c>
      <c r="BS82" s="36" t="s">
        <v>2080</v>
      </c>
      <c r="BT82" s="36" t="s">
        <v>2080</v>
      </c>
      <c r="BU82" s="36" t="s">
        <v>2080</v>
      </c>
      <c r="BV82" s="36" t="s">
        <v>2080</v>
      </c>
      <c r="BW82" s="37">
        <f t="shared" si="184"/>
        <v>0</v>
      </c>
      <c r="BX82" s="37">
        <f t="shared" si="185"/>
        <v>0</v>
      </c>
      <c r="BY82" s="37">
        <f t="shared" si="186"/>
        <v>0</v>
      </c>
      <c r="BZ82" s="37">
        <f t="shared" si="187"/>
        <v>0</v>
      </c>
      <c r="CA82" s="37">
        <f t="shared" si="188"/>
        <v>0</v>
      </c>
      <c r="CB82" s="37">
        <f t="shared" si="189"/>
        <v>0</v>
      </c>
      <c r="CC82" s="37">
        <f t="shared" si="190"/>
        <v>0</v>
      </c>
      <c r="CD82" s="37">
        <f t="shared" si="191"/>
        <v>0</v>
      </c>
      <c r="CE82" s="36" t="s">
        <v>2067</v>
      </c>
      <c r="CF82" s="36" t="s">
        <v>2067</v>
      </c>
      <c r="CG82" s="36" t="s">
        <v>2067</v>
      </c>
      <c r="CH82" s="36" t="s">
        <v>2080</v>
      </c>
      <c r="CI82" s="37">
        <f t="shared" si="192"/>
        <v>0</v>
      </c>
      <c r="CJ82" s="37">
        <f t="shared" si="193"/>
        <v>0</v>
      </c>
      <c r="CK82" s="37">
        <f t="shared" si="194"/>
        <v>0</v>
      </c>
      <c r="CL82" s="37">
        <f t="shared" si="195"/>
        <v>0</v>
      </c>
      <c r="CM82" s="37">
        <f t="shared" si="196"/>
        <v>0</v>
      </c>
      <c r="CN82" s="37">
        <f t="shared" si="197"/>
        <v>0</v>
      </c>
      <c r="CO82" s="37">
        <f t="shared" si="198"/>
        <v>0</v>
      </c>
      <c r="CP82" s="37">
        <f t="shared" si="199"/>
        <v>0</v>
      </c>
      <c r="CQ82" s="37">
        <f t="shared" si="200"/>
        <v>5</v>
      </c>
      <c r="CR82" s="37">
        <f t="shared" si="201"/>
        <v>10</v>
      </c>
      <c r="CS82" s="37">
        <f t="shared" si="202"/>
        <v>2</v>
      </c>
      <c r="CT82" s="37">
        <f t="shared" si="203"/>
        <v>10</v>
      </c>
      <c r="CU82" s="37">
        <f t="shared" si="204"/>
        <v>0</v>
      </c>
      <c r="CV82" s="37">
        <f t="shared" si="205"/>
        <v>0</v>
      </c>
      <c r="CW82" s="37">
        <f t="shared" si="206"/>
        <v>0</v>
      </c>
      <c r="CX82" s="37">
        <f t="shared" si="207"/>
        <v>0</v>
      </c>
      <c r="CY82" s="37">
        <f t="shared" si="208"/>
        <v>0</v>
      </c>
      <c r="CZ82" s="37">
        <f t="shared" si="209"/>
        <v>27</v>
      </c>
    </row>
    <row r="83" spans="1:104" x14ac:dyDescent="0.25">
      <c r="A83" s="149" t="s">
        <v>2245</v>
      </c>
      <c r="B83" s="53" t="s">
        <v>1948</v>
      </c>
      <c r="C83" s="53" t="s">
        <v>1948</v>
      </c>
      <c r="D83" s="53" t="s">
        <v>1947</v>
      </c>
      <c r="E83" s="61">
        <f t="shared" si="140"/>
        <v>1</v>
      </c>
      <c r="F83" s="61">
        <f t="shared" si="141"/>
        <v>1</v>
      </c>
      <c r="G83" s="61">
        <f t="shared" si="142"/>
        <v>0</v>
      </c>
      <c r="H83" s="61">
        <f t="shared" si="143"/>
        <v>2</v>
      </c>
      <c r="I83" s="53" t="s">
        <v>2165</v>
      </c>
      <c r="J83" s="53" t="s">
        <v>2165</v>
      </c>
      <c r="K83" s="53" t="s">
        <v>1948</v>
      </c>
      <c r="L83" s="61">
        <f t="shared" si="144"/>
        <v>0</v>
      </c>
      <c r="M83" s="61">
        <f t="shared" si="145"/>
        <v>0</v>
      </c>
      <c r="N83" s="61">
        <f t="shared" si="146"/>
        <v>1</v>
      </c>
      <c r="O83" s="61">
        <f t="shared" si="147"/>
        <v>1</v>
      </c>
      <c r="P83" s="61">
        <f t="shared" si="148"/>
        <v>50</v>
      </c>
      <c r="Q83" s="53" t="s">
        <v>1948</v>
      </c>
      <c r="R83" s="53" t="s">
        <v>1948</v>
      </c>
      <c r="S83" s="61">
        <f t="shared" si="149"/>
        <v>1</v>
      </c>
      <c r="T83" s="61">
        <f t="shared" si="150"/>
        <v>1</v>
      </c>
      <c r="U83" s="61">
        <f t="shared" si="151"/>
        <v>2</v>
      </c>
      <c r="V83" s="61">
        <f t="shared" si="152"/>
        <v>100</v>
      </c>
      <c r="W83" s="53" t="s">
        <v>1948</v>
      </c>
      <c r="X83" s="53" t="s">
        <v>1947</v>
      </c>
      <c r="Y83" s="53" t="s">
        <v>1947</v>
      </c>
      <c r="Z83" s="53" t="s">
        <v>1947</v>
      </c>
      <c r="AA83" s="53" t="s">
        <v>1948</v>
      </c>
      <c r="AB83" s="50">
        <f t="shared" si="153"/>
        <v>1</v>
      </c>
      <c r="AC83" s="50">
        <f t="shared" si="154"/>
        <v>0</v>
      </c>
      <c r="AD83" s="50">
        <f t="shared" si="155"/>
        <v>0</v>
      </c>
      <c r="AE83" s="50">
        <f t="shared" si="156"/>
        <v>0</v>
      </c>
      <c r="AF83" s="50">
        <f t="shared" si="157"/>
        <v>1</v>
      </c>
      <c r="AG83" s="50">
        <f t="shared" si="158"/>
        <v>2</v>
      </c>
      <c r="AH83" s="51">
        <f t="shared" si="159"/>
        <v>40</v>
      </c>
      <c r="AI83" s="51">
        <f t="shared" si="160"/>
        <v>190</v>
      </c>
      <c r="AJ83" s="53" t="s">
        <v>1948</v>
      </c>
      <c r="AK83" s="53" t="s">
        <v>1948</v>
      </c>
      <c r="AL83" s="53" t="s">
        <v>1948</v>
      </c>
      <c r="AM83" s="50">
        <f t="shared" si="161"/>
        <v>1</v>
      </c>
      <c r="AN83" s="50">
        <f t="shared" si="162"/>
        <v>1</v>
      </c>
      <c r="AO83" s="50">
        <f t="shared" si="163"/>
        <v>1</v>
      </c>
      <c r="AP83" s="50">
        <f t="shared" si="164"/>
        <v>3</v>
      </c>
      <c r="AQ83" s="50">
        <f t="shared" si="165"/>
        <v>100</v>
      </c>
      <c r="AR83" s="36" t="s">
        <v>2166</v>
      </c>
      <c r="AS83" s="36" t="s">
        <v>2166</v>
      </c>
      <c r="AT83" s="36" t="s">
        <v>2166</v>
      </c>
      <c r="AU83" s="37">
        <f t="shared" si="166"/>
        <v>1</v>
      </c>
      <c r="AV83" s="37">
        <f t="shared" si="167"/>
        <v>1</v>
      </c>
      <c r="AW83" s="37">
        <f t="shared" si="168"/>
        <v>1</v>
      </c>
      <c r="AX83" s="37">
        <f t="shared" si="169"/>
        <v>0</v>
      </c>
      <c r="AY83" s="37">
        <f t="shared" si="170"/>
        <v>0</v>
      </c>
      <c r="AZ83" s="36" t="s">
        <v>2167</v>
      </c>
      <c r="BA83" s="36" t="s">
        <v>2167</v>
      </c>
      <c r="BB83" s="37">
        <f t="shared" si="171"/>
        <v>1</v>
      </c>
      <c r="BC83" s="37">
        <f t="shared" si="172"/>
        <v>0.75</v>
      </c>
      <c r="BD83" s="37">
        <f t="shared" si="173"/>
        <v>0.75</v>
      </c>
      <c r="BE83" s="37">
        <f t="shared" si="174"/>
        <v>0</v>
      </c>
      <c r="BF83" s="36" t="s">
        <v>2167</v>
      </c>
      <c r="BG83" s="36" t="s">
        <v>2167</v>
      </c>
      <c r="BH83" s="37">
        <f t="shared" si="175"/>
        <v>1</v>
      </c>
      <c r="BI83" s="37">
        <f t="shared" si="176"/>
        <v>0.75</v>
      </c>
      <c r="BJ83" s="37">
        <f t="shared" si="177"/>
        <v>0.75</v>
      </c>
      <c r="BK83" s="37">
        <f t="shared" si="178"/>
        <v>0</v>
      </c>
      <c r="BL83" s="36" t="s">
        <v>2167</v>
      </c>
      <c r="BM83" s="36" t="s">
        <v>2167</v>
      </c>
      <c r="BN83" s="37">
        <f t="shared" si="179"/>
        <v>1</v>
      </c>
      <c r="BO83" s="37">
        <f t="shared" si="180"/>
        <v>0.75</v>
      </c>
      <c r="BP83" s="37">
        <f t="shared" si="181"/>
        <v>0.75</v>
      </c>
      <c r="BQ83" s="37">
        <f t="shared" si="182"/>
        <v>0</v>
      </c>
      <c r="BR83" s="37">
        <f t="shared" si="183"/>
        <v>0</v>
      </c>
      <c r="BS83" s="36" t="s">
        <v>2080</v>
      </c>
      <c r="BT83" s="36" t="s">
        <v>2080</v>
      </c>
      <c r="BU83" s="36" t="s">
        <v>2080</v>
      </c>
      <c r="BV83" s="36" t="s">
        <v>2080</v>
      </c>
      <c r="BW83" s="37">
        <f t="shared" si="184"/>
        <v>0</v>
      </c>
      <c r="BX83" s="37">
        <f t="shared" si="185"/>
        <v>0</v>
      </c>
      <c r="BY83" s="37">
        <f t="shared" si="186"/>
        <v>0</v>
      </c>
      <c r="BZ83" s="37">
        <f t="shared" si="187"/>
        <v>0</v>
      </c>
      <c r="CA83" s="37">
        <f t="shared" si="188"/>
        <v>0</v>
      </c>
      <c r="CB83" s="37">
        <f t="shared" si="189"/>
        <v>0</v>
      </c>
      <c r="CC83" s="37">
        <f t="shared" si="190"/>
        <v>0</v>
      </c>
      <c r="CD83" s="37">
        <f t="shared" si="191"/>
        <v>0</v>
      </c>
      <c r="CE83" s="36" t="s">
        <v>2067</v>
      </c>
      <c r="CF83" s="36" t="s">
        <v>2067</v>
      </c>
      <c r="CG83" s="36" t="s">
        <v>2067</v>
      </c>
      <c r="CH83" s="36" t="s">
        <v>2080</v>
      </c>
      <c r="CI83" s="37">
        <f t="shared" si="192"/>
        <v>0</v>
      </c>
      <c r="CJ83" s="37">
        <f t="shared" si="193"/>
        <v>0</v>
      </c>
      <c r="CK83" s="37">
        <f t="shared" si="194"/>
        <v>0</v>
      </c>
      <c r="CL83" s="37">
        <f t="shared" si="195"/>
        <v>0</v>
      </c>
      <c r="CM83" s="37">
        <f t="shared" si="196"/>
        <v>0</v>
      </c>
      <c r="CN83" s="37">
        <f t="shared" si="197"/>
        <v>0</v>
      </c>
      <c r="CO83" s="37">
        <f t="shared" si="198"/>
        <v>0</v>
      </c>
      <c r="CP83" s="37">
        <f t="shared" si="199"/>
        <v>0</v>
      </c>
      <c r="CQ83" s="37">
        <f t="shared" si="200"/>
        <v>5</v>
      </c>
      <c r="CR83" s="37">
        <f t="shared" si="201"/>
        <v>10</v>
      </c>
      <c r="CS83" s="37">
        <f t="shared" si="202"/>
        <v>4</v>
      </c>
      <c r="CT83" s="37">
        <f t="shared" si="203"/>
        <v>10</v>
      </c>
      <c r="CU83" s="37">
        <f t="shared" si="204"/>
        <v>0</v>
      </c>
      <c r="CV83" s="37">
        <f t="shared" si="205"/>
        <v>0</v>
      </c>
      <c r="CW83" s="37">
        <f t="shared" si="206"/>
        <v>0</v>
      </c>
      <c r="CX83" s="37">
        <f t="shared" si="207"/>
        <v>0</v>
      </c>
      <c r="CY83" s="37">
        <f t="shared" si="208"/>
        <v>0</v>
      </c>
      <c r="CZ83" s="37">
        <f t="shared" si="209"/>
        <v>29</v>
      </c>
    </row>
    <row r="84" spans="1:104" x14ac:dyDescent="0.25">
      <c r="A84" s="149" t="s">
        <v>2246</v>
      </c>
      <c r="B84" s="53" t="s">
        <v>1948</v>
      </c>
      <c r="C84" s="53" t="s">
        <v>1948</v>
      </c>
      <c r="D84" s="53" t="s">
        <v>1947</v>
      </c>
      <c r="E84" s="61">
        <f t="shared" si="140"/>
        <v>1</v>
      </c>
      <c r="F84" s="61">
        <f t="shared" si="141"/>
        <v>1</v>
      </c>
      <c r="G84" s="61">
        <f t="shared" si="142"/>
        <v>0</v>
      </c>
      <c r="H84" s="61">
        <f t="shared" si="143"/>
        <v>2</v>
      </c>
      <c r="I84" s="53" t="s">
        <v>2165</v>
      </c>
      <c r="J84" s="53" t="s">
        <v>2165</v>
      </c>
      <c r="K84" s="53" t="s">
        <v>1948</v>
      </c>
      <c r="L84" s="61">
        <f t="shared" si="144"/>
        <v>0</v>
      </c>
      <c r="M84" s="61">
        <f t="shared" si="145"/>
        <v>0</v>
      </c>
      <c r="N84" s="61">
        <f t="shared" si="146"/>
        <v>1</v>
      </c>
      <c r="O84" s="61">
        <f t="shared" si="147"/>
        <v>1</v>
      </c>
      <c r="P84" s="61">
        <f t="shared" si="148"/>
        <v>50</v>
      </c>
      <c r="Q84" s="53" t="s">
        <v>1948</v>
      </c>
      <c r="R84" s="53" t="s">
        <v>1948</v>
      </c>
      <c r="S84" s="61">
        <f t="shared" si="149"/>
        <v>1</v>
      </c>
      <c r="T84" s="61">
        <f t="shared" si="150"/>
        <v>1</v>
      </c>
      <c r="U84" s="61">
        <f t="shared" si="151"/>
        <v>2</v>
      </c>
      <c r="V84" s="61">
        <f t="shared" si="152"/>
        <v>100</v>
      </c>
      <c r="W84" s="53" t="s">
        <v>1948</v>
      </c>
      <c r="X84" s="53" t="s">
        <v>1947</v>
      </c>
      <c r="Y84" s="53" t="s">
        <v>1947</v>
      </c>
      <c r="Z84" s="53" t="s">
        <v>1948</v>
      </c>
      <c r="AA84" s="53" t="s">
        <v>1948</v>
      </c>
      <c r="AB84" s="50">
        <f t="shared" si="153"/>
        <v>1</v>
      </c>
      <c r="AC84" s="50">
        <f t="shared" si="154"/>
        <v>0</v>
      </c>
      <c r="AD84" s="50">
        <f t="shared" si="155"/>
        <v>0</v>
      </c>
      <c r="AE84" s="50">
        <f t="shared" si="156"/>
        <v>1</v>
      </c>
      <c r="AF84" s="50">
        <f t="shared" si="157"/>
        <v>1</v>
      </c>
      <c r="AG84" s="50">
        <f t="shared" si="158"/>
        <v>3</v>
      </c>
      <c r="AH84" s="51">
        <f t="shared" si="159"/>
        <v>60</v>
      </c>
      <c r="AI84" s="51">
        <f t="shared" si="160"/>
        <v>210</v>
      </c>
      <c r="AJ84" s="53" t="s">
        <v>1948</v>
      </c>
      <c r="AK84" s="53" t="s">
        <v>1948</v>
      </c>
      <c r="AL84" s="53" t="s">
        <v>1948</v>
      </c>
      <c r="AM84" s="50">
        <f t="shared" si="161"/>
        <v>1</v>
      </c>
      <c r="AN84" s="50">
        <f t="shared" si="162"/>
        <v>1</v>
      </c>
      <c r="AO84" s="50">
        <f t="shared" si="163"/>
        <v>1</v>
      </c>
      <c r="AP84" s="50">
        <f t="shared" si="164"/>
        <v>3</v>
      </c>
      <c r="AQ84" s="50">
        <f t="shared" si="165"/>
        <v>100</v>
      </c>
      <c r="AR84" s="36" t="s">
        <v>2166</v>
      </c>
      <c r="AS84" s="36" t="s">
        <v>2166</v>
      </c>
      <c r="AT84" s="36" t="s">
        <v>2166</v>
      </c>
      <c r="AU84" s="37">
        <f t="shared" si="166"/>
        <v>1</v>
      </c>
      <c r="AV84" s="37">
        <f t="shared" si="167"/>
        <v>1</v>
      </c>
      <c r="AW84" s="37">
        <f t="shared" si="168"/>
        <v>1</v>
      </c>
      <c r="AX84" s="37">
        <f t="shared" si="169"/>
        <v>0</v>
      </c>
      <c r="AY84" s="37">
        <f t="shared" si="170"/>
        <v>0</v>
      </c>
      <c r="AZ84" s="36" t="s">
        <v>2167</v>
      </c>
      <c r="BA84" s="36" t="s">
        <v>2167</v>
      </c>
      <c r="BB84" s="37">
        <f t="shared" si="171"/>
        <v>1</v>
      </c>
      <c r="BC84" s="37">
        <f t="shared" si="172"/>
        <v>0.75</v>
      </c>
      <c r="BD84" s="37">
        <f t="shared" si="173"/>
        <v>0.75</v>
      </c>
      <c r="BE84" s="37">
        <f t="shared" si="174"/>
        <v>0</v>
      </c>
      <c r="BF84" s="36" t="s">
        <v>2167</v>
      </c>
      <c r="BG84" s="36" t="s">
        <v>2167</v>
      </c>
      <c r="BH84" s="37">
        <f t="shared" si="175"/>
        <v>1</v>
      </c>
      <c r="BI84" s="37">
        <f t="shared" si="176"/>
        <v>0.75</v>
      </c>
      <c r="BJ84" s="37">
        <f t="shared" si="177"/>
        <v>0.75</v>
      </c>
      <c r="BK84" s="37">
        <f t="shared" si="178"/>
        <v>0</v>
      </c>
      <c r="BL84" s="36" t="s">
        <v>2167</v>
      </c>
      <c r="BM84" s="36" t="s">
        <v>2167</v>
      </c>
      <c r="BN84" s="37">
        <f t="shared" si="179"/>
        <v>1</v>
      </c>
      <c r="BO84" s="37">
        <f t="shared" si="180"/>
        <v>0.75</v>
      </c>
      <c r="BP84" s="37">
        <f t="shared" si="181"/>
        <v>0.75</v>
      </c>
      <c r="BQ84" s="37">
        <f t="shared" si="182"/>
        <v>0</v>
      </c>
      <c r="BR84" s="37">
        <f t="shared" si="183"/>
        <v>0</v>
      </c>
      <c r="BS84" s="36" t="s">
        <v>2080</v>
      </c>
      <c r="BT84" s="36" t="s">
        <v>2080</v>
      </c>
      <c r="BU84" s="36" t="s">
        <v>2080</v>
      </c>
      <c r="BV84" s="36" t="s">
        <v>2080</v>
      </c>
      <c r="BW84" s="37">
        <f t="shared" si="184"/>
        <v>0</v>
      </c>
      <c r="BX84" s="37">
        <f t="shared" si="185"/>
        <v>0</v>
      </c>
      <c r="BY84" s="37">
        <f t="shared" si="186"/>
        <v>0</v>
      </c>
      <c r="BZ84" s="37">
        <f t="shared" si="187"/>
        <v>0</v>
      </c>
      <c r="CA84" s="37">
        <f t="shared" si="188"/>
        <v>0</v>
      </c>
      <c r="CB84" s="37">
        <f t="shared" si="189"/>
        <v>0</v>
      </c>
      <c r="CC84" s="37">
        <f t="shared" si="190"/>
        <v>0</v>
      </c>
      <c r="CD84" s="37">
        <f t="shared" si="191"/>
        <v>0</v>
      </c>
      <c r="CE84" s="36" t="s">
        <v>2067</v>
      </c>
      <c r="CF84" s="36" t="s">
        <v>2067</v>
      </c>
      <c r="CG84" s="36" t="s">
        <v>2067</v>
      </c>
      <c r="CH84" s="36" t="s">
        <v>2080</v>
      </c>
      <c r="CI84" s="37">
        <f t="shared" si="192"/>
        <v>0</v>
      </c>
      <c r="CJ84" s="37">
        <f t="shared" si="193"/>
        <v>0</v>
      </c>
      <c r="CK84" s="37">
        <f t="shared" si="194"/>
        <v>0</v>
      </c>
      <c r="CL84" s="37">
        <f t="shared" si="195"/>
        <v>0</v>
      </c>
      <c r="CM84" s="37">
        <f t="shared" si="196"/>
        <v>0</v>
      </c>
      <c r="CN84" s="37">
        <f t="shared" si="197"/>
        <v>0</v>
      </c>
      <c r="CO84" s="37">
        <f t="shared" si="198"/>
        <v>0</v>
      </c>
      <c r="CP84" s="37">
        <f t="shared" si="199"/>
        <v>0</v>
      </c>
      <c r="CQ84" s="37">
        <f t="shared" si="200"/>
        <v>5</v>
      </c>
      <c r="CR84" s="37">
        <f t="shared" si="201"/>
        <v>10</v>
      </c>
      <c r="CS84" s="37">
        <f t="shared" si="202"/>
        <v>6</v>
      </c>
      <c r="CT84" s="37">
        <f t="shared" si="203"/>
        <v>10</v>
      </c>
      <c r="CU84" s="37">
        <f t="shared" si="204"/>
        <v>0</v>
      </c>
      <c r="CV84" s="37">
        <f t="shared" si="205"/>
        <v>0</v>
      </c>
      <c r="CW84" s="37">
        <f t="shared" si="206"/>
        <v>0</v>
      </c>
      <c r="CX84" s="37">
        <f t="shared" si="207"/>
        <v>0</v>
      </c>
      <c r="CY84" s="37">
        <f t="shared" si="208"/>
        <v>0</v>
      </c>
      <c r="CZ84" s="37">
        <f t="shared" si="209"/>
        <v>31</v>
      </c>
    </row>
    <row r="85" spans="1:104" x14ac:dyDescent="0.25">
      <c r="A85" s="149" t="s">
        <v>2247</v>
      </c>
      <c r="B85" s="53" t="s">
        <v>1948</v>
      </c>
      <c r="C85" s="53" t="s">
        <v>1948</v>
      </c>
      <c r="D85" s="53" t="s">
        <v>1947</v>
      </c>
      <c r="E85" s="61">
        <f t="shared" si="140"/>
        <v>1</v>
      </c>
      <c r="F85" s="61">
        <f t="shared" si="141"/>
        <v>1</v>
      </c>
      <c r="G85" s="61">
        <f t="shared" si="142"/>
        <v>0</v>
      </c>
      <c r="H85" s="61">
        <f t="shared" si="143"/>
        <v>2</v>
      </c>
      <c r="I85" s="53" t="s">
        <v>2165</v>
      </c>
      <c r="J85" s="53" t="s">
        <v>2165</v>
      </c>
      <c r="K85" s="53" t="s">
        <v>1948</v>
      </c>
      <c r="L85" s="61">
        <f t="shared" si="144"/>
        <v>0</v>
      </c>
      <c r="M85" s="61">
        <f t="shared" si="145"/>
        <v>0</v>
      </c>
      <c r="N85" s="61">
        <f t="shared" si="146"/>
        <v>1</v>
      </c>
      <c r="O85" s="61">
        <f t="shared" si="147"/>
        <v>1</v>
      </c>
      <c r="P85" s="61">
        <f t="shared" si="148"/>
        <v>50</v>
      </c>
      <c r="Q85" s="53" t="s">
        <v>1948</v>
      </c>
      <c r="R85" s="53" t="s">
        <v>1948</v>
      </c>
      <c r="S85" s="61">
        <f t="shared" si="149"/>
        <v>1</v>
      </c>
      <c r="T85" s="61">
        <f t="shared" si="150"/>
        <v>1</v>
      </c>
      <c r="U85" s="61">
        <f t="shared" si="151"/>
        <v>2</v>
      </c>
      <c r="V85" s="61">
        <f t="shared" si="152"/>
        <v>100</v>
      </c>
      <c r="W85" s="53" t="s">
        <v>1948</v>
      </c>
      <c r="X85" s="53" t="s">
        <v>1947</v>
      </c>
      <c r="Y85" s="53" t="s">
        <v>1947</v>
      </c>
      <c r="Z85" s="53" t="s">
        <v>1948</v>
      </c>
      <c r="AA85" s="53" t="s">
        <v>1948</v>
      </c>
      <c r="AB85" s="50">
        <f t="shared" si="153"/>
        <v>1</v>
      </c>
      <c r="AC85" s="50">
        <f t="shared" si="154"/>
        <v>0</v>
      </c>
      <c r="AD85" s="50">
        <f t="shared" si="155"/>
        <v>0</v>
      </c>
      <c r="AE85" s="50">
        <f t="shared" si="156"/>
        <v>1</v>
      </c>
      <c r="AF85" s="50">
        <f t="shared" si="157"/>
        <v>1</v>
      </c>
      <c r="AG85" s="50">
        <f t="shared" si="158"/>
        <v>3</v>
      </c>
      <c r="AH85" s="51">
        <f t="shared" si="159"/>
        <v>60</v>
      </c>
      <c r="AI85" s="51">
        <f t="shared" si="160"/>
        <v>210</v>
      </c>
      <c r="AJ85" s="53" t="s">
        <v>1948</v>
      </c>
      <c r="AK85" s="53" t="s">
        <v>1948</v>
      </c>
      <c r="AL85" s="53" t="s">
        <v>1948</v>
      </c>
      <c r="AM85" s="50">
        <f t="shared" si="161"/>
        <v>1</v>
      </c>
      <c r="AN85" s="50">
        <f t="shared" si="162"/>
        <v>1</v>
      </c>
      <c r="AO85" s="50">
        <f t="shared" si="163"/>
        <v>1</v>
      </c>
      <c r="AP85" s="50">
        <f t="shared" si="164"/>
        <v>3</v>
      </c>
      <c r="AQ85" s="50">
        <f t="shared" si="165"/>
        <v>100</v>
      </c>
      <c r="AR85" s="36" t="s">
        <v>2166</v>
      </c>
      <c r="AS85" s="36" t="s">
        <v>2166</v>
      </c>
      <c r="AT85" s="36" t="s">
        <v>2166</v>
      </c>
      <c r="AU85" s="37">
        <f t="shared" si="166"/>
        <v>1</v>
      </c>
      <c r="AV85" s="37">
        <f t="shared" si="167"/>
        <v>1</v>
      </c>
      <c r="AW85" s="37">
        <f t="shared" si="168"/>
        <v>1</v>
      </c>
      <c r="AX85" s="37">
        <f t="shared" si="169"/>
        <v>0</v>
      </c>
      <c r="AY85" s="37">
        <f t="shared" si="170"/>
        <v>0</v>
      </c>
      <c r="AZ85" s="36" t="s">
        <v>2167</v>
      </c>
      <c r="BA85" s="36" t="s">
        <v>2167</v>
      </c>
      <c r="BB85" s="37">
        <f t="shared" si="171"/>
        <v>1</v>
      </c>
      <c r="BC85" s="37">
        <f t="shared" si="172"/>
        <v>0.75</v>
      </c>
      <c r="BD85" s="37">
        <f t="shared" si="173"/>
        <v>0.75</v>
      </c>
      <c r="BE85" s="37">
        <f t="shared" si="174"/>
        <v>0</v>
      </c>
      <c r="BF85" s="36" t="s">
        <v>2167</v>
      </c>
      <c r="BG85" s="36" t="s">
        <v>2167</v>
      </c>
      <c r="BH85" s="37">
        <f t="shared" si="175"/>
        <v>1</v>
      </c>
      <c r="BI85" s="37">
        <f t="shared" si="176"/>
        <v>0.75</v>
      </c>
      <c r="BJ85" s="37">
        <f t="shared" si="177"/>
        <v>0.75</v>
      </c>
      <c r="BK85" s="37">
        <f t="shared" si="178"/>
        <v>0</v>
      </c>
      <c r="BL85" s="36" t="s">
        <v>2167</v>
      </c>
      <c r="BM85" s="36" t="s">
        <v>2167</v>
      </c>
      <c r="BN85" s="37">
        <f t="shared" si="179"/>
        <v>1</v>
      </c>
      <c r="BO85" s="37">
        <f t="shared" si="180"/>
        <v>0.75</v>
      </c>
      <c r="BP85" s="37">
        <f t="shared" si="181"/>
        <v>0.75</v>
      </c>
      <c r="BQ85" s="37">
        <f t="shared" si="182"/>
        <v>0</v>
      </c>
      <c r="BR85" s="37">
        <f t="shared" si="183"/>
        <v>0</v>
      </c>
      <c r="BS85" s="36" t="s">
        <v>2080</v>
      </c>
      <c r="BT85" s="36" t="s">
        <v>2080</v>
      </c>
      <c r="BU85" s="36" t="s">
        <v>2080</v>
      </c>
      <c r="BV85" s="36" t="s">
        <v>2080</v>
      </c>
      <c r="BW85" s="37">
        <f t="shared" si="184"/>
        <v>0</v>
      </c>
      <c r="BX85" s="37">
        <f t="shared" si="185"/>
        <v>0</v>
      </c>
      <c r="BY85" s="37">
        <f t="shared" si="186"/>
        <v>0</v>
      </c>
      <c r="BZ85" s="37">
        <f t="shared" si="187"/>
        <v>0</v>
      </c>
      <c r="CA85" s="37">
        <f t="shared" si="188"/>
        <v>0</v>
      </c>
      <c r="CB85" s="37">
        <f t="shared" si="189"/>
        <v>0</v>
      </c>
      <c r="CC85" s="37">
        <f t="shared" si="190"/>
        <v>0</v>
      </c>
      <c r="CD85" s="37">
        <f t="shared" si="191"/>
        <v>0</v>
      </c>
      <c r="CE85" s="36" t="s">
        <v>2067</v>
      </c>
      <c r="CF85" s="36" t="s">
        <v>2067</v>
      </c>
      <c r="CG85" s="36" t="s">
        <v>2067</v>
      </c>
      <c r="CH85" s="36" t="s">
        <v>2080</v>
      </c>
      <c r="CI85" s="37">
        <f t="shared" si="192"/>
        <v>0</v>
      </c>
      <c r="CJ85" s="37">
        <f t="shared" si="193"/>
        <v>0</v>
      </c>
      <c r="CK85" s="37">
        <f t="shared" si="194"/>
        <v>0</v>
      </c>
      <c r="CL85" s="37">
        <f t="shared" si="195"/>
        <v>0</v>
      </c>
      <c r="CM85" s="37">
        <f t="shared" si="196"/>
        <v>0</v>
      </c>
      <c r="CN85" s="37">
        <f t="shared" si="197"/>
        <v>0</v>
      </c>
      <c r="CO85" s="37">
        <f t="shared" si="198"/>
        <v>0</v>
      </c>
      <c r="CP85" s="37">
        <f t="shared" si="199"/>
        <v>0</v>
      </c>
      <c r="CQ85" s="37">
        <f t="shared" si="200"/>
        <v>5</v>
      </c>
      <c r="CR85" s="37">
        <f t="shared" si="201"/>
        <v>10</v>
      </c>
      <c r="CS85" s="37">
        <f t="shared" si="202"/>
        <v>6</v>
      </c>
      <c r="CT85" s="37">
        <f t="shared" si="203"/>
        <v>10</v>
      </c>
      <c r="CU85" s="37">
        <f t="shared" si="204"/>
        <v>0</v>
      </c>
      <c r="CV85" s="37">
        <f t="shared" si="205"/>
        <v>0</v>
      </c>
      <c r="CW85" s="37">
        <f t="shared" si="206"/>
        <v>0</v>
      </c>
      <c r="CX85" s="37">
        <f t="shared" si="207"/>
        <v>0</v>
      </c>
      <c r="CY85" s="37">
        <f t="shared" si="208"/>
        <v>0</v>
      </c>
      <c r="CZ85" s="37">
        <f t="shared" si="209"/>
        <v>31</v>
      </c>
    </row>
  </sheetData>
  <autoFilter ref="A4:CZ85" xr:uid="{00000000-0009-0000-0000-00000B000000}"/>
  <mergeCells count="20">
    <mergeCell ref="BS3:CD3"/>
    <mergeCell ref="CE3:CP3"/>
    <mergeCell ref="A1:A3"/>
    <mergeCell ref="B1:AQ1"/>
    <mergeCell ref="AR1:BR1"/>
    <mergeCell ref="BS1:CP1"/>
    <mergeCell ref="B2:P2"/>
    <mergeCell ref="Q2:V2"/>
    <mergeCell ref="W2:AH2"/>
    <mergeCell ref="AJ2:AQ2"/>
    <mergeCell ref="AR2:AY2"/>
    <mergeCell ref="AZ2:BR2"/>
    <mergeCell ref="BS2:CD2"/>
    <mergeCell ref="CE2:CP2"/>
    <mergeCell ref="B3:P3"/>
    <mergeCell ref="Q3:V3"/>
    <mergeCell ref="W3:AH3"/>
    <mergeCell ref="AJ3:AQ3"/>
    <mergeCell ref="AR3:AY3"/>
    <mergeCell ref="AZ3:BR3"/>
  </mergeCells>
  <conditionalFormatting sqref="P5:P85">
    <cfRule type="cellIs" dxfId="15" priority="2" operator="lessThan">
      <formula>50</formula>
    </cfRule>
  </conditionalFormatting>
  <conditionalFormatting sqref="AI5:AI85">
    <cfRule type="cellIs" dxfId="14" priority="3" operator="lessThan">
      <formula>170</formula>
    </cfRule>
  </conditionalFormatting>
  <conditionalFormatting sqref="AH5:AH85">
    <cfRule type="cellIs" dxfId="13" priority="4" operator="lessThan">
      <formula>20</formula>
    </cfRule>
  </conditionalFormatting>
  <conditionalFormatting sqref="P5:P85">
    <cfRule type="cellIs" dxfId="12" priority="5" operator="greaterThanOrEqual">
      <formula>50</formula>
    </cfRule>
  </conditionalFormatting>
  <conditionalFormatting sqref="V5:V85">
    <cfRule type="cellIs" dxfId="11" priority="6" operator="lessThan">
      <formula>100</formula>
    </cfRule>
    <cfRule type="cellIs" dxfId="10" priority="7" operator="equal">
      <formula>100</formula>
    </cfRule>
  </conditionalFormatting>
  <conditionalFormatting sqref="AH5:AH85">
    <cfRule type="cellIs" dxfId="9" priority="8" operator="greaterThanOrEqual">
      <formula>20</formula>
    </cfRule>
  </conditionalFormatting>
  <conditionalFormatting sqref="AI5:AI85">
    <cfRule type="cellIs" dxfId="8"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B00-000000000000}">
          <x14:formula1>
            <xm:f>Valores!$A$1:$A$2</xm:f>
          </x14:formula1>
          <x14:formula2>
            <xm:f>0</xm:f>
          </x14:formula2>
          <xm:sqref>B5:D85 K5:K85 Q5:R85 W5:AA85 AJ5:AL85</xm:sqref>
        </x14:dataValidation>
        <x14:dataValidation type="list" allowBlank="1" showInputMessage="1" showErrorMessage="1" xr:uid="{00000000-0002-0000-0B00-000001000000}">
          <x14:formula1>
            <xm:f>Valores!$B$1:$B$2</xm:f>
          </x14:formula1>
          <x14:formula2>
            <xm:f>0</xm:f>
          </x14:formula2>
          <xm:sqref>I5:J85</xm:sqref>
        </x14:dataValidation>
        <x14:dataValidation type="list" allowBlank="1" showInputMessage="1" showErrorMessage="1" xr:uid="{00000000-0002-0000-0B00-000002000000}">
          <x14:formula1>
            <xm:f>Valores!$C$1:$C$3</xm:f>
          </x14:formula1>
          <x14:formula2>
            <xm:f>0</xm:f>
          </x14:formula2>
          <xm:sqref>AR5:AT85</xm:sqref>
        </x14:dataValidation>
        <x14:dataValidation type="list" allowBlank="1" showInputMessage="1" showErrorMessage="1" xr:uid="{00000000-0002-0000-0B00-000003000000}">
          <x14:formula1>
            <xm:f>Valores!$D$1:$D$3</xm:f>
          </x14:formula1>
          <x14:formula2>
            <xm:f>0</xm:f>
          </x14:formula2>
          <xm:sqref>AZ5:BA85 BF5:BG85 BL5:BM85 CE5:CE85</xm:sqref>
        </x14:dataValidation>
        <x14:dataValidation type="list" allowBlank="1" showInputMessage="1" showErrorMessage="1" xr:uid="{00000000-0002-0000-0B00-000004000000}">
          <x14:formula1>
            <xm:f>Valores!$E$1:$E$4</xm:f>
          </x14:formula1>
          <x14:formula2>
            <xm:f>0</xm:f>
          </x14:formula2>
          <xm:sqref>BS5:BV85 CF5:CH85</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DH85"/>
  <sheetViews>
    <sheetView zoomScale="75" zoomScaleNormal="75" workbookViewId="0">
      <pane ySplit="4" topLeftCell="A5" activePane="bottomLeft" state="frozen"/>
      <selection pane="bottomLeft" activeCell="D83" sqref="D83"/>
    </sheetView>
  </sheetViews>
  <sheetFormatPr baseColWidth="10" defaultColWidth="9.140625" defaultRowHeight="15" x14ac:dyDescent="0.25"/>
  <cols>
    <col min="1" max="1" width="10.5703125" customWidth="1"/>
    <col min="2" max="2" width="24.140625" customWidth="1"/>
    <col min="3" max="3" width="36.28515625" customWidth="1"/>
    <col min="4" max="4" width="40.85546875" customWidth="1"/>
    <col min="5" max="5" width="17.42578125" customWidth="1"/>
    <col min="6" max="6" width="13.7109375" customWidth="1"/>
    <col min="7" max="7" width="14" customWidth="1"/>
    <col min="8" max="8" width="14.140625" customWidth="1"/>
    <col min="9" max="9" width="16.5703125" customWidth="1"/>
    <col min="10" max="10" width="21.42578125" customWidth="1"/>
    <col min="11" max="11" width="19.42578125" customWidth="1"/>
    <col min="12" max="12" width="20.42578125" customWidth="1"/>
    <col min="13" max="15" width="2" hidden="1" customWidth="1"/>
    <col min="16" max="16" width="14.85546875" hidden="1" customWidth="1"/>
    <col min="17" max="19" width="21.5703125" customWidth="1"/>
    <col min="20" max="22" width="2" hidden="1" customWidth="1"/>
    <col min="23" max="23" width="15.5703125" hidden="1" customWidth="1"/>
    <col min="24" max="24" width="14.85546875" customWidth="1"/>
    <col min="25" max="26" width="21.5703125" customWidth="1"/>
    <col min="27" max="28" width="2" hidden="1" customWidth="1"/>
    <col min="29" max="29" width="14.85546875" hidden="1" customWidth="1"/>
    <col min="30" max="30" width="21.5703125" customWidth="1"/>
    <col min="31" max="35" width="22.5703125" customWidth="1"/>
    <col min="36" max="40" width="2" hidden="1" customWidth="1"/>
    <col min="41" max="41" width="14.85546875" hidden="1" customWidth="1"/>
    <col min="42" max="42" width="14.85546875" customWidth="1"/>
    <col min="43" max="43" width="18.140625" customWidth="1"/>
    <col min="44" max="46" width="22.5703125" customWidth="1"/>
    <col min="47" max="49" width="2" hidden="1" customWidth="1"/>
    <col min="50" max="50" width="14.85546875" hidden="1" customWidth="1"/>
    <col min="51" max="51" width="14.85546875" customWidth="1"/>
    <col min="52" max="52" width="17.140625" customWidth="1"/>
    <col min="53" max="55" width="16.5703125" customWidth="1"/>
    <col min="56" max="62" width="16.5703125" hidden="1" customWidth="1"/>
    <col min="63" max="66" width="16.5703125" customWidth="1"/>
    <col min="67" max="71" width="16.5703125" hidden="1" customWidth="1"/>
    <col min="72" max="72" width="16.5703125" customWidth="1"/>
    <col min="73" max="74" width="17.140625" customWidth="1"/>
    <col min="75" max="75" width="2" hidden="1" customWidth="1"/>
    <col min="76" max="76" width="5" hidden="1" customWidth="1"/>
    <col min="77" max="78" width="17.140625" hidden="1" customWidth="1"/>
    <col min="79" max="80" width="17.140625" customWidth="1"/>
    <col min="81" max="84" width="17.140625" hidden="1" customWidth="1"/>
    <col min="85" max="86" width="17.140625" customWidth="1"/>
    <col min="87" max="90" width="17.140625" hidden="1" customWidth="1"/>
    <col min="91" max="94" width="17.140625" customWidth="1"/>
    <col min="95" max="97" width="2" hidden="1" customWidth="1"/>
    <col min="98" max="98" width="14.85546875" hidden="1" customWidth="1"/>
    <col min="99" max="99" width="17.140625" customWidth="1"/>
    <col min="100" max="100" width="16.5703125" customWidth="1"/>
    <col min="101" max="101" width="16.5703125" hidden="1" customWidth="1"/>
    <col min="102" max="102" width="16.5703125" customWidth="1"/>
    <col min="103" max="111" width="16.5703125" hidden="1" customWidth="1"/>
    <col min="112" max="112" width="18.7109375" customWidth="1"/>
    <col min="113" max="1025" width="10.5703125" customWidth="1"/>
  </cols>
  <sheetData>
    <row r="1" spans="1:112" ht="117" customHeight="1" x14ac:dyDescent="0.25">
      <c r="A1" s="226"/>
      <c r="B1" s="226"/>
      <c r="C1" s="227" t="s">
        <v>2248</v>
      </c>
      <c r="D1" s="228" t="s">
        <v>2249</v>
      </c>
      <c r="E1" s="228"/>
      <c r="F1" s="228"/>
      <c r="G1" s="228"/>
      <c r="H1" s="150"/>
      <c r="I1" s="228"/>
      <c r="J1" s="221" t="s">
        <v>2122</v>
      </c>
      <c r="K1" s="221"/>
      <c r="L1" s="221"/>
      <c r="M1" s="221"/>
      <c r="N1" s="221"/>
      <c r="O1" s="221"/>
      <c r="P1" s="221"/>
      <c r="Q1" s="221"/>
      <c r="R1" s="221"/>
      <c r="S1" s="221"/>
      <c r="T1" s="221"/>
      <c r="U1" s="221"/>
      <c r="V1" s="221"/>
      <c r="W1" s="221"/>
      <c r="X1" s="221"/>
      <c r="Y1" s="221"/>
      <c r="Z1" s="221"/>
      <c r="AA1" s="221"/>
      <c r="AB1" s="221"/>
      <c r="AC1" s="221"/>
      <c r="AD1" s="221"/>
      <c r="AE1" s="221"/>
      <c r="AF1" s="221"/>
      <c r="AG1" s="221"/>
      <c r="AH1" s="221"/>
      <c r="AI1" s="221"/>
      <c r="AJ1" s="221"/>
      <c r="AK1" s="221"/>
      <c r="AL1" s="221"/>
      <c r="AM1" s="221"/>
      <c r="AN1" s="221"/>
      <c r="AO1" s="221"/>
      <c r="AP1" s="221"/>
      <c r="AQ1" s="221"/>
      <c r="AR1" s="221"/>
      <c r="AS1" s="221"/>
      <c r="AT1" s="221"/>
      <c r="AU1" s="221"/>
      <c r="AV1" s="221"/>
      <c r="AW1" s="221"/>
      <c r="AX1" s="221"/>
      <c r="AY1" s="221"/>
      <c r="AZ1" s="222" t="s">
        <v>2123</v>
      </c>
      <c r="BA1" s="222"/>
      <c r="BB1" s="222"/>
      <c r="BC1" s="222"/>
      <c r="BD1" s="222"/>
      <c r="BE1" s="222"/>
      <c r="BF1" s="222"/>
      <c r="BG1" s="222"/>
      <c r="BH1" s="222"/>
      <c r="BI1" s="222"/>
      <c r="BJ1" s="222"/>
      <c r="BK1" s="222"/>
      <c r="BL1" s="222"/>
      <c r="BM1" s="222"/>
      <c r="BN1" s="222"/>
      <c r="BO1" s="222"/>
      <c r="BP1" s="222"/>
      <c r="BQ1" s="222"/>
      <c r="BR1" s="222"/>
      <c r="BS1" s="222"/>
      <c r="BT1" s="222"/>
      <c r="BU1" s="222"/>
      <c r="BV1" s="222"/>
      <c r="BW1" s="222"/>
      <c r="BX1" s="222"/>
      <c r="BY1" s="222"/>
      <c r="BZ1" s="222"/>
      <c r="CA1" s="222"/>
      <c r="CB1" s="222"/>
      <c r="CC1" s="222"/>
      <c r="CD1" s="222"/>
      <c r="CE1" s="222"/>
      <c r="CF1" s="222"/>
      <c r="CG1" s="222"/>
      <c r="CH1" s="222"/>
      <c r="CI1" s="222"/>
      <c r="CJ1" s="222"/>
      <c r="CK1" s="222"/>
      <c r="CL1" s="222"/>
      <c r="CM1" s="222"/>
      <c r="CN1" s="231" t="s">
        <v>2124</v>
      </c>
      <c r="CO1" s="231"/>
      <c r="CP1" s="231"/>
      <c r="CQ1" s="231"/>
      <c r="CR1" s="231"/>
      <c r="CS1" s="231"/>
      <c r="CT1" s="231"/>
      <c r="CU1" s="231"/>
      <c r="CV1" s="231"/>
      <c r="CW1" s="231"/>
      <c r="CX1" s="231"/>
      <c r="CY1" s="137"/>
      <c r="CZ1" s="137"/>
      <c r="DA1" s="137"/>
      <c r="DB1" s="137"/>
      <c r="DC1" s="137"/>
      <c r="DD1" s="137"/>
      <c r="DE1" s="137"/>
      <c r="DF1" s="137"/>
      <c r="DG1" s="137"/>
    </row>
    <row r="2" spans="1:112" ht="15" customHeight="1" x14ac:dyDescent="0.25">
      <c r="A2" s="226"/>
      <c r="B2" s="226"/>
      <c r="C2" s="227"/>
      <c r="D2" s="228"/>
      <c r="E2" s="228"/>
      <c r="F2" s="228"/>
      <c r="G2" s="228"/>
      <c r="H2" s="151"/>
      <c r="I2" s="228"/>
      <c r="J2" s="224" t="s">
        <v>2125</v>
      </c>
      <c r="K2" s="224"/>
      <c r="L2" s="224"/>
      <c r="M2" s="224"/>
      <c r="N2" s="224"/>
      <c r="O2" s="224"/>
      <c r="P2" s="224"/>
      <c r="Q2" s="224"/>
      <c r="R2" s="224"/>
      <c r="S2" s="224"/>
      <c r="T2" s="224"/>
      <c r="U2" s="224"/>
      <c r="V2" s="224"/>
      <c r="W2" s="224"/>
      <c r="X2" s="224"/>
      <c r="Y2" s="224" t="s">
        <v>2126</v>
      </c>
      <c r="Z2" s="224"/>
      <c r="AA2" s="224"/>
      <c r="AB2" s="224"/>
      <c r="AC2" s="224"/>
      <c r="AD2" s="224"/>
      <c r="AE2" s="225" t="s">
        <v>2127</v>
      </c>
      <c r="AF2" s="225"/>
      <c r="AG2" s="225"/>
      <c r="AH2" s="225"/>
      <c r="AI2" s="225"/>
      <c r="AJ2" s="225"/>
      <c r="AK2" s="225"/>
      <c r="AL2" s="225"/>
      <c r="AM2" s="225"/>
      <c r="AN2" s="225"/>
      <c r="AO2" s="225"/>
      <c r="AP2" s="225"/>
      <c r="AQ2" s="138"/>
      <c r="AR2" s="224" t="s">
        <v>2128</v>
      </c>
      <c r="AS2" s="224"/>
      <c r="AT2" s="224"/>
      <c r="AU2" s="224"/>
      <c r="AV2" s="224"/>
      <c r="AW2" s="224"/>
      <c r="AX2" s="224"/>
      <c r="AY2" s="224"/>
      <c r="AZ2" s="224" t="s">
        <v>2129</v>
      </c>
      <c r="BA2" s="224"/>
      <c r="BB2" s="224"/>
      <c r="BC2" s="224"/>
      <c r="BD2" s="224"/>
      <c r="BE2" s="224"/>
      <c r="BF2" s="224"/>
      <c r="BG2" s="224"/>
      <c r="BH2" s="224"/>
      <c r="BI2" s="224"/>
      <c r="BJ2" s="224"/>
      <c r="BK2" s="224"/>
      <c r="BL2" s="224"/>
      <c r="BM2" s="224"/>
      <c r="BN2" s="224"/>
      <c r="BO2" s="224"/>
      <c r="BP2" s="224"/>
      <c r="BQ2" s="224"/>
      <c r="BR2" s="224"/>
      <c r="BS2" s="224"/>
      <c r="BT2" s="224"/>
      <c r="BU2" s="224"/>
      <c r="BV2" s="224"/>
      <c r="BW2" s="224"/>
      <c r="BX2" s="224"/>
      <c r="BY2" s="224"/>
      <c r="BZ2" s="224"/>
      <c r="CA2" s="224"/>
      <c r="CB2" s="224"/>
      <c r="CC2" s="224"/>
      <c r="CD2" s="224"/>
      <c r="CE2" s="224"/>
      <c r="CF2" s="224"/>
      <c r="CG2" s="224"/>
      <c r="CH2" s="224"/>
      <c r="CI2" s="224"/>
      <c r="CJ2" s="224"/>
      <c r="CK2" s="224"/>
      <c r="CL2" s="224"/>
      <c r="CM2" s="224"/>
      <c r="CN2" s="224" t="s">
        <v>2131</v>
      </c>
      <c r="CO2" s="224"/>
      <c r="CP2" s="224"/>
      <c r="CQ2" s="224"/>
      <c r="CR2" s="224"/>
      <c r="CS2" s="224"/>
      <c r="CT2" s="224"/>
      <c r="CU2" s="224"/>
      <c r="CV2" s="224"/>
      <c r="CW2" s="224"/>
      <c r="CX2" s="224"/>
      <c r="CY2" s="139" t="s">
        <v>2133</v>
      </c>
      <c r="CZ2" s="139" t="s">
        <v>2134</v>
      </c>
      <c r="DA2" s="139" t="s">
        <v>2135</v>
      </c>
      <c r="DB2" s="139" t="s">
        <v>2136</v>
      </c>
      <c r="DC2" s="139" t="s">
        <v>2137</v>
      </c>
      <c r="DD2" s="139" t="s">
        <v>2137</v>
      </c>
      <c r="DE2" s="139" t="s">
        <v>2137</v>
      </c>
      <c r="DF2" s="139" t="s">
        <v>2138</v>
      </c>
      <c r="DG2" s="139" t="s">
        <v>2250</v>
      </c>
    </row>
    <row r="3" spans="1:112" x14ac:dyDescent="0.25">
      <c r="A3" s="226"/>
      <c r="B3" s="226"/>
      <c r="C3" s="227"/>
      <c r="D3" s="228"/>
      <c r="E3" s="228"/>
      <c r="F3" s="228"/>
      <c r="G3" s="228"/>
      <c r="H3" s="152"/>
      <c r="I3" s="228"/>
      <c r="J3" s="215" t="s">
        <v>2015</v>
      </c>
      <c r="K3" s="215"/>
      <c r="L3" s="215"/>
      <c r="M3" s="215"/>
      <c r="N3" s="215"/>
      <c r="O3" s="215"/>
      <c r="P3" s="215"/>
      <c r="Q3" s="215"/>
      <c r="R3" s="215"/>
      <c r="S3" s="215"/>
      <c r="T3" s="215"/>
      <c r="U3" s="215"/>
      <c r="V3" s="215"/>
      <c r="W3" s="215"/>
      <c r="X3" s="215"/>
      <c r="Y3" s="215" t="s">
        <v>2015</v>
      </c>
      <c r="Z3" s="215"/>
      <c r="AA3" s="215"/>
      <c r="AB3" s="215"/>
      <c r="AC3" s="215"/>
      <c r="AD3" s="215"/>
      <c r="AE3" s="216" t="s">
        <v>2015</v>
      </c>
      <c r="AF3" s="216"/>
      <c r="AG3" s="216"/>
      <c r="AH3" s="216"/>
      <c r="AI3" s="216"/>
      <c r="AJ3" s="216"/>
      <c r="AK3" s="216"/>
      <c r="AL3" s="216"/>
      <c r="AM3" s="216"/>
      <c r="AN3" s="216"/>
      <c r="AO3" s="216"/>
      <c r="AP3" s="216"/>
      <c r="AQ3" s="140"/>
      <c r="AR3" s="217" t="s">
        <v>982</v>
      </c>
      <c r="AS3" s="217"/>
      <c r="AT3" s="217"/>
      <c r="AU3" s="217"/>
      <c r="AV3" s="217"/>
      <c r="AW3" s="217"/>
      <c r="AX3" s="217"/>
      <c r="AY3" s="217"/>
      <c r="AZ3" s="229" t="s">
        <v>982</v>
      </c>
      <c r="BA3" s="229"/>
      <c r="BB3" s="229"/>
      <c r="BC3" s="229"/>
      <c r="BD3" s="229"/>
      <c r="BE3" s="229"/>
      <c r="BF3" s="229"/>
      <c r="BG3" s="229"/>
      <c r="BH3" s="229"/>
      <c r="BI3" s="229"/>
      <c r="BJ3" s="229"/>
      <c r="BK3" s="229"/>
      <c r="BL3" s="229" t="s">
        <v>982</v>
      </c>
      <c r="BM3" s="229"/>
      <c r="BN3" s="229"/>
      <c r="BO3" s="229"/>
      <c r="BP3" s="229"/>
      <c r="BQ3" s="229"/>
      <c r="BR3" s="229"/>
      <c r="BS3" s="229"/>
      <c r="BT3" s="229"/>
      <c r="BU3" s="229" t="s">
        <v>982</v>
      </c>
      <c r="BV3" s="229"/>
      <c r="BW3" s="229"/>
      <c r="BX3" s="229"/>
      <c r="BY3" s="229"/>
      <c r="BZ3" s="229"/>
      <c r="CA3" s="229"/>
      <c r="CB3" s="229"/>
      <c r="CC3" s="229"/>
      <c r="CD3" s="229"/>
      <c r="CE3" s="229"/>
      <c r="CF3" s="229"/>
      <c r="CG3" s="229"/>
      <c r="CH3" s="229"/>
      <c r="CI3" s="229"/>
      <c r="CJ3" s="229"/>
      <c r="CK3" s="229"/>
      <c r="CL3" s="229"/>
      <c r="CM3" s="229"/>
      <c r="CN3" s="229" t="s">
        <v>982</v>
      </c>
      <c r="CO3" s="229"/>
      <c r="CP3" s="229"/>
      <c r="CQ3" s="229"/>
      <c r="CR3" s="229"/>
      <c r="CS3" s="229"/>
      <c r="CT3" s="229"/>
      <c r="CU3" s="229"/>
      <c r="CV3" s="230"/>
      <c r="CW3" s="230"/>
      <c r="CX3" s="230"/>
      <c r="CY3" s="107">
        <v>0.1</v>
      </c>
      <c r="CZ3" s="107">
        <v>0.1</v>
      </c>
      <c r="DA3" s="107">
        <v>0.1</v>
      </c>
      <c r="DB3" s="107">
        <v>0.1</v>
      </c>
      <c r="DC3" s="107">
        <v>0.2</v>
      </c>
      <c r="DD3" s="107">
        <v>0.1</v>
      </c>
      <c r="DE3" s="107">
        <v>0.2</v>
      </c>
      <c r="DF3" s="107">
        <v>0.05</v>
      </c>
      <c r="DG3" s="107">
        <v>0.05</v>
      </c>
    </row>
    <row r="4" spans="1:112" ht="93" customHeight="1" x14ac:dyDescent="0.25">
      <c r="A4" s="142" t="s">
        <v>974</v>
      </c>
      <c r="B4" s="142" t="s">
        <v>2141</v>
      </c>
      <c r="C4" s="142" t="s">
        <v>2251</v>
      </c>
      <c r="D4" s="142" t="s">
        <v>2252</v>
      </c>
      <c r="E4" s="142" t="s">
        <v>2253</v>
      </c>
      <c r="F4" s="142" t="s">
        <v>2254</v>
      </c>
      <c r="G4" s="142" t="s">
        <v>2255</v>
      </c>
      <c r="H4" s="142" t="s">
        <v>2256</v>
      </c>
      <c r="I4" s="142" t="s">
        <v>2257</v>
      </c>
      <c r="J4" s="142" t="s">
        <v>2010</v>
      </c>
      <c r="K4" s="142" t="s">
        <v>2017</v>
      </c>
      <c r="L4" s="142" t="s">
        <v>2142</v>
      </c>
      <c r="M4" s="142"/>
      <c r="N4" s="142"/>
      <c r="O4" s="142"/>
      <c r="P4" s="143" t="s">
        <v>2143</v>
      </c>
      <c r="Q4" s="142" t="s">
        <v>2022</v>
      </c>
      <c r="R4" s="142" t="s">
        <v>2027</v>
      </c>
      <c r="S4" s="142" t="s">
        <v>2029</v>
      </c>
      <c r="T4" s="142"/>
      <c r="U4" s="142"/>
      <c r="V4" s="142"/>
      <c r="W4" s="143" t="s">
        <v>2143</v>
      </c>
      <c r="X4" s="144" t="s">
        <v>2144</v>
      </c>
      <c r="Y4" s="142" t="s">
        <v>2033</v>
      </c>
      <c r="Z4" s="142" t="s">
        <v>2035</v>
      </c>
      <c r="AA4" s="142"/>
      <c r="AB4" s="142"/>
      <c r="AC4" s="143" t="s">
        <v>2143</v>
      </c>
      <c r="AD4" s="144" t="s">
        <v>2145</v>
      </c>
      <c r="AE4" s="145" t="s">
        <v>2039</v>
      </c>
      <c r="AF4" s="145" t="s">
        <v>2041</v>
      </c>
      <c r="AG4" s="145" t="s">
        <v>2043</v>
      </c>
      <c r="AH4" s="145" t="s">
        <v>2258</v>
      </c>
      <c r="AI4" s="145" t="s">
        <v>2047</v>
      </c>
      <c r="AJ4" s="145"/>
      <c r="AK4" s="145"/>
      <c r="AL4" s="145"/>
      <c r="AM4" s="145"/>
      <c r="AN4" s="145"/>
      <c r="AO4" s="143" t="s">
        <v>2143</v>
      </c>
      <c r="AP4" s="144" t="s">
        <v>2146</v>
      </c>
      <c r="AQ4" s="144" t="s">
        <v>2147</v>
      </c>
      <c r="AR4" s="145" t="s">
        <v>2259</v>
      </c>
      <c r="AS4" s="145" t="s">
        <v>2055</v>
      </c>
      <c r="AT4" s="145" t="s">
        <v>2057</v>
      </c>
      <c r="AU4" s="145"/>
      <c r="AV4" s="145"/>
      <c r="AW4" s="145"/>
      <c r="AX4" s="143" t="s">
        <v>2143</v>
      </c>
      <c r="AY4" s="144" t="s">
        <v>2149</v>
      </c>
      <c r="AZ4" s="145" t="s">
        <v>2063</v>
      </c>
      <c r="BA4" s="145" t="s">
        <v>2068</v>
      </c>
      <c r="BB4" s="145" t="s">
        <v>2072</v>
      </c>
      <c r="BC4" s="145" t="s">
        <v>2074</v>
      </c>
      <c r="BD4" s="145"/>
      <c r="BE4" s="145"/>
      <c r="BF4" s="145"/>
      <c r="BG4" s="145"/>
      <c r="BH4" s="143" t="s">
        <v>2260</v>
      </c>
      <c r="BI4" s="143" t="s">
        <v>2261</v>
      </c>
      <c r="BJ4" s="143" t="s">
        <v>2262</v>
      </c>
      <c r="BK4" s="144" t="s">
        <v>2263</v>
      </c>
      <c r="BL4" s="145" t="s">
        <v>2077</v>
      </c>
      <c r="BM4" s="145" t="s">
        <v>2082</v>
      </c>
      <c r="BN4" s="145" t="s">
        <v>2086</v>
      </c>
      <c r="BO4" s="145"/>
      <c r="BP4" s="145"/>
      <c r="BQ4" s="145"/>
      <c r="BR4" s="143" t="s">
        <v>2264</v>
      </c>
      <c r="BS4" s="143" t="s">
        <v>2265</v>
      </c>
      <c r="BT4" s="144" t="s">
        <v>2266</v>
      </c>
      <c r="BU4" s="145" t="s">
        <v>2089</v>
      </c>
      <c r="BV4" s="145" t="s">
        <v>2093</v>
      </c>
      <c r="BW4" s="145"/>
      <c r="BX4" s="145"/>
      <c r="BY4" s="143" t="s">
        <v>2143</v>
      </c>
      <c r="BZ4" s="143" t="s">
        <v>2151</v>
      </c>
      <c r="CA4" s="145" t="s">
        <v>2097</v>
      </c>
      <c r="CB4" s="145" t="s">
        <v>2099</v>
      </c>
      <c r="CC4" s="145"/>
      <c r="CD4" s="145"/>
      <c r="CE4" s="143" t="s">
        <v>2143</v>
      </c>
      <c r="CF4" s="143" t="s">
        <v>2152</v>
      </c>
      <c r="CG4" s="145" t="s">
        <v>2101</v>
      </c>
      <c r="CH4" s="145" t="s">
        <v>2103</v>
      </c>
      <c r="CI4" s="145"/>
      <c r="CJ4" s="145"/>
      <c r="CK4" s="143" t="s">
        <v>2143</v>
      </c>
      <c r="CL4" s="143" t="s">
        <v>2153</v>
      </c>
      <c r="CM4" s="144" t="s">
        <v>2267</v>
      </c>
      <c r="CN4" s="145" t="s">
        <v>2107</v>
      </c>
      <c r="CO4" s="145" t="s">
        <v>2113</v>
      </c>
      <c r="CP4" s="145" t="s">
        <v>2115</v>
      </c>
      <c r="CQ4" s="142"/>
      <c r="CR4" s="142"/>
      <c r="CS4" s="142"/>
      <c r="CT4" s="143" t="s">
        <v>2143</v>
      </c>
      <c r="CU4" s="144" t="s">
        <v>2158</v>
      </c>
      <c r="CV4" s="145" t="s">
        <v>2119</v>
      </c>
      <c r="CW4" s="145"/>
      <c r="CX4" s="144" t="s">
        <v>2268</v>
      </c>
      <c r="CY4" s="147" t="s">
        <v>2133</v>
      </c>
      <c r="CZ4" s="147" t="s">
        <v>2134</v>
      </c>
      <c r="DA4" s="147" t="s">
        <v>2135</v>
      </c>
      <c r="DB4" s="147" t="s">
        <v>2136</v>
      </c>
      <c r="DC4" s="147" t="s">
        <v>2269</v>
      </c>
      <c r="DD4" s="147" t="s">
        <v>2270</v>
      </c>
      <c r="DE4" s="147" t="s">
        <v>2271</v>
      </c>
      <c r="DF4" s="147" t="s">
        <v>2138</v>
      </c>
      <c r="DG4" s="147" t="s">
        <v>2250</v>
      </c>
      <c r="DH4" s="148" t="s">
        <v>2163</v>
      </c>
    </row>
    <row r="5" spans="1:112" ht="102.75" hidden="1" customHeight="1" x14ac:dyDescent="0.25">
      <c r="A5" s="37">
        <v>1</v>
      </c>
      <c r="B5" s="153" t="s">
        <v>2164</v>
      </c>
      <c r="C5" s="154" t="s">
        <v>2272</v>
      </c>
      <c r="D5" s="155" t="s">
        <v>2273</v>
      </c>
      <c r="E5" s="155" t="s">
        <v>2274</v>
      </c>
      <c r="F5" s="155"/>
      <c r="G5" s="155"/>
      <c r="H5" s="155"/>
      <c r="I5" s="155"/>
      <c r="J5" s="53" t="s">
        <v>1948</v>
      </c>
      <c r="K5" s="53" t="s">
        <v>1948</v>
      </c>
      <c r="L5" s="53" t="s">
        <v>1947</v>
      </c>
      <c r="M5" s="61">
        <f t="shared" ref="M5:M36" si="0">IF(J5="SI",1,0)</f>
        <v>1</v>
      </c>
      <c r="N5" s="61">
        <f t="shared" ref="N5:N36" si="1">IF(K5="SI",1,0)</f>
        <v>1</v>
      </c>
      <c r="O5" s="61">
        <f t="shared" ref="O5:O36" si="2">IF(L5="SI",1,0)</f>
        <v>0</v>
      </c>
      <c r="P5" s="61">
        <f t="shared" ref="P5:P36" si="3">SUM(M5:O5)</f>
        <v>2</v>
      </c>
      <c r="Q5" s="53" t="s">
        <v>2165</v>
      </c>
      <c r="R5" s="53" t="s">
        <v>2165</v>
      </c>
      <c r="S5" s="53" t="s">
        <v>1948</v>
      </c>
      <c r="T5" s="61">
        <f t="shared" ref="T5:T36" si="4">IF(Q5="MUCHO",1,0)</f>
        <v>0</v>
      </c>
      <c r="U5" s="61">
        <f t="shared" ref="U5:U36" si="5">IF(R5="MUCHO",1,0)</f>
        <v>0</v>
      </c>
      <c r="V5" s="61">
        <f t="shared" ref="V5:V36" si="6">IF(S5="SI",1,0)</f>
        <v>1</v>
      </c>
      <c r="W5" s="61">
        <f t="shared" ref="W5:W36" si="7">SUM(T5:V5)</f>
        <v>1</v>
      </c>
      <c r="X5" s="61">
        <f t="shared" ref="X5:X36" si="8">((W5+P5)*100)/6</f>
        <v>50</v>
      </c>
      <c r="Y5" s="53" t="s">
        <v>1948</v>
      </c>
      <c r="Z5" s="53" t="s">
        <v>1948</v>
      </c>
      <c r="AA5" s="61">
        <f t="shared" ref="AA5:AA36" si="9">IF(Y5="SI",1,0)</f>
        <v>1</v>
      </c>
      <c r="AB5" s="61">
        <f t="shared" ref="AB5:AB36" si="10">IF(Z5="SI",1,0)</f>
        <v>1</v>
      </c>
      <c r="AC5" s="61">
        <f t="shared" ref="AC5:AC36" si="11">SUM(AA5:AB5)</f>
        <v>2</v>
      </c>
      <c r="AD5" s="61">
        <f t="shared" ref="AD5:AD36" si="12">((AA5+AB5)*100)/2</f>
        <v>100</v>
      </c>
      <c r="AE5" s="53" t="s">
        <v>1947</v>
      </c>
      <c r="AF5" s="53" t="s">
        <v>1947</v>
      </c>
      <c r="AG5" s="53" t="s">
        <v>1947</v>
      </c>
      <c r="AH5" s="53" t="s">
        <v>1948</v>
      </c>
      <c r="AI5" s="53" t="s">
        <v>1947</v>
      </c>
      <c r="AJ5" s="50">
        <f t="shared" ref="AJ5:AJ36" si="13">IF(AE5="SI",1,0)</f>
        <v>0</v>
      </c>
      <c r="AK5" s="50">
        <f t="shared" ref="AK5:AK36" si="14">IF(AF5="SI",1,0)</f>
        <v>0</v>
      </c>
      <c r="AL5" s="50">
        <f t="shared" ref="AL5:AL36" si="15">IF(AG5="SI",1,0)</f>
        <v>0</v>
      </c>
      <c r="AM5" s="50">
        <f t="shared" ref="AM5:AM36" si="16">IF(AH5="SI",1,0)</f>
        <v>1</v>
      </c>
      <c r="AN5" s="50">
        <f t="shared" ref="AN5:AN36" si="17">IF(AI5="SI",1,0)</f>
        <v>0</v>
      </c>
      <c r="AO5" s="50">
        <f t="shared" ref="AO5:AO36" si="18">SUM(AJ5:AN5)</f>
        <v>1</v>
      </c>
      <c r="AP5" s="51">
        <f t="shared" ref="AP5:AP36" si="19">((SUM(AJ5:AN5))*100)/5</f>
        <v>20</v>
      </c>
      <c r="AQ5" s="51">
        <f t="shared" ref="AQ5:AQ36" si="20">SUM(AP5,AD5,X5)</f>
        <v>170</v>
      </c>
      <c r="AR5" s="53" t="s">
        <v>1948</v>
      </c>
      <c r="AS5" s="53" t="s">
        <v>1948</v>
      </c>
      <c r="AT5" s="53" t="s">
        <v>1948</v>
      </c>
      <c r="AU5" s="50">
        <f t="shared" ref="AU5:AU36" si="21">IF(AR5="SI",1,0)</f>
        <v>1</v>
      </c>
      <c r="AV5" s="50">
        <f t="shared" ref="AV5:AV36" si="22">IF(AS5="SI",1,0)</f>
        <v>1</v>
      </c>
      <c r="AW5" s="50">
        <f t="shared" ref="AW5:AW36" si="23">IF(AT5="SI",1,0)</f>
        <v>1</v>
      </c>
      <c r="AX5" s="50">
        <f t="shared" ref="AX5:AX36" si="24">SUM(AU5:AW5)</f>
        <v>3</v>
      </c>
      <c r="AY5" s="50">
        <f t="shared" ref="AY5:AY36" si="25">((SUM(AU5:AW5))*100)/3</f>
        <v>100</v>
      </c>
      <c r="AZ5" s="36" t="s">
        <v>2080</v>
      </c>
      <c r="BA5" s="36" t="s">
        <v>2080</v>
      </c>
      <c r="BB5" s="36" t="s">
        <v>2080</v>
      </c>
      <c r="BC5" s="36" t="s">
        <v>2080</v>
      </c>
      <c r="BD5" s="37">
        <f t="shared" ref="BD5:BD36" si="26">IF(IF(AZ5="ALTO",3,IF(AZ5="MEDIO",2,IF(AZ5="BAJO",1,0)))&gt;=1,IF(AZ5="ALTO",3,IF(AZ5="MEDIO",2,IF(AZ5="BAJO",1,0))),0)</f>
        <v>0</v>
      </c>
      <c r="BE5" s="37">
        <f t="shared" ref="BE5:BE36" si="27">IF(IF(BA5="ALTO",100,IF(BA5="MEDIO",50,IF(BA5="BAJO",25,0)))&gt;=50,IF(BA5="ALTO",100,IF(BA5="MEDIO",50,IF(BA5="BAJO",25,0))),0)</f>
        <v>0</v>
      </c>
      <c r="BF5" s="37">
        <f t="shared" ref="BF5:BF36" si="28">IF(IF(BB5="ALTO",100,IF(BB5="MEDIO",50,IF(BB5="BAJO",25,0)))&gt;=50,IF(BB5="ALTO",100,IF(BB5="MEDIO",50,IF(BB5="BAJO",25,0))),0)</f>
        <v>0</v>
      </c>
      <c r="BG5" s="37">
        <f t="shared" ref="BG5:BG36" si="29">IF(IF(BC5="ALTO",100,IF(BC5="MEDIO",50,IF(BC5="BAJO",25,0)))&gt;=50,IF(BC5="ALTO",100,IF(BC5="MEDIO",50,IF(BC5="BAJO",25,0))),0)</f>
        <v>0</v>
      </c>
      <c r="BH5" s="37">
        <f t="shared" ref="BH5:BH36" si="30">(BD5/3)*100</f>
        <v>0</v>
      </c>
      <c r="BI5" s="37">
        <f t="shared" ref="BI5:BI36" si="31">(SUM(BE5:BG5)/300)*100</f>
        <v>0</v>
      </c>
      <c r="BJ5" s="37">
        <f t="shared" ref="BJ5:BJ36" si="32">SUM(BH5:BI5)</f>
        <v>0</v>
      </c>
      <c r="BK5" s="37">
        <f t="shared" ref="BK5:BK36" si="33">(BJ5*100)/200</f>
        <v>0</v>
      </c>
      <c r="BL5" s="36" t="s">
        <v>2067</v>
      </c>
      <c r="BM5" s="36" t="s">
        <v>2067</v>
      </c>
      <c r="BN5" s="36" t="s">
        <v>2067</v>
      </c>
      <c r="BO5" s="37">
        <f t="shared" ref="BO5:BO36" si="34">IF(IF(BL5="ALTO",1,IF(BL5="MEDIO",2,3))&gt;=2,IF(BL5="ALTO",1,IF(BL5="MEDIO",2,3)),0)</f>
        <v>0</v>
      </c>
      <c r="BP5" s="37">
        <f t="shared" ref="BP5:BP36" si="35">IF(IF(BM5="ALTO",1,IF(BM5="MEDIO",2,IF(BM5="BAJO",3,4)))&gt;=3,IF(BM5="ALTO",1,IF(BM5="MEDIO",2,IF(BM5="BAJO",3,4))),0)</f>
        <v>0</v>
      </c>
      <c r="BQ5" s="37">
        <f t="shared" ref="BQ5:BQ36" si="36">IF(IF(BN5="ALTO",1,IF(BN5="MEDIO",2,IF(BN5="BAJO",3,4)))&gt;=3,IF(BN5="ALTO",1,IF(BN5="MEDIO",2,IF(BN5="BAJO",3,4))),0)</f>
        <v>0</v>
      </c>
      <c r="BR5" s="37">
        <f t="shared" ref="BR5:BR36" si="37">(BO5/3)*100</f>
        <v>0</v>
      </c>
      <c r="BS5" s="37">
        <f t="shared" ref="BS5:BS36" si="38">(SUM(BP5:BQ5)/8)*100</f>
        <v>0</v>
      </c>
      <c r="BT5" s="37">
        <f t="shared" ref="BT5:BT36" si="39">(SUM(BR5:BS5)*100)/200</f>
        <v>0</v>
      </c>
      <c r="BU5" s="36" t="s">
        <v>2167</v>
      </c>
      <c r="BV5" s="36" t="s">
        <v>2167</v>
      </c>
      <c r="BW5" s="37">
        <f>IF(BU5="ALTO",3,IF(BU5="MEDIO",2,1))</f>
        <v>1</v>
      </c>
      <c r="BX5" s="37">
        <f>IF(BV5="ALTO",2.25,IF(BV5="MEDIO",1.5,0.75))</f>
        <v>0.75</v>
      </c>
      <c r="BY5" s="37">
        <f>IF(BW5=1,BX5,BW5)</f>
        <v>0.75</v>
      </c>
      <c r="BZ5" s="37">
        <f>IF(BY5&gt;=2,BY5,0)</f>
        <v>0</v>
      </c>
      <c r="CA5" s="36" t="s">
        <v>2167</v>
      </c>
      <c r="CB5" s="36" t="s">
        <v>2167</v>
      </c>
      <c r="CC5" s="37">
        <f>IF(CA5="ALTO",3,IF(CA5="MEDIO",2,1))</f>
        <v>1</v>
      </c>
      <c r="CD5" s="37">
        <f>IF(CB5="ALTO",2.25,IF(CB5="MEDIO",1.5,0.75))</f>
        <v>0.75</v>
      </c>
      <c r="CE5" s="37">
        <f>IF(CC5=1,CD5,CC5)</f>
        <v>0.75</v>
      </c>
      <c r="CF5" s="37">
        <f>IF(CE5&gt;=2,CE5,0)</f>
        <v>0</v>
      </c>
      <c r="CG5" s="36" t="s">
        <v>2167</v>
      </c>
      <c r="CH5" s="36" t="s">
        <v>2167</v>
      </c>
      <c r="CI5" s="37">
        <f t="shared" ref="CI5:CI36" si="40">IF(CG5="ALTO",3,IF(CG5="MEDIO",2,1))</f>
        <v>1</v>
      </c>
      <c r="CJ5" s="37">
        <f t="shared" ref="CJ5:CJ36" si="41">IF(CH5="ALTO",2.25,IF(CH5="MEDIO",1.5,0.75))</f>
        <v>0.75</v>
      </c>
      <c r="CK5" s="37">
        <f t="shared" ref="CK5:CK36" si="42">IF(CI5=1,CJ5,CI5)</f>
        <v>0.75</v>
      </c>
      <c r="CL5" s="37">
        <f t="shared" ref="CL5:CL36" si="43">IF(CK5&gt;=2,CK5,0)</f>
        <v>0</v>
      </c>
      <c r="CM5" s="37">
        <f t="shared" ref="CM5:CM36" si="44">((CL5+CF5+BZ5)*100)/9</f>
        <v>0</v>
      </c>
      <c r="CN5" s="36" t="s">
        <v>2166</v>
      </c>
      <c r="CO5" s="36" t="s">
        <v>2166</v>
      </c>
      <c r="CP5" s="36" t="s">
        <v>2166</v>
      </c>
      <c r="CQ5" s="37">
        <f t="shared" ref="CQ5:CQ36" si="45">IF(CN5="ALTA",1,IF(CN5="MEDIA",2,3))</f>
        <v>1</v>
      </c>
      <c r="CR5" s="37">
        <f t="shared" ref="CR5:CR36" si="46">IF(CO5="ALTA",1,IF(CO5="MEDIA",2,3))</f>
        <v>1</v>
      </c>
      <c r="CS5" s="37">
        <f t="shared" ref="CS5:CS36" si="47">IF(CP5="ALTA",1,IF(CP5="MEDIA",2,3))</f>
        <v>1</v>
      </c>
      <c r="CT5" s="37">
        <f t="shared" ref="CT5:CT36" si="48">IF(SUM(CQ5:CS5)&gt;=7,SUM(CQ5:CS5),0)</f>
        <v>0</v>
      </c>
      <c r="CU5" s="37">
        <f t="shared" ref="CU5:CU36" si="49">((CT5)*100)/9</f>
        <v>0</v>
      </c>
      <c r="CV5" s="36" t="s">
        <v>2067</v>
      </c>
      <c r="CW5" s="37">
        <f t="shared" ref="CW5:CW36" si="50">IF(IF(CV5="ALTO",4,IF(CV5="MEDIO",3,IF(CV5="BAJO",2,1)))&gt;=3,IF(CV5="ALTO",4,IF(CV5="MEDIO",3,IF(CV5="BAJO",2,1))),0)</f>
        <v>4</v>
      </c>
      <c r="CX5" s="37">
        <f t="shared" ref="CX5:CX36" si="51">(CW5*100)/4</f>
        <v>100</v>
      </c>
      <c r="CY5" s="37">
        <f t="shared" ref="CY5:CY36" si="52">X5*CY$3</f>
        <v>5</v>
      </c>
      <c r="CZ5" s="37">
        <f t="shared" ref="CZ5:CZ36" si="53">AD5*CZ$3</f>
        <v>10</v>
      </c>
      <c r="DA5" s="37">
        <f t="shared" ref="DA5:DA36" si="54">AP5*DA$3</f>
        <v>2</v>
      </c>
      <c r="DB5" s="37">
        <f t="shared" ref="DB5:DB36" si="55">AY5*DB$3</f>
        <v>10</v>
      </c>
      <c r="DC5" s="37">
        <f t="shared" ref="DC5:DC36" si="56">BK5*DC$3</f>
        <v>0</v>
      </c>
      <c r="DD5" s="37">
        <f t="shared" ref="DD5:DD36" si="57">BT5*DD$3</f>
        <v>0</v>
      </c>
      <c r="DE5" s="37">
        <f t="shared" ref="DE5:DE36" si="58">CM5*DE$3</f>
        <v>0</v>
      </c>
      <c r="DF5" s="37">
        <f>CU5*DF$3</f>
        <v>0</v>
      </c>
      <c r="DG5" s="37">
        <f t="shared" ref="DG5:DG36" si="59">CX5*DG$3</f>
        <v>5</v>
      </c>
      <c r="DH5" s="37">
        <f t="shared" ref="DH5:DH36" si="60">SUM(CY5:DG5)</f>
        <v>32</v>
      </c>
    </row>
    <row r="6" spans="1:112" ht="24.75" hidden="1" x14ac:dyDescent="0.25">
      <c r="A6" s="37">
        <v>2</v>
      </c>
      <c r="B6" s="153" t="s">
        <v>2168</v>
      </c>
      <c r="C6" s="149"/>
      <c r="D6" s="149"/>
      <c r="E6" s="149"/>
      <c r="F6" s="149"/>
      <c r="G6" s="149"/>
      <c r="H6" s="149"/>
      <c r="I6" s="149"/>
      <c r="J6" s="53" t="s">
        <v>1947</v>
      </c>
      <c r="K6" s="53" t="s">
        <v>1948</v>
      </c>
      <c r="L6" s="53" t="s">
        <v>1947</v>
      </c>
      <c r="M6" s="61">
        <f t="shared" si="0"/>
        <v>0</v>
      </c>
      <c r="N6" s="61">
        <f t="shared" si="1"/>
        <v>1</v>
      </c>
      <c r="O6" s="61">
        <f t="shared" si="2"/>
        <v>0</v>
      </c>
      <c r="P6" s="61">
        <f t="shared" si="3"/>
        <v>1</v>
      </c>
      <c r="Q6" s="53" t="s">
        <v>2165</v>
      </c>
      <c r="R6" s="53" t="s">
        <v>2165</v>
      </c>
      <c r="S6" s="53" t="s">
        <v>1948</v>
      </c>
      <c r="T6" s="61">
        <f t="shared" si="4"/>
        <v>0</v>
      </c>
      <c r="U6" s="61">
        <f t="shared" si="5"/>
        <v>0</v>
      </c>
      <c r="V6" s="61">
        <f t="shared" si="6"/>
        <v>1</v>
      </c>
      <c r="W6" s="61">
        <f t="shared" si="7"/>
        <v>1</v>
      </c>
      <c r="X6" s="61">
        <f t="shared" si="8"/>
        <v>33.333333333333336</v>
      </c>
      <c r="Y6" s="53" t="s">
        <v>1948</v>
      </c>
      <c r="Z6" s="53" t="s">
        <v>1947</v>
      </c>
      <c r="AA6" s="61">
        <f t="shared" si="9"/>
        <v>1</v>
      </c>
      <c r="AB6" s="61">
        <f t="shared" si="10"/>
        <v>0</v>
      </c>
      <c r="AC6" s="61">
        <f t="shared" si="11"/>
        <v>1</v>
      </c>
      <c r="AD6" s="61">
        <f t="shared" si="12"/>
        <v>50</v>
      </c>
      <c r="AE6" s="53" t="s">
        <v>1947</v>
      </c>
      <c r="AF6" s="53" t="s">
        <v>1947</v>
      </c>
      <c r="AG6" s="53" t="s">
        <v>1947</v>
      </c>
      <c r="AH6" s="53" t="s">
        <v>1947</v>
      </c>
      <c r="AI6" s="53" t="s">
        <v>1947</v>
      </c>
      <c r="AJ6" s="50">
        <f t="shared" si="13"/>
        <v>0</v>
      </c>
      <c r="AK6" s="50">
        <f t="shared" si="14"/>
        <v>0</v>
      </c>
      <c r="AL6" s="50">
        <f t="shared" si="15"/>
        <v>0</v>
      </c>
      <c r="AM6" s="50">
        <f t="shared" si="16"/>
        <v>0</v>
      </c>
      <c r="AN6" s="50">
        <f t="shared" si="17"/>
        <v>0</v>
      </c>
      <c r="AO6" s="50">
        <f t="shared" si="18"/>
        <v>0</v>
      </c>
      <c r="AP6" s="51">
        <f t="shared" si="19"/>
        <v>0</v>
      </c>
      <c r="AQ6" s="51">
        <f t="shared" si="20"/>
        <v>83.333333333333343</v>
      </c>
      <c r="AR6" s="53"/>
      <c r="AS6" s="53"/>
      <c r="AT6" s="53"/>
      <c r="AU6" s="50">
        <f t="shared" si="21"/>
        <v>0</v>
      </c>
      <c r="AV6" s="50">
        <f t="shared" si="22"/>
        <v>0</v>
      </c>
      <c r="AW6" s="50">
        <f t="shared" si="23"/>
        <v>0</v>
      </c>
      <c r="AX6" s="50">
        <f t="shared" si="24"/>
        <v>0</v>
      </c>
      <c r="AY6" s="50">
        <f t="shared" si="25"/>
        <v>0</v>
      </c>
      <c r="AZ6" s="36"/>
      <c r="BA6" s="36"/>
      <c r="BB6" s="36"/>
      <c r="BC6" s="36"/>
      <c r="BD6" s="37">
        <f t="shared" si="26"/>
        <v>0</v>
      </c>
      <c r="BE6" s="37">
        <f t="shared" si="27"/>
        <v>0</v>
      </c>
      <c r="BF6" s="37">
        <f t="shared" si="28"/>
        <v>0</v>
      </c>
      <c r="BG6" s="37">
        <f t="shared" si="29"/>
        <v>0</v>
      </c>
      <c r="BH6" s="37">
        <f t="shared" si="30"/>
        <v>0</v>
      </c>
      <c r="BI6" s="37">
        <f t="shared" si="31"/>
        <v>0</v>
      </c>
      <c r="BJ6" s="37">
        <f t="shared" si="32"/>
        <v>0</v>
      </c>
      <c r="BK6" s="37">
        <f t="shared" si="33"/>
        <v>0</v>
      </c>
      <c r="BL6" s="36" t="s">
        <v>2067</v>
      </c>
      <c r="BM6" s="36" t="s">
        <v>2067</v>
      </c>
      <c r="BN6" s="36" t="s">
        <v>2067</v>
      </c>
      <c r="BO6" s="37">
        <f t="shared" si="34"/>
        <v>0</v>
      </c>
      <c r="BP6" s="37">
        <f t="shared" si="35"/>
        <v>0</v>
      </c>
      <c r="BQ6" s="37">
        <f t="shared" si="36"/>
        <v>0</v>
      </c>
      <c r="BR6" s="37">
        <f t="shared" si="37"/>
        <v>0</v>
      </c>
      <c r="BS6" s="37">
        <f t="shared" si="38"/>
        <v>0</v>
      </c>
      <c r="BT6" s="37">
        <f t="shared" si="39"/>
        <v>0</v>
      </c>
      <c r="BU6" s="36"/>
      <c r="BV6" s="36"/>
      <c r="BW6" s="37"/>
      <c r="BX6" s="37"/>
      <c r="BY6" s="37"/>
      <c r="BZ6" s="37"/>
      <c r="CA6" s="36"/>
      <c r="CB6" s="36"/>
      <c r="CC6" s="37"/>
      <c r="CD6" s="37"/>
      <c r="CE6" s="37"/>
      <c r="CF6" s="37"/>
      <c r="CG6" s="36"/>
      <c r="CH6" s="36"/>
      <c r="CI6" s="37">
        <f t="shared" si="40"/>
        <v>1</v>
      </c>
      <c r="CJ6" s="37">
        <f t="shared" si="41"/>
        <v>0.75</v>
      </c>
      <c r="CK6" s="37">
        <f t="shared" si="42"/>
        <v>0.75</v>
      </c>
      <c r="CL6" s="37">
        <f t="shared" si="43"/>
        <v>0</v>
      </c>
      <c r="CM6" s="37">
        <f t="shared" si="44"/>
        <v>0</v>
      </c>
      <c r="CN6" s="36" t="s">
        <v>2166</v>
      </c>
      <c r="CO6" s="36" t="s">
        <v>2166</v>
      </c>
      <c r="CP6" s="36" t="s">
        <v>2166</v>
      </c>
      <c r="CQ6" s="37">
        <f t="shared" si="45"/>
        <v>1</v>
      </c>
      <c r="CR6" s="37">
        <f t="shared" si="46"/>
        <v>1</v>
      </c>
      <c r="CS6" s="37">
        <f t="shared" si="47"/>
        <v>1</v>
      </c>
      <c r="CT6" s="37">
        <f t="shared" si="48"/>
        <v>0</v>
      </c>
      <c r="CU6" s="37">
        <f t="shared" si="49"/>
        <v>0</v>
      </c>
      <c r="CV6" s="36"/>
      <c r="CW6" s="37">
        <f t="shared" si="50"/>
        <v>0</v>
      </c>
      <c r="CX6" s="37">
        <f t="shared" si="51"/>
        <v>0</v>
      </c>
      <c r="CY6" s="37">
        <f t="shared" si="52"/>
        <v>3.3333333333333339</v>
      </c>
      <c r="CZ6" s="37">
        <f t="shared" si="53"/>
        <v>5</v>
      </c>
      <c r="DA6" s="37">
        <f t="shared" si="54"/>
        <v>0</v>
      </c>
      <c r="DB6" s="37">
        <f t="shared" si="55"/>
        <v>0</v>
      </c>
      <c r="DC6" s="37">
        <f t="shared" si="56"/>
        <v>0</v>
      </c>
      <c r="DD6" s="37">
        <f t="shared" si="57"/>
        <v>0</v>
      </c>
      <c r="DE6" s="37">
        <f t="shared" si="58"/>
        <v>0</v>
      </c>
      <c r="DF6" s="37">
        <f t="shared" ref="DF6:DF37" si="61">BK6*DF$3</f>
        <v>0</v>
      </c>
      <c r="DG6" s="37">
        <f t="shared" si="59"/>
        <v>0</v>
      </c>
      <c r="DH6" s="37">
        <f t="shared" si="60"/>
        <v>8.3333333333333339</v>
      </c>
    </row>
    <row r="7" spans="1:112" ht="24.75" hidden="1" x14ac:dyDescent="0.25">
      <c r="A7" s="37">
        <v>3</v>
      </c>
      <c r="B7" s="153" t="s">
        <v>2169</v>
      </c>
      <c r="C7" s="149"/>
      <c r="D7" s="149"/>
      <c r="E7" s="149"/>
      <c r="F7" s="149"/>
      <c r="G7" s="149"/>
      <c r="H7" s="149"/>
      <c r="I7" s="149"/>
      <c r="J7" s="53" t="s">
        <v>1947</v>
      </c>
      <c r="K7" s="53" t="s">
        <v>1948</v>
      </c>
      <c r="L7" s="53" t="s">
        <v>1947</v>
      </c>
      <c r="M7" s="61">
        <f t="shared" si="0"/>
        <v>0</v>
      </c>
      <c r="N7" s="61">
        <f t="shared" si="1"/>
        <v>1</v>
      </c>
      <c r="O7" s="61">
        <f t="shared" si="2"/>
        <v>0</v>
      </c>
      <c r="P7" s="61">
        <f t="shared" si="3"/>
        <v>1</v>
      </c>
      <c r="Q7" s="53" t="s">
        <v>2165</v>
      </c>
      <c r="R7" s="53" t="s">
        <v>2165</v>
      </c>
      <c r="S7" s="53" t="s">
        <v>1948</v>
      </c>
      <c r="T7" s="61">
        <f t="shared" si="4"/>
        <v>0</v>
      </c>
      <c r="U7" s="61">
        <f t="shared" si="5"/>
        <v>0</v>
      </c>
      <c r="V7" s="61">
        <f t="shared" si="6"/>
        <v>1</v>
      </c>
      <c r="W7" s="61">
        <f t="shared" si="7"/>
        <v>1</v>
      </c>
      <c r="X7" s="61">
        <f t="shared" si="8"/>
        <v>33.333333333333336</v>
      </c>
      <c r="Y7" s="53" t="s">
        <v>1948</v>
      </c>
      <c r="Z7" s="53" t="s">
        <v>1947</v>
      </c>
      <c r="AA7" s="61">
        <f t="shared" si="9"/>
        <v>1</v>
      </c>
      <c r="AB7" s="61">
        <f t="shared" si="10"/>
        <v>0</v>
      </c>
      <c r="AC7" s="61">
        <f t="shared" si="11"/>
        <v>1</v>
      </c>
      <c r="AD7" s="61">
        <f t="shared" si="12"/>
        <v>50</v>
      </c>
      <c r="AE7" s="53" t="s">
        <v>1947</v>
      </c>
      <c r="AF7" s="53" t="s">
        <v>1947</v>
      </c>
      <c r="AG7" s="53" t="s">
        <v>1947</v>
      </c>
      <c r="AH7" s="53" t="s">
        <v>1947</v>
      </c>
      <c r="AI7" s="53" t="s">
        <v>1947</v>
      </c>
      <c r="AJ7" s="50">
        <f t="shared" si="13"/>
        <v>0</v>
      </c>
      <c r="AK7" s="50">
        <f t="shared" si="14"/>
        <v>0</v>
      </c>
      <c r="AL7" s="50">
        <f t="shared" si="15"/>
        <v>0</v>
      </c>
      <c r="AM7" s="50">
        <f t="shared" si="16"/>
        <v>0</v>
      </c>
      <c r="AN7" s="50">
        <f t="shared" si="17"/>
        <v>0</v>
      </c>
      <c r="AO7" s="50">
        <f t="shared" si="18"/>
        <v>0</v>
      </c>
      <c r="AP7" s="51">
        <f t="shared" si="19"/>
        <v>0</v>
      </c>
      <c r="AQ7" s="51">
        <f t="shared" si="20"/>
        <v>83.333333333333343</v>
      </c>
      <c r="AR7" s="53"/>
      <c r="AS7" s="53"/>
      <c r="AT7" s="53"/>
      <c r="AU7" s="50">
        <f t="shared" si="21"/>
        <v>0</v>
      </c>
      <c r="AV7" s="50">
        <f t="shared" si="22"/>
        <v>0</v>
      </c>
      <c r="AW7" s="50">
        <f t="shared" si="23"/>
        <v>0</v>
      </c>
      <c r="AX7" s="50">
        <f t="shared" si="24"/>
        <v>0</v>
      </c>
      <c r="AY7" s="50">
        <f t="shared" si="25"/>
        <v>0</v>
      </c>
      <c r="AZ7" s="36"/>
      <c r="BA7" s="36"/>
      <c r="BB7" s="36"/>
      <c r="BC7" s="36"/>
      <c r="BD7" s="37">
        <f t="shared" si="26"/>
        <v>0</v>
      </c>
      <c r="BE7" s="37">
        <f t="shared" si="27"/>
        <v>0</v>
      </c>
      <c r="BF7" s="37">
        <f t="shared" si="28"/>
        <v>0</v>
      </c>
      <c r="BG7" s="37">
        <f t="shared" si="29"/>
        <v>0</v>
      </c>
      <c r="BH7" s="37">
        <f t="shared" si="30"/>
        <v>0</v>
      </c>
      <c r="BI7" s="37">
        <f t="shared" si="31"/>
        <v>0</v>
      </c>
      <c r="BJ7" s="37">
        <f t="shared" si="32"/>
        <v>0</v>
      </c>
      <c r="BK7" s="37">
        <f t="shared" si="33"/>
        <v>0</v>
      </c>
      <c r="BL7" s="36" t="s">
        <v>2067</v>
      </c>
      <c r="BM7" s="36" t="s">
        <v>2067</v>
      </c>
      <c r="BN7" s="36" t="s">
        <v>2067</v>
      </c>
      <c r="BO7" s="37">
        <f t="shared" si="34"/>
        <v>0</v>
      </c>
      <c r="BP7" s="37">
        <f t="shared" si="35"/>
        <v>0</v>
      </c>
      <c r="BQ7" s="37">
        <f t="shared" si="36"/>
        <v>0</v>
      </c>
      <c r="BR7" s="37">
        <f t="shared" si="37"/>
        <v>0</v>
      </c>
      <c r="BS7" s="37">
        <f t="shared" si="38"/>
        <v>0</v>
      </c>
      <c r="BT7" s="37">
        <f t="shared" si="39"/>
        <v>0</v>
      </c>
      <c r="BU7" s="36"/>
      <c r="BV7" s="36"/>
      <c r="BW7" s="37"/>
      <c r="BX7" s="37"/>
      <c r="BY7" s="37"/>
      <c r="BZ7" s="37"/>
      <c r="CA7" s="36"/>
      <c r="CB7" s="36"/>
      <c r="CC7" s="37"/>
      <c r="CD7" s="37"/>
      <c r="CE7" s="37"/>
      <c r="CF7" s="37"/>
      <c r="CG7" s="36"/>
      <c r="CH7" s="36"/>
      <c r="CI7" s="37">
        <f t="shared" si="40"/>
        <v>1</v>
      </c>
      <c r="CJ7" s="37">
        <f t="shared" si="41"/>
        <v>0.75</v>
      </c>
      <c r="CK7" s="37">
        <f t="shared" si="42"/>
        <v>0.75</v>
      </c>
      <c r="CL7" s="37">
        <f t="shared" si="43"/>
        <v>0</v>
      </c>
      <c r="CM7" s="37">
        <f t="shared" si="44"/>
        <v>0</v>
      </c>
      <c r="CN7" s="36" t="s">
        <v>2166</v>
      </c>
      <c r="CO7" s="36" t="s">
        <v>2166</v>
      </c>
      <c r="CP7" s="36" t="s">
        <v>2166</v>
      </c>
      <c r="CQ7" s="37">
        <f t="shared" si="45"/>
        <v>1</v>
      </c>
      <c r="CR7" s="37">
        <f t="shared" si="46"/>
        <v>1</v>
      </c>
      <c r="CS7" s="37">
        <f t="shared" si="47"/>
        <v>1</v>
      </c>
      <c r="CT7" s="37">
        <f t="shared" si="48"/>
        <v>0</v>
      </c>
      <c r="CU7" s="37">
        <f t="shared" si="49"/>
        <v>0</v>
      </c>
      <c r="CV7" s="36"/>
      <c r="CW7" s="37">
        <f t="shared" si="50"/>
        <v>0</v>
      </c>
      <c r="CX7" s="37">
        <f t="shared" si="51"/>
        <v>0</v>
      </c>
      <c r="CY7" s="37">
        <f t="shared" si="52"/>
        <v>3.3333333333333339</v>
      </c>
      <c r="CZ7" s="37">
        <f t="shared" si="53"/>
        <v>5</v>
      </c>
      <c r="DA7" s="37">
        <f t="shared" si="54"/>
        <v>0</v>
      </c>
      <c r="DB7" s="37">
        <f t="shared" si="55"/>
        <v>0</v>
      </c>
      <c r="DC7" s="37">
        <f t="shared" si="56"/>
        <v>0</v>
      </c>
      <c r="DD7" s="37">
        <f t="shared" si="57"/>
        <v>0</v>
      </c>
      <c r="DE7" s="37">
        <f t="shared" si="58"/>
        <v>0</v>
      </c>
      <c r="DF7" s="37">
        <f t="shared" si="61"/>
        <v>0</v>
      </c>
      <c r="DG7" s="37">
        <f t="shared" si="59"/>
        <v>0</v>
      </c>
      <c r="DH7" s="37">
        <f t="shared" si="60"/>
        <v>8.3333333333333339</v>
      </c>
    </row>
    <row r="8" spans="1:112" ht="24.75" hidden="1" x14ac:dyDescent="0.25">
      <c r="A8" s="37">
        <v>4</v>
      </c>
      <c r="B8" s="153" t="s">
        <v>2170</v>
      </c>
      <c r="C8" s="149"/>
      <c r="D8" s="149"/>
      <c r="E8" s="149"/>
      <c r="F8" s="149"/>
      <c r="G8" s="149"/>
      <c r="H8" s="149"/>
      <c r="I8" s="149"/>
      <c r="J8" s="53" t="s">
        <v>1947</v>
      </c>
      <c r="K8" s="53" t="s">
        <v>1948</v>
      </c>
      <c r="L8" s="53" t="s">
        <v>1947</v>
      </c>
      <c r="M8" s="61">
        <f t="shared" si="0"/>
        <v>0</v>
      </c>
      <c r="N8" s="61">
        <f t="shared" si="1"/>
        <v>1</v>
      </c>
      <c r="O8" s="61">
        <f t="shared" si="2"/>
        <v>0</v>
      </c>
      <c r="P8" s="61">
        <f t="shared" si="3"/>
        <v>1</v>
      </c>
      <c r="Q8" s="53" t="s">
        <v>2165</v>
      </c>
      <c r="R8" s="53" t="s">
        <v>2165</v>
      </c>
      <c r="S8" s="53" t="s">
        <v>1948</v>
      </c>
      <c r="T8" s="61">
        <f t="shared" si="4"/>
        <v>0</v>
      </c>
      <c r="U8" s="61">
        <f t="shared" si="5"/>
        <v>0</v>
      </c>
      <c r="V8" s="61">
        <f t="shared" si="6"/>
        <v>1</v>
      </c>
      <c r="W8" s="61">
        <f t="shared" si="7"/>
        <v>1</v>
      </c>
      <c r="X8" s="61">
        <f t="shared" si="8"/>
        <v>33.333333333333336</v>
      </c>
      <c r="Y8" s="53" t="s">
        <v>1948</v>
      </c>
      <c r="Z8" s="53" t="s">
        <v>1947</v>
      </c>
      <c r="AA8" s="61">
        <f t="shared" si="9"/>
        <v>1</v>
      </c>
      <c r="AB8" s="61">
        <f t="shared" si="10"/>
        <v>0</v>
      </c>
      <c r="AC8" s="61">
        <f t="shared" si="11"/>
        <v>1</v>
      </c>
      <c r="AD8" s="61">
        <f t="shared" si="12"/>
        <v>50</v>
      </c>
      <c r="AE8" s="53" t="s">
        <v>1947</v>
      </c>
      <c r="AF8" s="53" t="s">
        <v>1947</v>
      </c>
      <c r="AG8" s="53" t="s">
        <v>1947</v>
      </c>
      <c r="AH8" s="53" t="s">
        <v>1947</v>
      </c>
      <c r="AI8" s="53" t="s">
        <v>1947</v>
      </c>
      <c r="AJ8" s="50">
        <f t="shared" si="13"/>
        <v>0</v>
      </c>
      <c r="AK8" s="50">
        <f t="shared" si="14"/>
        <v>0</v>
      </c>
      <c r="AL8" s="50">
        <f t="shared" si="15"/>
        <v>0</v>
      </c>
      <c r="AM8" s="50">
        <f t="shared" si="16"/>
        <v>0</v>
      </c>
      <c r="AN8" s="50">
        <f t="shared" si="17"/>
        <v>0</v>
      </c>
      <c r="AO8" s="50">
        <f t="shared" si="18"/>
        <v>0</v>
      </c>
      <c r="AP8" s="51">
        <f t="shared" si="19"/>
        <v>0</v>
      </c>
      <c r="AQ8" s="51">
        <f t="shared" si="20"/>
        <v>83.333333333333343</v>
      </c>
      <c r="AR8" s="53"/>
      <c r="AS8" s="53"/>
      <c r="AT8" s="53"/>
      <c r="AU8" s="50">
        <f t="shared" si="21"/>
        <v>0</v>
      </c>
      <c r="AV8" s="50">
        <f t="shared" si="22"/>
        <v>0</v>
      </c>
      <c r="AW8" s="50">
        <f t="shared" si="23"/>
        <v>0</v>
      </c>
      <c r="AX8" s="50">
        <f t="shared" si="24"/>
        <v>0</v>
      </c>
      <c r="AY8" s="50">
        <f t="shared" si="25"/>
        <v>0</v>
      </c>
      <c r="AZ8" s="36"/>
      <c r="BA8" s="36"/>
      <c r="BB8" s="36"/>
      <c r="BC8" s="36"/>
      <c r="BD8" s="37">
        <f t="shared" si="26"/>
        <v>0</v>
      </c>
      <c r="BE8" s="37">
        <f t="shared" si="27"/>
        <v>0</v>
      </c>
      <c r="BF8" s="37">
        <f t="shared" si="28"/>
        <v>0</v>
      </c>
      <c r="BG8" s="37">
        <f t="shared" si="29"/>
        <v>0</v>
      </c>
      <c r="BH8" s="37">
        <f t="shared" si="30"/>
        <v>0</v>
      </c>
      <c r="BI8" s="37">
        <f t="shared" si="31"/>
        <v>0</v>
      </c>
      <c r="BJ8" s="37">
        <f t="shared" si="32"/>
        <v>0</v>
      </c>
      <c r="BK8" s="37">
        <f t="shared" si="33"/>
        <v>0</v>
      </c>
      <c r="BL8" s="36" t="s">
        <v>2067</v>
      </c>
      <c r="BM8" s="36" t="s">
        <v>2067</v>
      </c>
      <c r="BN8" s="36" t="s">
        <v>2067</v>
      </c>
      <c r="BO8" s="37">
        <f t="shared" si="34"/>
        <v>0</v>
      </c>
      <c r="BP8" s="37">
        <f t="shared" si="35"/>
        <v>0</v>
      </c>
      <c r="BQ8" s="37">
        <f t="shared" si="36"/>
        <v>0</v>
      </c>
      <c r="BR8" s="37">
        <f t="shared" si="37"/>
        <v>0</v>
      </c>
      <c r="BS8" s="37">
        <f t="shared" si="38"/>
        <v>0</v>
      </c>
      <c r="BT8" s="37">
        <f t="shared" si="39"/>
        <v>0</v>
      </c>
      <c r="BU8" s="36"/>
      <c r="BV8" s="36"/>
      <c r="BW8" s="37"/>
      <c r="BX8" s="37"/>
      <c r="BY8" s="37"/>
      <c r="BZ8" s="37"/>
      <c r="CA8" s="36"/>
      <c r="CB8" s="36"/>
      <c r="CC8" s="37"/>
      <c r="CD8" s="37"/>
      <c r="CE8" s="37"/>
      <c r="CF8" s="37"/>
      <c r="CG8" s="36"/>
      <c r="CH8" s="36"/>
      <c r="CI8" s="37">
        <f t="shared" si="40"/>
        <v>1</v>
      </c>
      <c r="CJ8" s="37">
        <f t="shared" si="41"/>
        <v>0.75</v>
      </c>
      <c r="CK8" s="37">
        <f t="shared" si="42"/>
        <v>0.75</v>
      </c>
      <c r="CL8" s="37">
        <f t="shared" si="43"/>
        <v>0</v>
      </c>
      <c r="CM8" s="37">
        <f t="shared" si="44"/>
        <v>0</v>
      </c>
      <c r="CN8" s="36" t="s">
        <v>2166</v>
      </c>
      <c r="CO8" s="36" t="s">
        <v>2166</v>
      </c>
      <c r="CP8" s="36" t="s">
        <v>2166</v>
      </c>
      <c r="CQ8" s="37">
        <f t="shared" si="45"/>
        <v>1</v>
      </c>
      <c r="CR8" s="37">
        <f t="shared" si="46"/>
        <v>1</v>
      </c>
      <c r="CS8" s="37">
        <f t="shared" si="47"/>
        <v>1</v>
      </c>
      <c r="CT8" s="37">
        <f t="shared" si="48"/>
        <v>0</v>
      </c>
      <c r="CU8" s="37">
        <f t="shared" si="49"/>
        <v>0</v>
      </c>
      <c r="CV8" s="36"/>
      <c r="CW8" s="37">
        <f t="shared" si="50"/>
        <v>0</v>
      </c>
      <c r="CX8" s="37">
        <f t="shared" si="51"/>
        <v>0</v>
      </c>
      <c r="CY8" s="37">
        <f t="shared" si="52"/>
        <v>3.3333333333333339</v>
      </c>
      <c r="CZ8" s="37">
        <f t="shared" si="53"/>
        <v>5</v>
      </c>
      <c r="DA8" s="37">
        <f t="shared" si="54"/>
        <v>0</v>
      </c>
      <c r="DB8" s="37">
        <f t="shared" si="55"/>
        <v>0</v>
      </c>
      <c r="DC8" s="37">
        <f t="shared" si="56"/>
        <v>0</v>
      </c>
      <c r="DD8" s="37">
        <f t="shared" si="57"/>
        <v>0</v>
      </c>
      <c r="DE8" s="37">
        <f t="shared" si="58"/>
        <v>0</v>
      </c>
      <c r="DF8" s="37">
        <f t="shared" si="61"/>
        <v>0</v>
      </c>
      <c r="DG8" s="37">
        <f t="shared" si="59"/>
        <v>0</v>
      </c>
      <c r="DH8" s="37">
        <f t="shared" si="60"/>
        <v>8.3333333333333339</v>
      </c>
    </row>
    <row r="9" spans="1:112" ht="24.75" hidden="1" x14ac:dyDescent="0.25">
      <c r="A9" s="37">
        <v>5</v>
      </c>
      <c r="B9" s="153" t="s">
        <v>2171</v>
      </c>
      <c r="C9" s="149"/>
      <c r="D9" s="149"/>
      <c r="E9" s="149"/>
      <c r="F9" s="149"/>
      <c r="G9" s="149"/>
      <c r="H9" s="149"/>
      <c r="I9" s="149"/>
      <c r="J9" s="53" t="s">
        <v>1947</v>
      </c>
      <c r="K9" s="53" t="s">
        <v>1948</v>
      </c>
      <c r="L9" s="53" t="s">
        <v>1947</v>
      </c>
      <c r="M9" s="61">
        <f t="shared" si="0"/>
        <v>0</v>
      </c>
      <c r="N9" s="61">
        <f t="shared" si="1"/>
        <v>1</v>
      </c>
      <c r="O9" s="61">
        <f t="shared" si="2"/>
        <v>0</v>
      </c>
      <c r="P9" s="61">
        <f t="shared" si="3"/>
        <v>1</v>
      </c>
      <c r="Q9" s="53" t="s">
        <v>2165</v>
      </c>
      <c r="R9" s="53" t="s">
        <v>2165</v>
      </c>
      <c r="S9" s="53" t="s">
        <v>1948</v>
      </c>
      <c r="T9" s="61">
        <f t="shared" si="4"/>
        <v>0</v>
      </c>
      <c r="U9" s="61">
        <f t="shared" si="5"/>
        <v>0</v>
      </c>
      <c r="V9" s="61">
        <f t="shared" si="6"/>
        <v>1</v>
      </c>
      <c r="W9" s="61">
        <f t="shared" si="7"/>
        <v>1</v>
      </c>
      <c r="X9" s="61">
        <f t="shared" si="8"/>
        <v>33.333333333333336</v>
      </c>
      <c r="Y9" s="53" t="s">
        <v>1948</v>
      </c>
      <c r="Z9" s="53" t="s">
        <v>1947</v>
      </c>
      <c r="AA9" s="61">
        <f t="shared" si="9"/>
        <v>1</v>
      </c>
      <c r="AB9" s="61">
        <f t="shared" si="10"/>
        <v>0</v>
      </c>
      <c r="AC9" s="61">
        <f t="shared" si="11"/>
        <v>1</v>
      </c>
      <c r="AD9" s="61">
        <f t="shared" si="12"/>
        <v>50</v>
      </c>
      <c r="AE9" s="53" t="s">
        <v>1947</v>
      </c>
      <c r="AF9" s="53" t="s">
        <v>1947</v>
      </c>
      <c r="AG9" s="53" t="s">
        <v>1947</v>
      </c>
      <c r="AH9" s="53" t="s">
        <v>1947</v>
      </c>
      <c r="AI9" s="53" t="s">
        <v>1947</v>
      </c>
      <c r="AJ9" s="50">
        <f t="shared" si="13"/>
        <v>0</v>
      </c>
      <c r="AK9" s="50">
        <f t="shared" si="14"/>
        <v>0</v>
      </c>
      <c r="AL9" s="50">
        <f t="shared" si="15"/>
        <v>0</v>
      </c>
      <c r="AM9" s="50">
        <f t="shared" si="16"/>
        <v>0</v>
      </c>
      <c r="AN9" s="50">
        <f t="shared" si="17"/>
        <v>0</v>
      </c>
      <c r="AO9" s="50">
        <f t="shared" si="18"/>
        <v>0</v>
      </c>
      <c r="AP9" s="51">
        <f t="shared" si="19"/>
        <v>0</v>
      </c>
      <c r="AQ9" s="51">
        <f t="shared" si="20"/>
        <v>83.333333333333343</v>
      </c>
      <c r="AR9" s="53"/>
      <c r="AS9" s="53"/>
      <c r="AT9" s="53"/>
      <c r="AU9" s="50">
        <f t="shared" si="21"/>
        <v>0</v>
      </c>
      <c r="AV9" s="50">
        <f t="shared" si="22"/>
        <v>0</v>
      </c>
      <c r="AW9" s="50">
        <f t="shared" si="23"/>
        <v>0</v>
      </c>
      <c r="AX9" s="50">
        <f t="shared" si="24"/>
        <v>0</v>
      </c>
      <c r="AY9" s="50">
        <f t="shared" si="25"/>
        <v>0</v>
      </c>
      <c r="AZ9" s="36"/>
      <c r="BA9" s="36"/>
      <c r="BB9" s="36"/>
      <c r="BC9" s="36"/>
      <c r="BD9" s="37">
        <f t="shared" si="26"/>
        <v>0</v>
      </c>
      <c r="BE9" s="37">
        <f t="shared" si="27"/>
        <v>0</v>
      </c>
      <c r="BF9" s="37">
        <f t="shared" si="28"/>
        <v>0</v>
      </c>
      <c r="BG9" s="37">
        <f t="shared" si="29"/>
        <v>0</v>
      </c>
      <c r="BH9" s="37">
        <f t="shared" si="30"/>
        <v>0</v>
      </c>
      <c r="BI9" s="37">
        <f t="shared" si="31"/>
        <v>0</v>
      </c>
      <c r="BJ9" s="37">
        <f t="shared" si="32"/>
        <v>0</v>
      </c>
      <c r="BK9" s="37">
        <f t="shared" si="33"/>
        <v>0</v>
      </c>
      <c r="BL9" s="36" t="s">
        <v>2067</v>
      </c>
      <c r="BM9" s="36" t="s">
        <v>2067</v>
      </c>
      <c r="BN9" s="36" t="s">
        <v>2067</v>
      </c>
      <c r="BO9" s="37">
        <f t="shared" si="34"/>
        <v>0</v>
      </c>
      <c r="BP9" s="37">
        <f t="shared" si="35"/>
        <v>0</v>
      </c>
      <c r="BQ9" s="37">
        <f t="shared" si="36"/>
        <v>0</v>
      </c>
      <c r="BR9" s="37">
        <f t="shared" si="37"/>
        <v>0</v>
      </c>
      <c r="BS9" s="37">
        <f t="shared" si="38"/>
        <v>0</v>
      </c>
      <c r="BT9" s="37">
        <f t="shared" si="39"/>
        <v>0</v>
      </c>
      <c r="BU9" s="36"/>
      <c r="BV9" s="36"/>
      <c r="BW9" s="37"/>
      <c r="BX9" s="37"/>
      <c r="BY9" s="37"/>
      <c r="BZ9" s="37"/>
      <c r="CA9" s="36"/>
      <c r="CB9" s="36"/>
      <c r="CC9" s="37"/>
      <c r="CD9" s="37"/>
      <c r="CE9" s="37"/>
      <c r="CF9" s="37"/>
      <c r="CG9" s="36"/>
      <c r="CH9" s="36"/>
      <c r="CI9" s="37">
        <f t="shared" si="40"/>
        <v>1</v>
      </c>
      <c r="CJ9" s="37">
        <f t="shared" si="41"/>
        <v>0.75</v>
      </c>
      <c r="CK9" s="37">
        <f t="shared" si="42"/>
        <v>0.75</v>
      </c>
      <c r="CL9" s="37">
        <f t="shared" si="43"/>
        <v>0</v>
      </c>
      <c r="CM9" s="37">
        <f t="shared" si="44"/>
        <v>0</v>
      </c>
      <c r="CN9" s="36" t="s">
        <v>2166</v>
      </c>
      <c r="CO9" s="36" t="s">
        <v>2166</v>
      </c>
      <c r="CP9" s="36" t="s">
        <v>2166</v>
      </c>
      <c r="CQ9" s="37">
        <f t="shared" si="45"/>
        <v>1</v>
      </c>
      <c r="CR9" s="37">
        <f t="shared" si="46"/>
        <v>1</v>
      </c>
      <c r="CS9" s="37">
        <f t="shared" si="47"/>
        <v>1</v>
      </c>
      <c r="CT9" s="37">
        <f t="shared" si="48"/>
        <v>0</v>
      </c>
      <c r="CU9" s="37">
        <f t="shared" si="49"/>
        <v>0</v>
      </c>
      <c r="CV9" s="36"/>
      <c r="CW9" s="37">
        <f t="shared" si="50"/>
        <v>0</v>
      </c>
      <c r="CX9" s="37">
        <f t="shared" si="51"/>
        <v>0</v>
      </c>
      <c r="CY9" s="37">
        <f t="shared" si="52"/>
        <v>3.3333333333333339</v>
      </c>
      <c r="CZ9" s="37">
        <f t="shared" si="53"/>
        <v>5</v>
      </c>
      <c r="DA9" s="37">
        <f t="shared" si="54"/>
        <v>0</v>
      </c>
      <c r="DB9" s="37">
        <f t="shared" si="55"/>
        <v>0</v>
      </c>
      <c r="DC9" s="37">
        <f t="shared" si="56"/>
        <v>0</v>
      </c>
      <c r="DD9" s="37">
        <f t="shared" si="57"/>
        <v>0</v>
      </c>
      <c r="DE9" s="37">
        <f t="shared" si="58"/>
        <v>0</v>
      </c>
      <c r="DF9" s="37">
        <f t="shared" si="61"/>
        <v>0</v>
      </c>
      <c r="DG9" s="37">
        <f t="shared" si="59"/>
        <v>0</v>
      </c>
      <c r="DH9" s="37">
        <f t="shared" si="60"/>
        <v>8.3333333333333339</v>
      </c>
    </row>
    <row r="10" spans="1:112" ht="24.75" hidden="1" x14ac:dyDescent="0.25">
      <c r="A10" s="37">
        <v>6</v>
      </c>
      <c r="B10" s="153" t="s">
        <v>2172</v>
      </c>
      <c r="C10" s="149"/>
      <c r="D10" s="149"/>
      <c r="E10" s="149"/>
      <c r="F10" s="149"/>
      <c r="G10" s="149"/>
      <c r="H10" s="149"/>
      <c r="I10" s="149"/>
      <c r="J10" s="53" t="s">
        <v>1947</v>
      </c>
      <c r="K10" s="53" t="s">
        <v>1948</v>
      </c>
      <c r="L10" s="53" t="s">
        <v>1947</v>
      </c>
      <c r="M10" s="61">
        <f t="shared" si="0"/>
        <v>0</v>
      </c>
      <c r="N10" s="61">
        <f t="shared" si="1"/>
        <v>1</v>
      </c>
      <c r="O10" s="61">
        <f t="shared" si="2"/>
        <v>0</v>
      </c>
      <c r="P10" s="61">
        <f t="shared" si="3"/>
        <v>1</v>
      </c>
      <c r="Q10" s="53" t="s">
        <v>2165</v>
      </c>
      <c r="R10" s="53" t="s">
        <v>2165</v>
      </c>
      <c r="S10" s="53" t="s">
        <v>1948</v>
      </c>
      <c r="T10" s="61">
        <f t="shared" si="4"/>
        <v>0</v>
      </c>
      <c r="U10" s="61">
        <f t="shared" si="5"/>
        <v>0</v>
      </c>
      <c r="V10" s="61">
        <f t="shared" si="6"/>
        <v>1</v>
      </c>
      <c r="W10" s="61">
        <f t="shared" si="7"/>
        <v>1</v>
      </c>
      <c r="X10" s="61">
        <f t="shared" si="8"/>
        <v>33.333333333333336</v>
      </c>
      <c r="Y10" s="53" t="s">
        <v>1948</v>
      </c>
      <c r="Z10" s="53" t="s">
        <v>1947</v>
      </c>
      <c r="AA10" s="61">
        <f t="shared" si="9"/>
        <v>1</v>
      </c>
      <c r="AB10" s="61">
        <f t="shared" si="10"/>
        <v>0</v>
      </c>
      <c r="AC10" s="61">
        <f t="shared" si="11"/>
        <v>1</v>
      </c>
      <c r="AD10" s="61">
        <f t="shared" si="12"/>
        <v>50</v>
      </c>
      <c r="AE10" s="53" t="s">
        <v>1947</v>
      </c>
      <c r="AF10" s="53" t="s">
        <v>1947</v>
      </c>
      <c r="AG10" s="53" t="s">
        <v>1947</v>
      </c>
      <c r="AH10" s="53" t="s">
        <v>1947</v>
      </c>
      <c r="AI10" s="53" t="s">
        <v>1947</v>
      </c>
      <c r="AJ10" s="50">
        <f t="shared" si="13"/>
        <v>0</v>
      </c>
      <c r="AK10" s="50">
        <f t="shared" si="14"/>
        <v>0</v>
      </c>
      <c r="AL10" s="50">
        <f t="shared" si="15"/>
        <v>0</v>
      </c>
      <c r="AM10" s="50">
        <f t="shared" si="16"/>
        <v>0</v>
      </c>
      <c r="AN10" s="50">
        <f t="shared" si="17"/>
        <v>0</v>
      </c>
      <c r="AO10" s="50">
        <f t="shared" si="18"/>
        <v>0</v>
      </c>
      <c r="AP10" s="51">
        <f t="shared" si="19"/>
        <v>0</v>
      </c>
      <c r="AQ10" s="51">
        <f t="shared" si="20"/>
        <v>83.333333333333343</v>
      </c>
      <c r="AR10" s="53"/>
      <c r="AS10" s="53"/>
      <c r="AT10" s="53"/>
      <c r="AU10" s="50">
        <f t="shared" si="21"/>
        <v>0</v>
      </c>
      <c r="AV10" s="50">
        <f t="shared" si="22"/>
        <v>0</v>
      </c>
      <c r="AW10" s="50">
        <f t="shared" si="23"/>
        <v>0</v>
      </c>
      <c r="AX10" s="50">
        <f t="shared" si="24"/>
        <v>0</v>
      </c>
      <c r="AY10" s="50">
        <f t="shared" si="25"/>
        <v>0</v>
      </c>
      <c r="AZ10" s="36"/>
      <c r="BA10" s="36"/>
      <c r="BB10" s="36"/>
      <c r="BC10" s="36"/>
      <c r="BD10" s="37">
        <f t="shared" si="26"/>
        <v>0</v>
      </c>
      <c r="BE10" s="37">
        <f t="shared" si="27"/>
        <v>0</v>
      </c>
      <c r="BF10" s="37">
        <f t="shared" si="28"/>
        <v>0</v>
      </c>
      <c r="BG10" s="37">
        <f t="shared" si="29"/>
        <v>0</v>
      </c>
      <c r="BH10" s="37">
        <f t="shared" si="30"/>
        <v>0</v>
      </c>
      <c r="BI10" s="37">
        <f t="shared" si="31"/>
        <v>0</v>
      </c>
      <c r="BJ10" s="37">
        <f t="shared" si="32"/>
        <v>0</v>
      </c>
      <c r="BK10" s="37">
        <f t="shared" si="33"/>
        <v>0</v>
      </c>
      <c r="BL10" s="36" t="s">
        <v>2067</v>
      </c>
      <c r="BM10" s="36" t="s">
        <v>2067</v>
      </c>
      <c r="BN10" s="36" t="s">
        <v>2067</v>
      </c>
      <c r="BO10" s="37">
        <f t="shared" si="34"/>
        <v>0</v>
      </c>
      <c r="BP10" s="37">
        <f t="shared" si="35"/>
        <v>0</v>
      </c>
      <c r="BQ10" s="37">
        <f t="shared" si="36"/>
        <v>0</v>
      </c>
      <c r="BR10" s="37">
        <f t="shared" si="37"/>
        <v>0</v>
      </c>
      <c r="BS10" s="37">
        <f t="shared" si="38"/>
        <v>0</v>
      </c>
      <c r="BT10" s="37">
        <f t="shared" si="39"/>
        <v>0</v>
      </c>
      <c r="BU10" s="36"/>
      <c r="BV10" s="36"/>
      <c r="BW10" s="37"/>
      <c r="BX10" s="37"/>
      <c r="BY10" s="37"/>
      <c r="BZ10" s="37"/>
      <c r="CA10" s="36"/>
      <c r="CB10" s="36"/>
      <c r="CC10" s="37"/>
      <c r="CD10" s="37"/>
      <c r="CE10" s="37"/>
      <c r="CF10" s="37"/>
      <c r="CG10" s="36"/>
      <c r="CH10" s="36"/>
      <c r="CI10" s="37">
        <f t="shared" si="40"/>
        <v>1</v>
      </c>
      <c r="CJ10" s="37">
        <f t="shared" si="41"/>
        <v>0.75</v>
      </c>
      <c r="CK10" s="37">
        <f t="shared" si="42"/>
        <v>0.75</v>
      </c>
      <c r="CL10" s="37">
        <f t="shared" si="43"/>
        <v>0</v>
      </c>
      <c r="CM10" s="37">
        <f t="shared" si="44"/>
        <v>0</v>
      </c>
      <c r="CN10" s="36" t="s">
        <v>2166</v>
      </c>
      <c r="CO10" s="36" t="s">
        <v>2166</v>
      </c>
      <c r="CP10" s="36" t="s">
        <v>2166</v>
      </c>
      <c r="CQ10" s="37">
        <f t="shared" si="45"/>
        <v>1</v>
      </c>
      <c r="CR10" s="37">
        <f t="shared" si="46"/>
        <v>1</v>
      </c>
      <c r="CS10" s="37">
        <f t="shared" si="47"/>
        <v>1</v>
      </c>
      <c r="CT10" s="37">
        <f t="shared" si="48"/>
        <v>0</v>
      </c>
      <c r="CU10" s="37">
        <f t="shared" si="49"/>
        <v>0</v>
      </c>
      <c r="CV10" s="36"/>
      <c r="CW10" s="37">
        <f t="shared" si="50"/>
        <v>0</v>
      </c>
      <c r="CX10" s="37">
        <f t="shared" si="51"/>
        <v>0</v>
      </c>
      <c r="CY10" s="37">
        <f t="shared" si="52"/>
        <v>3.3333333333333339</v>
      </c>
      <c r="CZ10" s="37">
        <f t="shared" si="53"/>
        <v>5</v>
      </c>
      <c r="DA10" s="37">
        <f t="shared" si="54"/>
        <v>0</v>
      </c>
      <c r="DB10" s="37">
        <f t="shared" si="55"/>
        <v>0</v>
      </c>
      <c r="DC10" s="37">
        <f t="shared" si="56"/>
        <v>0</v>
      </c>
      <c r="DD10" s="37">
        <f t="shared" si="57"/>
        <v>0</v>
      </c>
      <c r="DE10" s="37">
        <f t="shared" si="58"/>
        <v>0</v>
      </c>
      <c r="DF10" s="37">
        <f t="shared" si="61"/>
        <v>0</v>
      </c>
      <c r="DG10" s="37">
        <f t="shared" si="59"/>
        <v>0</v>
      </c>
      <c r="DH10" s="37">
        <f t="shared" si="60"/>
        <v>8.3333333333333339</v>
      </c>
    </row>
    <row r="11" spans="1:112" ht="24.75" hidden="1" x14ac:dyDescent="0.25">
      <c r="A11" s="37">
        <v>7</v>
      </c>
      <c r="B11" s="153" t="s">
        <v>2173</v>
      </c>
      <c r="C11" s="149"/>
      <c r="D11" s="149"/>
      <c r="E11" s="149"/>
      <c r="F11" s="149"/>
      <c r="G11" s="149"/>
      <c r="H11" s="149"/>
      <c r="I11" s="149"/>
      <c r="J11" s="53" t="s">
        <v>1947</v>
      </c>
      <c r="K11" s="53" t="s">
        <v>1948</v>
      </c>
      <c r="L11" s="53" t="s">
        <v>1947</v>
      </c>
      <c r="M11" s="61">
        <f t="shared" si="0"/>
        <v>0</v>
      </c>
      <c r="N11" s="61">
        <f t="shared" si="1"/>
        <v>1</v>
      </c>
      <c r="O11" s="61">
        <f t="shared" si="2"/>
        <v>0</v>
      </c>
      <c r="P11" s="61">
        <f t="shared" si="3"/>
        <v>1</v>
      </c>
      <c r="Q11" s="53" t="s">
        <v>2165</v>
      </c>
      <c r="R11" s="53" t="s">
        <v>2165</v>
      </c>
      <c r="S11" s="53" t="s">
        <v>1948</v>
      </c>
      <c r="T11" s="61">
        <f t="shared" si="4"/>
        <v>0</v>
      </c>
      <c r="U11" s="61">
        <f t="shared" si="5"/>
        <v>0</v>
      </c>
      <c r="V11" s="61">
        <f t="shared" si="6"/>
        <v>1</v>
      </c>
      <c r="W11" s="61">
        <f t="shared" si="7"/>
        <v>1</v>
      </c>
      <c r="X11" s="61">
        <f t="shared" si="8"/>
        <v>33.333333333333336</v>
      </c>
      <c r="Y11" s="53" t="s">
        <v>1948</v>
      </c>
      <c r="Z11" s="53" t="s">
        <v>1947</v>
      </c>
      <c r="AA11" s="61">
        <f t="shared" si="9"/>
        <v>1</v>
      </c>
      <c r="AB11" s="61">
        <f t="shared" si="10"/>
        <v>0</v>
      </c>
      <c r="AC11" s="61">
        <f t="shared" si="11"/>
        <v>1</v>
      </c>
      <c r="AD11" s="61">
        <f t="shared" si="12"/>
        <v>50</v>
      </c>
      <c r="AE11" s="53" t="s">
        <v>1947</v>
      </c>
      <c r="AF11" s="53" t="s">
        <v>1947</v>
      </c>
      <c r="AG11" s="53" t="s">
        <v>1947</v>
      </c>
      <c r="AH11" s="53" t="s">
        <v>1947</v>
      </c>
      <c r="AI11" s="53" t="s">
        <v>1947</v>
      </c>
      <c r="AJ11" s="50">
        <f t="shared" si="13"/>
        <v>0</v>
      </c>
      <c r="AK11" s="50">
        <f t="shared" si="14"/>
        <v>0</v>
      </c>
      <c r="AL11" s="50">
        <f t="shared" si="15"/>
        <v>0</v>
      </c>
      <c r="AM11" s="50">
        <f t="shared" si="16"/>
        <v>0</v>
      </c>
      <c r="AN11" s="50">
        <f t="shared" si="17"/>
        <v>0</v>
      </c>
      <c r="AO11" s="50">
        <f t="shared" si="18"/>
        <v>0</v>
      </c>
      <c r="AP11" s="51">
        <f t="shared" si="19"/>
        <v>0</v>
      </c>
      <c r="AQ11" s="51">
        <f t="shared" si="20"/>
        <v>83.333333333333343</v>
      </c>
      <c r="AR11" s="53"/>
      <c r="AS11" s="53"/>
      <c r="AT11" s="53"/>
      <c r="AU11" s="50">
        <f t="shared" si="21"/>
        <v>0</v>
      </c>
      <c r="AV11" s="50">
        <f t="shared" si="22"/>
        <v>0</v>
      </c>
      <c r="AW11" s="50">
        <f t="shared" si="23"/>
        <v>0</v>
      </c>
      <c r="AX11" s="50">
        <f t="shared" si="24"/>
        <v>0</v>
      </c>
      <c r="AY11" s="50">
        <f t="shared" si="25"/>
        <v>0</v>
      </c>
      <c r="AZ11" s="36"/>
      <c r="BA11" s="36"/>
      <c r="BB11" s="36"/>
      <c r="BC11" s="36"/>
      <c r="BD11" s="37">
        <f t="shared" si="26"/>
        <v>0</v>
      </c>
      <c r="BE11" s="37">
        <f t="shared" si="27"/>
        <v>0</v>
      </c>
      <c r="BF11" s="37">
        <f t="shared" si="28"/>
        <v>0</v>
      </c>
      <c r="BG11" s="37">
        <f t="shared" si="29"/>
        <v>0</v>
      </c>
      <c r="BH11" s="37">
        <f t="shared" si="30"/>
        <v>0</v>
      </c>
      <c r="BI11" s="37">
        <f t="shared" si="31"/>
        <v>0</v>
      </c>
      <c r="BJ11" s="37">
        <f t="shared" si="32"/>
        <v>0</v>
      </c>
      <c r="BK11" s="37">
        <f t="shared" si="33"/>
        <v>0</v>
      </c>
      <c r="BL11" s="36" t="s">
        <v>2067</v>
      </c>
      <c r="BM11" s="36" t="s">
        <v>2067</v>
      </c>
      <c r="BN11" s="36" t="s">
        <v>2067</v>
      </c>
      <c r="BO11" s="37">
        <f t="shared" si="34"/>
        <v>0</v>
      </c>
      <c r="BP11" s="37">
        <f t="shared" si="35"/>
        <v>0</v>
      </c>
      <c r="BQ11" s="37">
        <f t="shared" si="36"/>
        <v>0</v>
      </c>
      <c r="BR11" s="37">
        <f t="shared" si="37"/>
        <v>0</v>
      </c>
      <c r="BS11" s="37">
        <f t="shared" si="38"/>
        <v>0</v>
      </c>
      <c r="BT11" s="37">
        <f t="shared" si="39"/>
        <v>0</v>
      </c>
      <c r="BU11" s="36"/>
      <c r="BV11" s="36"/>
      <c r="BW11" s="37"/>
      <c r="BX11" s="37"/>
      <c r="BY11" s="37"/>
      <c r="BZ11" s="37"/>
      <c r="CA11" s="36"/>
      <c r="CB11" s="36"/>
      <c r="CC11" s="37"/>
      <c r="CD11" s="37"/>
      <c r="CE11" s="37"/>
      <c r="CF11" s="37"/>
      <c r="CG11" s="36"/>
      <c r="CH11" s="36"/>
      <c r="CI11" s="37">
        <f t="shared" si="40"/>
        <v>1</v>
      </c>
      <c r="CJ11" s="37">
        <f t="shared" si="41"/>
        <v>0.75</v>
      </c>
      <c r="CK11" s="37">
        <f t="shared" si="42"/>
        <v>0.75</v>
      </c>
      <c r="CL11" s="37">
        <f t="shared" si="43"/>
        <v>0</v>
      </c>
      <c r="CM11" s="37">
        <f t="shared" si="44"/>
        <v>0</v>
      </c>
      <c r="CN11" s="36" t="s">
        <v>2166</v>
      </c>
      <c r="CO11" s="36" t="s">
        <v>2166</v>
      </c>
      <c r="CP11" s="36" t="s">
        <v>2166</v>
      </c>
      <c r="CQ11" s="37">
        <f t="shared" si="45"/>
        <v>1</v>
      </c>
      <c r="CR11" s="37">
        <f t="shared" si="46"/>
        <v>1</v>
      </c>
      <c r="CS11" s="37">
        <f t="shared" si="47"/>
        <v>1</v>
      </c>
      <c r="CT11" s="37">
        <f t="shared" si="48"/>
        <v>0</v>
      </c>
      <c r="CU11" s="37">
        <f t="shared" si="49"/>
        <v>0</v>
      </c>
      <c r="CV11" s="36"/>
      <c r="CW11" s="37">
        <f t="shared" si="50"/>
        <v>0</v>
      </c>
      <c r="CX11" s="37">
        <f t="shared" si="51"/>
        <v>0</v>
      </c>
      <c r="CY11" s="37">
        <f t="shared" si="52"/>
        <v>3.3333333333333339</v>
      </c>
      <c r="CZ11" s="37">
        <f t="shared" si="53"/>
        <v>5</v>
      </c>
      <c r="DA11" s="37">
        <f t="shared" si="54"/>
        <v>0</v>
      </c>
      <c r="DB11" s="37">
        <f t="shared" si="55"/>
        <v>0</v>
      </c>
      <c r="DC11" s="37">
        <f t="shared" si="56"/>
        <v>0</v>
      </c>
      <c r="DD11" s="37">
        <f t="shared" si="57"/>
        <v>0</v>
      </c>
      <c r="DE11" s="37">
        <f t="shared" si="58"/>
        <v>0</v>
      </c>
      <c r="DF11" s="37">
        <f t="shared" si="61"/>
        <v>0</v>
      </c>
      <c r="DG11" s="37">
        <f t="shared" si="59"/>
        <v>0</v>
      </c>
      <c r="DH11" s="37">
        <f t="shared" si="60"/>
        <v>8.3333333333333339</v>
      </c>
    </row>
    <row r="12" spans="1:112" hidden="1" x14ac:dyDescent="0.25">
      <c r="A12" s="37">
        <v>8</v>
      </c>
      <c r="B12" s="153" t="s">
        <v>2174</v>
      </c>
      <c r="C12" s="149"/>
      <c r="D12" s="149"/>
      <c r="E12" s="149"/>
      <c r="F12" s="149"/>
      <c r="G12" s="149"/>
      <c r="H12" s="149"/>
      <c r="I12" s="149"/>
      <c r="J12" s="53" t="s">
        <v>1947</v>
      </c>
      <c r="K12" s="53" t="s">
        <v>1948</v>
      </c>
      <c r="L12" s="53" t="s">
        <v>1947</v>
      </c>
      <c r="M12" s="61">
        <f t="shared" si="0"/>
        <v>0</v>
      </c>
      <c r="N12" s="61">
        <f t="shared" si="1"/>
        <v>1</v>
      </c>
      <c r="O12" s="61">
        <f t="shared" si="2"/>
        <v>0</v>
      </c>
      <c r="P12" s="61">
        <f t="shared" si="3"/>
        <v>1</v>
      </c>
      <c r="Q12" s="53" t="s">
        <v>2165</v>
      </c>
      <c r="R12" s="53" t="s">
        <v>2165</v>
      </c>
      <c r="S12" s="53" t="s">
        <v>1948</v>
      </c>
      <c r="T12" s="61">
        <f t="shared" si="4"/>
        <v>0</v>
      </c>
      <c r="U12" s="61">
        <f t="shared" si="5"/>
        <v>0</v>
      </c>
      <c r="V12" s="61">
        <f t="shared" si="6"/>
        <v>1</v>
      </c>
      <c r="W12" s="61">
        <f t="shared" si="7"/>
        <v>1</v>
      </c>
      <c r="X12" s="61">
        <f t="shared" si="8"/>
        <v>33.333333333333336</v>
      </c>
      <c r="Y12" s="53" t="s">
        <v>1948</v>
      </c>
      <c r="Z12" s="53" t="s">
        <v>1947</v>
      </c>
      <c r="AA12" s="61">
        <f t="shared" si="9"/>
        <v>1</v>
      </c>
      <c r="AB12" s="61">
        <f t="shared" si="10"/>
        <v>0</v>
      </c>
      <c r="AC12" s="61">
        <f t="shared" si="11"/>
        <v>1</v>
      </c>
      <c r="AD12" s="61">
        <f t="shared" si="12"/>
        <v>50</v>
      </c>
      <c r="AE12" s="53" t="s">
        <v>1947</v>
      </c>
      <c r="AF12" s="53" t="s">
        <v>1947</v>
      </c>
      <c r="AG12" s="53" t="s">
        <v>1947</v>
      </c>
      <c r="AH12" s="53" t="s">
        <v>1947</v>
      </c>
      <c r="AI12" s="53" t="s">
        <v>1947</v>
      </c>
      <c r="AJ12" s="50">
        <f t="shared" si="13"/>
        <v>0</v>
      </c>
      <c r="AK12" s="50">
        <f t="shared" si="14"/>
        <v>0</v>
      </c>
      <c r="AL12" s="50">
        <f t="shared" si="15"/>
        <v>0</v>
      </c>
      <c r="AM12" s="50">
        <f t="shared" si="16"/>
        <v>0</v>
      </c>
      <c r="AN12" s="50">
        <f t="shared" si="17"/>
        <v>0</v>
      </c>
      <c r="AO12" s="50">
        <f t="shared" si="18"/>
        <v>0</v>
      </c>
      <c r="AP12" s="51">
        <f t="shared" si="19"/>
        <v>0</v>
      </c>
      <c r="AQ12" s="51">
        <f t="shared" si="20"/>
        <v>83.333333333333343</v>
      </c>
      <c r="AR12" s="53"/>
      <c r="AS12" s="53"/>
      <c r="AT12" s="53"/>
      <c r="AU12" s="50">
        <f t="shared" si="21"/>
        <v>0</v>
      </c>
      <c r="AV12" s="50">
        <f t="shared" si="22"/>
        <v>0</v>
      </c>
      <c r="AW12" s="50">
        <f t="shared" si="23"/>
        <v>0</v>
      </c>
      <c r="AX12" s="50">
        <f t="shared" si="24"/>
        <v>0</v>
      </c>
      <c r="AY12" s="50">
        <f t="shared" si="25"/>
        <v>0</v>
      </c>
      <c r="AZ12" s="36"/>
      <c r="BA12" s="36"/>
      <c r="BB12" s="36"/>
      <c r="BC12" s="36"/>
      <c r="BD12" s="37">
        <f t="shared" si="26"/>
        <v>0</v>
      </c>
      <c r="BE12" s="37">
        <f t="shared" si="27"/>
        <v>0</v>
      </c>
      <c r="BF12" s="37">
        <f t="shared" si="28"/>
        <v>0</v>
      </c>
      <c r="BG12" s="37">
        <f t="shared" si="29"/>
        <v>0</v>
      </c>
      <c r="BH12" s="37">
        <f t="shared" si="30"/>
        <v>0</v>
      </c>
      <c r="BI12" s="37">
        <f t="shared" si="31"/>
        <v>0</v>
      </c>
      <c r="BJ12" s="37">
        <f t="shared" si="32"/>
        <v>0</v>
      </c>
      <c r="BK12" s="37">
        <f t="shared" si="33"/>
        <v>0</v>
      </c>
      <c r="BL12" s="36" t="s">
        <v>2067</v>
      </c>
      <c r="BM12" s="36" t="s">
        <v>2067</v>
      </c>
      <c r="BN12" s="36" t="s">
        <v>2067</v>
      </c>
      <c r="BO12" s="37">
        <f t="shared" si="34"/>
        <v>0</v>
      </c>
      <c r="BP12" s="37">
        <f t="shared" si="35"/>
        <v>0</v>
      </c>
      <c r="BQ12" s="37">
        <f t="shared" si="36"/>
        <v>0</v>
      </c>
      <c r="BR12" s="37">
        <f t="shared" si="37"/>
        <v>0</v>
      </c>
      <c r="BS12" s="37">
        <f t="shared" si="38"/>
        <v>0</v>
      </c>
      <c r="BT12" s="37">
        <f t="shared" si="39"/>
        <v>0</v>
      </c>
      <c r="BU12" s="36"/>
      <c r="BV12" s="36"/>
      <c r="BW12" s="37"/>
      <c r="BX12" s="37"/>
      <c r="BY12" s="37"/>
      <c r="BZ12" s="37"/>
      <c r="CA12" s="36"/>
      <c r="CB12" s="36"/>
      <c r="CC12" s="37"/>
      <c r="CD12" s="37"/>
      <c r="CE12" s="37"/>
      <c r="CF12" s="37"/>
      <c r="CG12" s="36"/>
      <c r="CH12" s="36"/>
      <c r="CI12" s="37">
        <f t="shared" si="40"/>
        <v>1</v>
      </c>
      <c r="CJ12" s="37">
        <f t="shared" si="41"/>
        <v>0.75</v>
      </c>
      <c r="CK12" s="37">
        <f t="shared" si="42"/>
        <v>0.75</v>
      </c>
      <c r="CL12" s="37">
        <f t="shared" si="43"/>
        <v>0</v>
      </c>
      <c r="CM12" s="37">
        <f t="shared" si="44"/>
        <v>0</v>
      </c>
      <c r="CN12" s="36" t="s">
        <v>2166</v>
      </c>
      <c r="CO12" s="36" t="s">
        <v>2166</v>
      </c>
      <c r="CP12" s="36" t="s">
        <v>2166</v>
      </c>
      <c r="CQ12" s="37">
        <f t="shared" si="45"/>
        <v>1</v>
      </c>
      <c r="CR12" s="37">
        <f t="shared" si="46"/>
        <v>1</v>
      </c>
      <c r="CS12" s="37">
        <f t="shared" si="47"/>
        <v>1</v>
      </c>
      <c r="CT12" s="37">
        <f t="shared" si="48"/>
        <v>0</v>
      </c>
      <c r="CU12" s="37">
        <f t="shared" si="49"/>
        <v>0</v>
      </c>
      <c r="CV12" s="36"/>
      <c r="CW12" s="37">
        <f t="shared" si="50"/>
        <v>0</v>
      </c>
      <c r="CX12" s="37">
        <f t="shared" si="51"/>
        <v>0</v>
      </c>
      <c r="CY12" s="37">
        <f t="shared" si="52"/>
        <v>3.3333333333333339</v>
      </c>
      <c r="CZ12" s="37">
        <f t="shared" si="53"/>
        <v>5</v>
      </c>
      <c r="DA12" s="37">
        <f t="shared" si="54"/>
        <v>0</v>
      </c>
      <c r="DB12" s="37">
        <f t="shared" si="55"/>
        <v>0</v>
      </c>
      <c r="DC12" s="37">
        <f t="shared" si="56"/>
        <v>0</v>
      </c>
      <c r="DD12" s="37">
        <f t="shared" si="57"/>
        <v>0</v>
      </c>
      <c r="DE12" s="37">
        <f t="shared" si="58"/>
        <v>0</v>
      </c>
      <c r="DF12" s="37">
        <f t="shared" si="61"/>
        <v>0</v>
      </c>
      <c r="DG12" s="37">
        <f t="shared" si="59"/>
        <v>0</v>
      </c>
      <c r="DH12" s="37">
        <f t="shared" si="60"/>
        <v>8.3333333333333339</v>
      </c>
    </row>
    <row r="13" spans="1:112" ht="24.75" hidden="1" x14ac:dyDescent="0.25">
      <c r="A13" s="37">
        <v>9</v>
      </c>
      <c r="B13" s="153" t="s">
        <v>2175</v>
      </c>
      <c r="C13" s="149"/>
      <c r="D13" s="149"/>
      <c r="E13" s="149"/>
      <c r="F13" s="149"/>
      <c r="G13" s="149"/>
      <c r="H13" s="149"/>
      <c r="I13" s="149"/>
      <c r="J13" s="53" t="s">
        <v>1947</v>
      </c>
      <c r="K13" s="53" t="s">
        <v>1948</v>
      </c>
      <c r="L13" s="53" t="s">
        <v>1947</v>
      </c>
      <c r="M13" s="61">
        <f t="shared" si="0"/>
        <v>0</v>
      </c>
      <c r="N13" s="61">
        <f t="shared" si="1"/>
        <v>1</v>
      </c>
      <c r="O13" s="61">
        <f t="shared" si="2"/>
        <v>0</v>
      </c>
      <c r="P13" s="61">
        <f t="shared" si="3"/>
        <v>1</v>
      </c>
      <c r="Q13" s="53" t="s">
        <v>2165</v>
      </c>
      <c r="R13" s="53" t="s">
        <v>2165</v>
      </c>
      <c r="S13" s="53" t="s">
        <v>1948</v>
      </c>
      <c r="T13" s="61">
        <f t="shared" si="4"/>
        <v>0</v>
      </c>
      <c r="U13" s="61">
        <f t="shared" si="5"/>
        <v>0</v>
      </c>
      <c r="V13" s="61">
        <f t="shared" si="6"/>
        <v>1</v>
      </c>
      <c r="W13" s="61">
        <f t="shared" si="7"/>
        <v>1</v>
      </c>
      <c r="X13" s="61">
        <f t="shared" si="8"/>
        <v>33.333333333333336</v>
      </c>
      <c r="Y13" s="53" t="s">
        <v>1948</v>
      </c>
      <c r="Z13" s="53" t="s">
        <v>1947</v>
      </c>
      <c r="AA13" s="61">
        <f t="shared" si="9"/>
        <v>1</v>
      </c>
      <c r="AB13" s="61">
        <f t="shared" si="10"/>
        <v>0</v>
      </c>
      <c r="AC13" s="61">
        <f t="shared" si="11"/>
        <v>1</v>
      </c>
      <c r="AD13" s="61">
        <f t="shared" si="12"/>
        <v>50</v>
      </c>
      <c r="AE13" s="53" t="s">
        <v>1947</v>
      </c>
      <c r="AF13" s="53" t="s">
        <v>1947</v>
      </c>
      <c r="AG13" s="53" t="s">
        <v>1947</v>
      </c>
      <c r="AH13" s="53" t="s">
        <v>1947</v>
      </c>
      <c r="AI13" s="53" t="s">
        <v>1947</v>
      </c>
      <c r="AJ13" s="50">
        <f t="shared" si="13"/>
        <v>0</v>
      </c>
      <c r="AK13" s="50">
        <f t="shared" si="14"/>
        <v>0</v>
      </c>
      <c r="AL13" s="50">
        <f t="shared" si="15"/>
        <v>0</v>
      </c>
      <c r="AM13" s="50">
        <f t="shared" si="16"/>
        <v>0</v>
      </c>
      <c r="AN13" s="50">
        <f t="shared" si="17"/>
        <v>0</v>
      </c>
      <c r="AO13" s="50">
        <f t="shared" si="18"/>
        <v>0</v>
      </c>
      <c r="AP13" s="51">
        <f t="shared" si="19"/>
        <v>0</v>
      </c>
      <c r="AQ13" s="51">
        <f t="shared" si="20"/>
        <v>83.333333333333343</v>
      </c>
      <c r="AR13" s="53"/>
      <c r="AS13" s="53"/>
      <c r="AT13" s="53"/>
      <c r="AU13" s="50">
        <f t="shared" si="21"/>
        <v>0</v>
      </c>
      <c r="AV13" s="50">
        <f t="shared" si="22"/>
        <v>0</v>
      </c>
      <c r="AW13" s="50">
        <f t="shared" si="23"/>
        <v>0</v>
      </c>
      <c r="AX13" s="50">
        <f t="shared" si="24"/>
        <v>0</v>
      </c>
      <c r="AY13" s="50">
        <f t="shared" si="25"/>
        <v>0</v>
      </c>
      <c r="AZ13" s="36"/>
      <c r="BA13" s="36"/>
      <c r="BB13" s="36"/>
      <c r="BC13" s="36"/>
      <c r="BD13" s="37">
        <f t="shared" si="26"/>
        <v>0</v>
      </c>
      <c r="BE13" s="37">
        <f t="shared" si="27"/>
        <v>0</v>
      </c>
      <c r="BF13" s="37">
        <f t="shared" si="28"/>
        <v>0</v>
      </c>
      <c r="BG13" s="37">
        <f t="shared" si="29"/>
        <v>0</v>
      </c>
      <c r="BH13" s="37">
        <f t="shared" si="30"/>
        <v>0</v>
      </c>
      <c r="BI13" s="37">
        <f t="shared" si="31"/>
        <v>0</v>
      </c>
      <c r="BJ13" s="37">
        <f t="shared" si="32"/>
        <v>0</v>
      </c>
      <c r="BK13" s="37">
        <f t="shared" si="33"/>
        <v>0</v>
      </c>
      <c r="BL13" s="36" t="s">
        <v>2067</v>
      </c>
      <c r="BM13" s="36" t="s">
        <v>2067</v>
      </c>
      <c r="BN13" s="36" t="s">
        <v>2067</v>
      </c>
      <c r="BO13" s="37">
        <f t="shared" si="34"/>
        <v>0</v>
      </c>
      <c r="BP13" s="37">
        <f t="shared" si="35"/>
        <v>0</v>
      </c>
      <c r="BQ13" s="37">
        <f t="shared" si="36"/>
        <v>0</v>
      </c>
      <c r="BR13" s="37">
        <f t="shared" si="37"/>
        <v>0</v>
      </c>
      <c r="BS13" s="37">
        <f t="shared" si="38"/>
        <v>0</v>
      </c>
      <c r="BT13" s="37">
        <f t="shared" si="39"/>
        <v>0</v>
      </c>
      <c r="BU13" s="36"/>
      <c r="BV13" s="36"/>
      <c r="BW13" s="37"/>
      <c r="BX13" s="37"/>
      <c r="BY13" s="37"/>
      <c r="BZ13" s="37"/>
      <c r="CA13" s="36"/>
      <c r="CB13" s="36"/>
      <c r="CC13" s="37"/>
      <c r="CD13" s="37"/>
      <c r="CE13" s="37"/>
      <c r="CF13" s="37"/>
      <c r="CG13" s="36"/>
      <c r="CH13" s="36"/>
      <c r="CI13" s="37">
        <f t="shared" si="40"/>
        <v>1</v>
      </c>
      <c r="CJ13" s="37">
        <f t="shared" si="41"/>
        <v>0.75</v>
      </c>
      <c r="CK13" s="37">
        <f t="shared" si="42"/>
        <v>0.75</v>
      </c>
      <c r="CL13" s="37">
        <f t="shared" si="43"/>
        <v>0</v>
      </c>
      <c r="CM13" s="37">
        <f t="shared" si="44"/>
        <v>0</v>
      </c>
      <c r="CN13" s="36" t="s">
        <v>2166</v>
      </c>
      <c r="CO13" s="36" t="s">
        <v>2166</v>
      </c>
      <c r="CP13" s="36" t="s">
        <v>2166</v>
      </c>
      <c r="CQ13" s="37">
        <f t="shared" si="45"/>
        <v>1</v>
      </c>
      <c r="CR13" s="37">
        <f t="shared" si="46"/>
        <v>1</v>
      </c>
      <c r="CS13" s="37">
        <f t="shared" si="47"/>
        <v>1</v>
      </c>
      <c r="CT13" s="37">
        <f t="shared" si="48"/>
        <v>0</v>
      </c>
      <c r="CU13" s="37">
        <f t="shared" si="49"/>
        <v>0</v>
      </c>
      <c r="CV13" s="36"/>
      <c r="CW13" s="37">
        <f t="shared" si="50"/>
        <v>0</v>
      </c>
      <c r="CX13" s="37">
        <f t="shared" si="51"/>
        <v>0</v>
      </c>
      <c r="CY13" s="37">
        <f t="shared" si="52"/>
        <v>3.3333333333333339</v>
      </c>
      <c r="CZ13" s="37">
        <f t="shared" si="53"/>
        <v>5</v>
      </c>
      <c r="DA13" s="37">
        <f t="shared" si="54"/>
        <v>0</v>
      </c>
      <c r="DB13" s="37">
        <f t="shared" si="55"/>
        <v>0</v>
      </c>
      <c r="DC13" s="37">
        <f t="shared" si="56"/>
        <v>0</v>
      </c>
      <c r="DD13" s="37">
        <f t="shared" si="57"/>
        <v>0</v>
      </c>
      <c r="DE13" s="37">
        <f t="shared" si="58"/>
        <v>0</v>
      </c>
      <c r="DF13" s="37">
        <f t="shared" si="61"/>
        <v>0</v>
      </c>
      <c r="DG13" s="37">
        <f t="shared" si="59"/>
        <v>0</v>
      </c>
      <c r="DH13" s="37">
        <f t="shared" si="60"/>
        <v>8.3333333333333339</v>
      </c>
    </row>
    <row r="14" spans="1:112" hidden="1" x14ac:dyDescent="0.25">
      <c r="A14" s="37">
        <v>10</v>
      </c>
      <c r="B14" s="153" t="s">
        <v>2176</v>
      </c>
      <c r="C14" s="149"/>
      <c r="D14" s="149"/>
      <c r="E14" s="149"/>
      <c r="F14" s="149"/>
      <c r="G14" s="149"/>
      <c r="H14" s="149"/>
      <c r="I14" s="149"/>
      <c r="J14" s="53" t="s">
        <v>1947</v>
      </c>
      <c r="K14" s="53" t="s">
        <v>1948</v>
      </c>
      <c r="L14" s="53" t="s">
        <v>1947</v>
      </c>
      <c r="M14" s="61">
        <f t="shared" si="0"/>
        <v>0</v>
      </c>
      <c r="N14" s="61">
        <f t="shared" si="1"/>
        <v>1</v>
      </c>
      <c r="O14" s="61">
        <f t="shared" si="2"/>
        <v>0</v>
      </c>
      <c r="P14" s="61">
        <f t="shared" si="3"/>
        <v>1</v>
      </c>
      <c r="Q14" s="53" t="s">
        <v>2165</v>
      </c>
      <c r="R14" s="53" t="s">
        <v>2165</v>
      </c>
      <c r="S14" s="53" t="s">
        <v>1948</v>
      </c>
      <c r="T14" s="61">
        <f t="shared" si="4"/>
        <v>0</v>
      </c>
      <c r="U14" s="61">
        <f t="shared" si="5"/>
        <v>0</v>
      </c>
      <c r="V14" s="61">
        <f t="shared" si="6"/>
        <v>1</v>
      </c>
      <c r="W14" s="61">
        <f t="shared" si="7"/>
        <v>1</v>
      </c>
      <c r="X14" s="61">
        <f t="shared" si="8"/>
        <v>33.333333333333336</v>
      </c>
      <c r="Y14" s="53" t="s">
        <v>1948</v>
      </c>
      <c r="Z14" s="53" t="s">
        <v>1947</v>
      </c>
      <c r="AA14" s="61">
        <f t="shared" si="9"/>
        <v>1</v>
      </c>
      <c r="AB14" s="61">
        <f t="shared" si="10"/>
        <v>0</v>
      </c>
      <c r="AC14" s="61">
        <f t="shared" si="11"/>
        <v>1</v>
      </c>
      <c r="AD14" s="61">
        <f t="shared" si="12"/>
        <v>50</v>
      </c>
      <c r="AE14" s="53" t="s">
        <v>1947</v>
      </c>
      <c r="AF14" s="53" t="s">
        <v>1947</v>
      </c>
      <c r="AG14" s="53" t="s">
        <v>1947</v>
      </c>
      <c r="AH14" s="53" t="s">
        <v>1947</v>
      </c>
      <c r="AI14" s="53" t="s">
        <v>1947</v>
      </c>
      <c r="AJ14" s="50">
        <f t="shared" si="13"/>
        <v>0</v>
      </c>
      <c r="AK14" s="50">
        <f t="shared" si="14"/>
        <v>0</v>
      </c>
      <c r="AL14" s="50">
        <f t="shared" si="15"/>
        <v>0</v>
      </c>
      <c r="AM14" s="50">
        <f t="shared" si="16"/>
        <v>0</v>
      </c>
      <c r="AN14" s="50">
        <f t="shared" si="17"/>
        <v>0</v>
      </c>
      <c r="AO14" s="50">
        <f t="shared" si="18"/>
        <v>0</v>
      </c>
      <c r="AP14" s="51">
        <f t="shared" si="19"/>
        <v>0</v>
      </c>
      <c r="AQ14" s="51">
        <f t="shared" si="20"/>
        <v>83.333333333333343</v>
      </c>
      <c r="AR14" s="53"/>
      <c r="AS14" s="53"/>
      <c r="AT14" s="53"/>
      <c r="AU14" s="50">
        <f t="shared" si="21"/>
        <v>0</v>
      </c>
      <c r="AV14" s="50">
        <f t="shared" si="22"/>
        <v>0</v>
      </c>
      <c r="AW14" s="50">
        <f t="shared" si="23"/>
        <v>0</v>
      </c>
      <c r="AX14" s="50">
        <f t="shared" si="24"/>
        <v>0</v>
      </c>
      <c r="AY14" s="50">
        <f t="shared" si="25"/>
        <v>0</v>
      </c>
      <c r="AZ14" s="36"/>
      <c r="BA14" s="36"/>
      <c r="BB14" s="36"/>
      <c r="BC14" s="36"/>
      <c r="BD14" s="37">
        <f t="shared" si="26"/>
        <v>0</v>
      </c>
      <c r="BE14" s="37">
        <f t="shared" si="27"/>
        <v>0</v>
      </c>
      <c r="BF14" s="37">
        <f t="shared" si="28"/>
        <v>0</v>
      </c>
      <c r="BG14" s="37">
        <f t="shared" si="29"/>
        <v>0</v>
      </c>
      <c r="BH14" s="37">
        <f t="shared" si="30"/>
        <v>0</v>
      </c>
      <c r="BI14" s="37">
        <f t="shared" si="31"/>
        <v>0</v>
      </c>
      <c r="BJ14" s="37">
        <f t="shared" si="32"/>
        <v>0</v>
      </c>
      <c r="BK14" s="37">
        <f t="shared" si="33"/>
        <v>0</v>
      </c>
      <c r="BL14" s="36" t="s">
        <v>2067</v>
      </c>
      <c r="BM14" s="36" t="s">
        <v>2067</v>
      </c>
      <c r="BN14" s="36" t="s">
        <v>2067</v>
      </c>
      <c r="BO14" s="37">
        <f t="shared" si="34"/>
        <v>0</v>
      </c>
      <c r="BP14" s="37">
        <f t="shared" si="35"/>
        <v>0</v>
      </c>
      <c r="BQ14" s="37">
        <f t="shared" si="36"/>
        <v>0</v>
      </c>
      <c r="BR14" s="37">
        <f t="shared" si="37"/>
        <v>0</v>
      </c>
      <c r="BS14" s="37">
        <f t="shared" si="38"/>
        <v>0</v>
      </c>
      <c r="BT14" s="37">
        <f t="shared" si="39"/>
        <v>0</v>
      </c>
      <c r="BU14" s="36"/>
      <c r="BV14" s="36"/>
      <c r="BW14" s="37"/>
      <c r="BX14" s="37"/>
      <c r="BY14" s="37"/>
      <c r="BZ14" s="37"/>
      <c r="CA14" s="36"/>
      <c r="CB14" s="36"/>
      <c r="CC14" s="37"/>
      <c r="CD14" s="37"/>
      <c r="CE14" s="37"/>
      <c r="CF14" s="37"/>
      <c r="CG14" s="36"/>
      <c r="CH14" s="36"/>
      <c r="CI14" s="37">
        <f t="shared" si="40"/>
        <v>1</v>
      </c>
      <c r="CJ14" s="37">
        <f t="shared" si="41"/>
        <v>0.75</v>
      </c>
      <c r="CK14" s="37">
        <f t="shared" si="42"/>
        <v>0.75</v>
      </c>
      <c r="CL14" s="37">
        <f t="shared" si="43"/>
        <v>0</v>
      </c>
      <c r="CM14" s="37">
        <f t="shared" si="44"/>
        <v>0</v>
      </c>
      <c r="CN14" s="36" t="s">
        <v>2166</v>
      </c>
      <c r="CO14" s="36" t="s">
        <v>2166</v>
      </c>
      <c r="CP14" s="36" t="s">
        <v>2166</v>
      </c>
      <c r="CQ14" s="37">
        <f t="shared" si="45"/>
        <v>1</v>
      </c>
      <c r="CR14" s="37">
        <f t="shared" si="46"/>
        <v>1</v>
      </c>
      <c r="CS14" s="37">
        <f t="shared" si="47"/>
        <v>1</v>
      </c>
      <c r="CT14" s="37">
        <f t="shared" si="48"/>
        <v>0</v>
      </c>
      <c r="CU14" s="37">
        <f t="shared" si="49"/>
        <v>0</v>
      </c>
      <c r="CV14" s="36"/>
      <c r="CW14" s="37">
        <f t="shared" si="50"/>
        <v>0</v>
      </c>
      <c r="CX14" s="37">
        <f t="shared" si="51"/>
        <v>0</v>
      </c>
      <c r="CY14" s="37">
        <f t="shared" si="52"/>
        <v>3.3333333333333339</v>
      </c>
      <c r="CZ14" s="37">
        <f t="shared" si="53"/>
        <v>5</v>
      </c>
      <c r="DA14" s="37">
        <f t="shared" si="54"/>
        <v>0</v>
      </c>
      <c r="DB14" s="37">
        <f t="shared" si="55"/>
        <v>0</v>
      </c>
      <c r="DC14" s="37">
        <f t="shared" si="56"/>
        <v>0</v>
      </c>
      <c r="DD14" s="37">
        <f t="shared" si="57"/>
        <v>0</v>
      </c>
      <c r="DE14" s="37">
        <f t="shared" si="58"/>
        <v>0</v>
      </c>
      <c r="DF14" s="37">
        <f t="shared" si="61"/>
        <v>0</v>
      </c>
      <c r="DG14" s="37">
        <f t="shared" si="59"/>
        <v>0</v>
      </c>
      <c r="DH14" s="37">
        <f t="shared" si="60"/>
        <v>8.3333333333333339</v>
      </c>
    </row>
    <row r="15" spans="1:112" ht="24.75" hidden="1" x14ac:dyDescent="0.25">
      <c r="A15" s="37">
        <v>11</v>
      </c>
      <c r="B15" s="153" t="s">
        <v>2177</v>
      </c>
      <c r="C15" s="149"/>
      <c r="D15" s="149"/>
      <c r="E15" s="149"/>
      <c r="F15" s="149"/>
      <c r="G15" s="149"/>
      <c r="H15" s="149"/>
      <c r="I15" s="149"/>
      <c r="J15" s="53" t="s">
        <v>1947</v>
      </c>
      <c r="K15" s="53" t="s">
        <v>1948</v>
      </c>
      <c r="L15" s="53" t="s">
        <v>1947</v>
      </c>
      <c r="M15" s="61">
        <f t="shared" si="0"/>
        <v>0</v>
      </c>
      <c r="N15" s="61">
        <f t="shared" si="1"/>
        <v>1</v>
      </c>
      <c r="O15" s="61">
        <f t="shared" si="2"/>
        <v>0</v>
      </c>
      <c r="P15" s="61">
        <f t="shared" si="3"/>
        <v>1</v>
      </c>
      <c r="Q15" s="53" t="s">
        <v>2165</v>
      </c>
      <c r="R15" s="53" t="s">
        <v>2165</v>
      </c>
      <c r="S15" s="53" t="s">
        <v>1948</v>
      </c>
      <c r="T15" s="61">
        <f t="shared" si="4"/>
        <v>0</v>
      </c>
      <c r="U15" s="61">
        <f t="shared" si="5"/>
        <v>0</v>
      </c>
      <c r="V15" s="61">
        <f t="shared" si="6"/>
        <v>1</v>
      </c>
      <c r="W15" s="61">
        <f t="shared" si="7"/>
        <v>1</v>
      </c>
      <c r="X15" s="61">
        <f t="shared" si="8"/>
        <v>33.333333333333336</v>
      </c>
      <c r="Y15" s="53" t="s">
        <v>1948</v>
      </c>
      <c r="Z15" s="53" t="s">
        <v>1947</v>
      </c>
      <c r="AA15" s="61">
        <f t="shared" si="9"/>
        <v>1</v>
      </c>
      <c r="AB15" s="61">
        <f t="shared" si="10"/>
        <v>0</v>
      </c>
      <c r="AC15" s="61">
        <f t="shared" si="11"/>
        <v>1</v>
      </c>
      <c r="AD15" s="61">
        <f t="shared" si="12"/>
        <v>50</v>
      </c>
      <c r="AE15" s="53" t="s">
        <v>1947</v>
      </c>
      <c r="AF15" s="53" t="s">
        <v>1947</v>
      </c>
      <c r="AG15" s="53" t="s">
        <v>1947</v>
      </c>
      <c r="AH15" s="53" t="s">
        <v>1947</v>
      </c>
      <c r="AI15" s="53" t="s">
        <v>1947</v>
      </c>
      <c r="AJ15" s="50">
        <f t="shared" si="13"/>
        <v>0</v>
      </c>
      <c r="AK15" s="50">
        <f t="shared" si="14"/>
        <v>0</v>
      </c>
      <c r="AL15" s="50">
        <f t="shared" si="15"/>
        <v>0</v>
      </c>
      <c r="AM15" s="50">
        <f t="shared" si="16"/>
        <v>0</v>
      </c>
      <c r="AN15" s="50">
        <f t="shared" si="17"/>
        <v>0</v>
      </c>
      <c r="AO15" s="50">
        <f t="shared" si="18"/>
        <v>0</v>
      </c>
      <c r="AP15" s="51">
        <f t="shared" si="19"/>
        <v>0</v>
      </c>
      <c r="AQ15" s="51">
        <f t="shared" si="20"/>
        <v>83.333333333333343</v>
      </c>
      <c r="AR15" s="53"/>
      <c r="AS15" s="53"/>
      <c r="AT15" s="53"/>
      <c r="AU15" s="50">
        <f t="shared" si="21"/>
        <v>0</v>
      </c>
      <c r="AV15" s="50">
        <f t="shared" si="22"/>
        <v>0</v>
      </c>
      <c r="AW15" s="50">
        <f t="shared" si="23"/>
        <v>0</v>
      </c>
      <c r="AX15" s="50">
        <f t="shared" si="24"/>
        <v>0</v>
      </c>
      <c r="AY15" s="50">
        <f t="shared" si="25"/>
        <v>0</v>
      </c>
      <c r="AZ15" s="36"/>
      <c r="BA15" s="36"/>
      <c r="BB15" s="36"/>
      <c r="BC15" s="36"/>
      <c r="BD15" s="37">
        <f t="shared" si="26"/>
        <v>0</v>
      </c>
      <c r="BE15" s="37">
        <f t="shared" si="27"/>
        <v>0</v>
      </c>
      <c r="BF15" s="37">
        <f t="shared" si="28"/>
        <v>0</v>
      </c>
      <c r="BG15" s="37">
        <f t="shared" si="29"/>
        <v>0</v>
      </c>
      <c r="BH15" s="37">
        <f t="shared" si="30"/>
        <v>0</v>
      </c>
      <c r="BI15" s="37">
        <f t="shared" si="31"/>
        <v>0</v>
      </c>
      <c r="BJ15" s="37">
        <f t="shared" si="32"/>
        <v>0</v>
      </c>
      <c r="BK15" s="37">
        <f t="shared" si="33"/>
        <v>0</v>
      </c>
      <c r="BL15" s="36" t="s">
        <v>2067</v>
      </c>
      <c r="BM15" s="36" t="s">
        <v>2067</v>
      </c>
      <c r="BN15" s="36" t="s">
        <v>2067</v>
      </c>
      <c r="BO15" s="37">
        <f t="shared" si="34"/>
        <v>0</v>
      </c>
      <c r="BP15" s="37">
        <f t="shared" si="35"/>
        <v>0</v>
      </c>
      <c r="BQ15" s="37">
        <f t="shared" si="36"/>
        <v>0</v>
      </c>
      <c r="BR15" s="37">
        <f t="shared" si="37"/>
        <v>0</v>
      </c>
      <c r="BS15" s="37">
        <f t="shared" si="38"/>
        <v>0</v>
      </c>
      <c r="BT15" s="37">
        <f t="shared" si="39"/>
        <v>0</v>
      </c>
      <c r="BU15" s="36"/>
      <c r="BV15" s="36"/>
      <c r="BW15" s="37"/>
      <c r="BX15" s="37"/>
      <c r="BY15" s="37"/>
      <c r="BZ15" s="37"/>
      <c r="CA15" s="36"/>
      <c r="CB15" s="36"/>
      <c r="CC15" s="37"/>
      <c r="CD15" s="37"/>
      <c r="CE15" s="37"/>
      <c r="CF15" s="37"/>
      <c r="CG15" s="36"/>
      <c r="CH15" s="36"/>
      <c r="CI15" s="37">
        <f t="shared" si="40"/>
        <v>1</v>
      </c>
      <c r="CJ15" s="37">
        <f t="shared" si="41"/>
        <v>0.75</v>
      </c>
      <c r="CK15" s="37">
        <f t="shared" si="42"/>
        <v>0.75</v>
      </c>
      <c r="CL15" s="37">
        <f t="shared" si="43"/>
        <v>0</v>
      </c>
      <c r="CM15" s="37">
        <f t="shared" si="44"/>
        <v>0</v>
      </c>
      <c r="CN15" s="36" t="s">
        <v>2166</v>
      </c>
      <c r="CO15" s="36" t="s">
        <v>2166</v>
      </c>
      <c r="CP15" s="36" t="s">
        <v>2166</v>
      </c>
      <c r="CQ15" s="37">
        <f t="shared" si="45"/>
        <v>1</v>
      </c>
      <c r="CR15" s="37">
        <f t="shared" si="46"/>
        <v>1</v>
      </c>
      <c r="CS15" s="37">
        <f t="shared" si="47"/>
        <v>1</v>
      </c>
      <c r="CT15" s="37">
        <f t="shared" si="48"/>
        <v>0</v>
      </c>
      <c r="CU15" s="37">
        <f t="shared" si="49"/>
        <v>0</v>
      </c>
      <c r="CV15" s="36"/>
      <c r="CW15" s="37">
        <f t="shared" si="50"/>
        <v>0</v>
      </c>
      <c r="CX15" s="37">
        <f t="shared" si="51"/>
        <v>0</v>
      </c>
      <c r="CY15" s="37">
        <f t="shared" si="52"/>
        <v>3.3333333333333339</v>
      </c>
      <c r="CZ15" s="37">
        <f t="shared" si="53"/>
        <v>5</v>
      </c>
      <c r="DA15" s="37">
        <f t="shared" si="54"/>
        <v>0</v>
      </c>
      <c r="DB15" s="37">
        <f t="shared" si="55"/>
        <v>0</v>
      </c>
      <c r="DC15" s="37">
        <f t="shared" si="56"/>
        <v>0</v>
      </c>
      <c r="DD15" s="37">
        <f t="shared" si="57"/>
        <v>0</v>
      </c>
      <c r="DE15" s="37">
        <f t="shared" si="58"/>
        <v>0</v>
      </c>
      <c r="DF15" s="37">
        <f t="shared" si="61"/>
        <v>0</v>
      </c>
      <c r="DG15" s="37">
        <f t="shared" si="59"/>
        <v>0</v>
      </c>
      <c r="DH15" s="37">
        <f t="shared" si="60"/>
        <v>8.3333333333333339</v>
      </c>
    </row>
    <row r="16" spans="1:112" ht="24.75" hidden="1" x14ac:dyDescent="0.25">
      <c r="A16" s="37">
        <v>12</v>
      </c>
      <c r="B16" s="153" t="s">
        <v>2178</v>
      </c>
      <c r="C16" s="149"/>
      <c r="D16" s="149"/>
      <c r="E16" s="149"/>
      <c r="F16" s="149"/>
      <c r="G16" s="149"/>
      <c r="H16" s="149"/>
      <c r="I16" s="149"/>
      <c r="J16" s="53" t="s">
        <v>1947</v>
      </c>
      <c r="K16" s="53" t="s">
        <v>1948</v>
      </c>
      <c r="L16" s="53" t="s">
        <v>1947</v>
      </c>
      <c r="M16" s="61">
        <f t="shared" si="0"/>
        <v>0</v>
      </c>
      <c r="N16" s="61">
        <f t="shared" si="1"/>
        <v>1</v>
      </c>
      <c r="O16" s="61">
        <f t="shared" si="2"/>
        <v>0</v>
      </c>
      <c r="P16" s="61">
        <f t="shared" si="3"/>
        <v>1</v>
      </c>
      <c r="Q16" s="53" t="s">
        <v>2165</v>
      </c>
      <c r="R16" s="53" t="s">
        <v>2165</v>
      </c>
      <c r="S16" s="53" t="s">
        <v>1948</v>
      </c>
      <c r="T16" s="61">
        <f t="shared" si="4"/>
        <v>0</v>
      </c>
      <c r="U16" s="61">
        <f t="shared" si="5"/>
        <v>0</v>
      </c>
      <c r="V16" s="61">
        <f t="shared" si="6"/>
        <v>1</v>
      </c>
      <c r="W16" s="61">
        <f t="shared" si="7"/>
        <v>1</v>
      </c>
      <c r="X16" s="61">
        <f t="shared" si="8"/>
        <v>33.333333333333336</v>
      </c>
      <c r="Y16" s="53" t="s">
        <v>1948</v>
      </c>
      <c r="Z16" s="53" t="s">
        <v>1947</v>
      </c>
      <c r="AA16" s="61">
        <f t="shared" si="9"/>
        <v>1</v>
      </c>
      <c r="AB16" s="61">
        <f t="shared" si="10"/>
        <v>0</v>
      </c>
      <c r="AC16" s="61">
        <f t="shared" si="11"/>
        <v>1</v>
      </c>
      <c r="AD16" s="61">
        <f t="shared" si="12"/>
        <v>50</v>
      </c>
      <c r="AE16" s="53" t="s">
        <v>1947</v>
      </c>
      <c r="AF16" s="53" t="s">
        <v>1947</v>
      </c>
      <c r="AG16" s="53" t="s">
        <v>1947</v>
      </c>
      <c r="AH16" s="53" t="s">
        <v>1947</v>
      </c>
      <c r="AI16" s="53" t="s">
        <v>1947</v>
      </c>
      <c r="AJ16" s="50">
        <f t="shared" si="13"/>
        <v>0</v>
      </c>
      <c r="AK16" s="50">
        <f t="shared" si="14"/>
        <v>0</v>
      </c>
      <c r="AL16" s="50">
        <f t="shared" si="15"/>
        <v>0</v>
      </c>
      <c r="AM16" s="50">
        <f t="shared" si="16"/>
        <v>0</v>
      </c>
      <c r="AN16" s="50">
        <f t="shared" si="17"/>
        <v>0</v>
      </c>
      <c r="AO16" s="50">
        <f t="shared" si="18"/>
        <v>0</v>
      </c>
      <c r="AP16" s="51">
        <f t="shared" si="19"/>
        <v>0</v>
      </c>
      <c r="AQ16" s="51">
        <f t="shared" si="20"/>
        <v>83.333333333333343</v>
      </c>
      <c r="AR16" s="53"/>
      <c r="AS16" s="53"/>
      <c r="AT16" s="53"/>
      <c r="AU16" s="50">
        <f t="shared" si="21"/>
        <v>0</v>
      </c>
      <c r="AV16" s="50">
        <f t="shared" si="22"/>
        <v>0</v>
      </c>
      <c r="AW16" s="50">
        <f t="shared" si="23"/>
        <v>0</v>
      </c>
      <c r="AX16" s="50">
        <f t="shared" si="24"/>
        <v>0</v>
      </c>
      <c r="AY16" s="50">
        <f t="shared" si="25"/>
        <v>0</v>
      </c>
      <c r="AZ16" s="36"/>
      <c r="BA16" s="36"/>
      <c r="BB16" s="36"/>
      <c r="BC16" s="36"/>
      <c r="BD16" s="37">
        <f t="shared" si="26"/>
        <v>0</v>
      </c>
      <c r="BE16" s="37">
        <f t="shared" si="27"/>
        <v>0</v>
      </c>
      <c r="BF16" s="37">
        <f t="shared" si="28"/>
        <v>0</v>
      </c>
      <c r="BG16" s="37">
        <f t="shared" si="29"/>
        <v>0</v>
      </c>
      <c r="BH16" s="37">
        <f t="shared" si="30"/>
        <v>0</v>
      </c>
      <c r="BI16" s="37">
        <f t="shared" si="31"/>
        <v>0</v>
      </c>
      <c r="BJ16" s="37">
        <f t="shared" si="32"/>
        <v>0</v>
      </c>
      <c r="BK16" s="37">
        <f t="shared" si="33"/>
        <v>0</v>
      </c>
      <c r="BL16" s="36" t="s">
        <v>2067</v>
      </c>
      <c r="BM16" s="36" t="s">
        <v>2067</v>
      </c>
      <c r="BN16" s="36" t="s">
        <v>2067</v>
      </c>
      <c r="BO16" s="37">
        <f t="shared" si="34"/>
        <v>0</v>
      </c>
      <c r="BP16" s="37">
        <f t="shared" si="35"/>
        <v>0</v>
      </c>
      <c r="BQ16" s="37">
        <f t="shared" si="36"/>
        <v>0</v>
      </c>
      <c r="BR16" s="37">
        <f t="shared" si="37"/>
        <v>0</v>
      </c>
      <c r="BS16" s="37">
        <f t="shared" si="38"/>
        <v>0</v>
      </c>
      <c r="BT16" s="37">
        <f t="shared" si="39"/>
        <v>0</v>
      </c>
      <c r="BU16" s="36"/>
      <c r="BV16" s="36"/>
      <c r="BW16" s="37"/>
      <c r="BX16" s="37"/>
      <c r="BY16" s="37"/>
      <c r="BZ16" s="37"/>
      <c r="CA16" s="36"/>
      <c r="CB16" s="36"/>
      <c r="CC16" s="37"/>
      <c r="CD16" s="37"/>
      <c r="CE16" s="37"/>
      <c r="CF16" s="37"/>
      <c r="CG16" s="36"/>
      <c r="CH16" s="36"/>
      <c r="CI16" s="37">
        <f t="shared" si="40"/>
        <v>1</v>
      </c>
      <c r="CJ16" s="37">
        <f t="shared" si="41"/>
        <v>0.75</v>
      </c>
      <c r="CK16" s="37">
        <f t="shared" si="42"/>
        <v>0.75</v>
      </c>
      <c r="CL16" s="37">
        <f t="shared" si="43"/>
        <v>0</v>
      </c>
      <c r="CM16" s="37">
        <f t="shared" si="44"/>
        <v>0</v>
      </c>
      <c r="CN16" s="36" t="s">
        <v>2166</v>
      </c>
      <c r="CO16" s="36" t="s">
        <v>2166</v>
      </c>
      <c r="CP16" s="36" t="s">
        <v>2166</v>
      </c>
      <c r="CQ16" s="37">
        <f t="shared" si="45"/>
        <v>1</v>
      </c>
      <c r="CR16" s="37">
        <f t="shared" si="46"/>
        <v>1</v>
      </c>
      <c r="CS16" s="37">
        <f t="shared" si="47"/>
        <v>1</v>
      </c>
      <c r="CT16" s="37">
        <f t="shared" si="48"/>
        <v>0</v>
      </c>
      <c r="CU16" s="37">
        <f t="shared" si="49"/>
        <v>0</v>
      </c>
      <c r="CV16" s="36"/>
      <c r="CW16" s="37">
        <f t="shared" si="50"/>
        <v>0</v>
      </c>
      <c r="CX16" s="37">
        <f t="shared" si="51"/>
        <v>0</v>
      </c>
      <c r="CY16" s="37">
        <f t="shared" si="52"/>
        <v>3.3333333333333339</v>
      </c>
      <c r="CZ16" s="37">
        <f t="shared" si="53"/>
        <v>5</v>
      </c>
      <c r="DA16" s="37">
        <f t="shared" si="54"/>
        <v>0</v>
      </c>
      <c r="DB16" s="37">
        <f t="shared" si="55"/>
        <v>0</v>
      </c>
      <c r="DC16" s="37">
        <f t="shared" si="56"/>
        <v>0</v>
      </c>
      <c r="DD16" s="37">
        <f t="shared" si="57"/>
        <v>0</v>
      </c>
      <c r="DE16" s="37">
        <f t="shared" si="58"/>
        <v>0</v>
      </c>
      <c r="DF16" s="37">
        <f t="shared" si="61"/>
        <v>0</v>
      </c>
      <c r="DG16" s="37">
        <f t="shared" si="59"/>
        <v>0</v>
      </c>
      <c r="DH16" s="37">
        <f t="shared" si="60"/>
        <v>8.3333333333333339</v>
      </c>
    </row>
    <row r="17" spans="1:112" ht="24.75" hidden="1" x14ac:dyDescent="0.25">
      <c r="A17" s="37">
        <v>13</v>
      </c>
      <c r="B17" s="153" t="s">
        <v>2179</v>
      </c>
      <c r="C17" s="149"/>
      <c r="D17" s="149"/>
      <c r="E17" s="149"/>
      <c r="F17" s="149"/>
      <c r="G17" s="149"/>
      <c r="H17" s="149"/>
      <c r="I17" s="149"/>
      <c r="J17" s="53" t="s">
        <v>1947</v>
      </c>
      <c r="K17" s="53" t="s">
        <v>1948</v>
      </c>
      <c r="L17" s="53" t="s">
        <v>1947</v>
      </c>
      <c r="M17" s="61">
        <f t="shared" si="0"/>
        <v>0</v>
      </c>
      <c r="N17" s="61">
        <f t="shared" si="1"/>
        <v>1</v>
      </c>
      <c r="O17" s="61">
        <f t="shared" si="2"/>
        <v>0</v>
      </c>
      <c r="P17" s="61">
        <f t="shared" si="3"/>
        <v>1</v>
      </c>
      <c r="Q17" s="53" t="s">
        <v>2165</v>
      </c>
      <c r="R17" s="53" t="s">
        <v>2165</v>
      </c>
      <c r="S17" s="53" t="s">
        <v>1948</v>
      </c>
      <c r="T17" s="61">
        <f t="shared" si="4"/>
        <v>0</v>
      </c>
      <c r="U17" s="61">
        <f t="shared" si="5"/>
        <v>0</v>
      </c>
      <c r="V17" s="61">
        <f t="shared" si="6"/>
        <v>1</v>
      </c>
      <c r="W17" s="61">
        <f t="shared" si="7"/>
        <v>1</v>
      </c>
      <c r="X17" s="61">
        <f t="shared" si="8"/>
        <v>33.333333333333336</v>
      </c>
      <c r="Y17" s="53" t="s">
        <v>1948</v>
      </c>
      <c r="Z17" s="53" t="s">
        <v>1947</v>
      </c>
      <c r="AA17" s="61">
        <f t="shared" si="9"/>
        <v>1</v>
      </c>
      <c r="AB17" s="61">
        <f t="shared" si="10"/>
        <v>0</v>
      </c>
      <c r="AC17" s="61">
        <f t="shared" si="11"/>
        <v>1</v>
      </c>
      <c r="AD17" s="61">
        <f t="shared" si="12"/>
        <v>50</v>
      </c>
      <c r="AE17" s="53" t="s">
        <v>1947</v>
      </c>
      <c r="AF17" s="53" t="s">
        <v>1947</v>
      </c>
      <c r="AG17" s="53" t="s">
        <v>1947</v>
      </c>
      <c r="AH17" s="53" t="s">
        <v>1947</v>
      </c>
      <c r="AI17" s="53" t="s">
        <v>1947</v>
      </c>
      <c r="AJ17" s="50">
        <f t="shared" si="13"/>
        <v>0</v>
      </c>
      <c r="AK17" s="50">
        <f t="shared" si="14"/>
        <v>0</v>
      </c>
      <c r="AL17" s="50">
        <f t="shared" si="15"/>
        <v>0</v>
      </c>
      <c r="AM17" s="50">
        <f t="shared" si="16"/>
        <v>0</v>
      </c>
      <c r="AN17" s="50">
        <f t="shared" si="17"/>
        <v>0</v>
      </c>
      <c r="AO17" s="50">
        <f t="shared" si="18"/>
        <v>0</v>
      </c>
      <c r="AP17" s="51">
        <f t="shared" si="19"/>
        <v>0</v>
      </c>
      <c r="AQ17" s="51">
        <f t="shared" si="20"/>
        <v>83.333333333333343</v>
      </c>
      <c r="AR17" s="53"/>
      <c r="AS17" s="53"/>
      <c r="AT17" s="53"/>
      <c r="AU17" s="50">
        <f t="shared" si="21"/>
        <v>0</v>
      </c>
      <c r="AV17" s="50">
        <f t="shared" si="22"/>
        <v>0</v>
      </c>
      <c r="AW17" s="50">
        <f t="shared" si="23"/>
        <v>0</v>
      </c>
      <c r="AX17" s="50">
        <f t="shared" si="24"/>
        <v>0</v>
      </c>
      <c r="AY17" s="50">
        <f t="shared" si="25"/>
        <v>0</v>
      </c>
      <c r="AZ17" s="36"/>
      <c r="BA17" s="36"/>
      <c r="BB17" s="36"/>
      <c r="BC17" s="36"/>
      <c r="BD17" s="37">
        <f t="shared" si="26"/>
        <v>0</v>
      </c>
      <c r="BE17" s="37">
        <f t="shared" si="27"/>
        <v>0</v>
      </c>
      <c r="BF17" s="37">
        <f t="shared" si="28"/>
        <v>0</v>
      </c>
      <c r="BG17" s="37">
        <f t="shared" si="29"/>
        <v>0</v>
      </c>
      <c r="BH17" s="37">
        <f t="shared" si="30"/>
        <v>0</v>
      </c>
      <c r="BI17" s="37">
        <f t="shared" si="31"/>
        <v>0</v>
      </c>
      <c r="BJ17" s="37">
        <f t="shared" si="32"/>
        <v>0</v>
      </c>
      <c r="BK17" s="37">
        <f t="shared" si="33"/>
        <v>0</v>
      </c>
      <c r="BL17" s="36" t="s">
        <v>2067</v>
      </c>
      <c r="BM17" s="36" t="s">
        <v>2067</v>
      </c>
      <c r="BN17" s="36" t="s">
        <v>2067</v>
      </c>
      <c r="BO17" s="37">
        <f t="shared" si="34"/>
        <v>0</v>
      </c>
      <c r="BP17" s="37">
        <f t="shared" si="35"/>
        <v>0</v>
      </c>
      <c r="BQ17" s="37">
        <f t="shared" si="36"/>
        <v>0</v>
      </c>
      <c r="BR17" s="37">
        <f t="shared" si="37"/>
        <v>0</v>
      </c>
      <c r="BS17" s="37">
        <f t="shared" si="38"/>
        <v>0</v>
      </c>
      <c r="BT17" s="37">
        <f t="shared" si="39"/>
        <v>0</v>
      </c>
      <c r="BU17" s="36"/>
      <c r="BV17" s="36"/>
      <c r="BW17" s="37"/>
      <c r="BX17" s="37"/>
      <c r="BY17" s="37"/>
      <c r="BZ17" s="37"/>
      <c r="CA17" s="36"/>
      <c r="CB17" s="36"/>
      <c r="CC17" s="37"/>
      <c r="CD17" s="37"/>
      <c r="CE17" s="37"/>
      <c r="CF17" s="37"/>
      <c r="CG17" s="36"/>
      <c r="CH17" s="36"/>
      <c r="CI17" s="37">
        <f t="shared" si="40"/>
        <v>1</v>
      </c>
      <c r="CJ17" s="37">
        <f t="shared" si="41"/>
        <v>0.75</v>
      </c>
      <c r="CK17" s="37">
        <f t="shared" si="42"/>
        <v>0.75</v>
      </c>
      <c r="CL17" s="37">
        <f t="shared" si="43"/>
        <v>0</v>
      </c>
      <c r="CM17" s="37">
        <f t="shared" si="44"/>
        <v>0</v>
      </c>
      <c r="CN17" s="36" t="s">
        <v>2166</v>
      </c>
      <c r="CO17" s="36" t="s">
        <v>2166</v>
      </c>
      <c r="CP17" s="36" t="s">
        <v>2166</v>
      </c>
      <c r="CQ17" s="37">
        <f t="shared" si="45"/>
        <v>1</v>
      </c>
      <c r="CR17" s="37">
        <f t="shared" si="46"/>
        <v>1</v>
      </c>
      <c r="CS17" s="37">
        <f t="shared" si="47"/>
        <v>1</v>
      </c>
      <c r="CT17" s="37">
        <f t="shared" si="48"/>
        <v>0</v>
      </c>
      <c r="CU17" s="37">
        <f t="shared" si="49"/>
        <v>0</v>
      </c>
      <c r="CV17" s="36"/>
      <c r="CW17" s="37">
        <f t="shared" si="50"/>
        <v>0</v>
      </c>
      <c r="CX17" s="37">
        <f t="shared" si="51"/>
        <v>0</v>
      </c>
      <c r="CY17" s="37">
        <f t="shared" si="52"/>
        <v>3.3333333333333339</v>
      </c>
      <c r="CZ17" s="37">
        <f t="shared" si="53"/>
        <v>5</v>
      </c>
      <c r="DA17" s="37">
        <f t="shared" si="54"/>
        <v>0</v>
      </c>
      <c r="DB17" s="37">
        <f t="shared" si="55"/>
        <v>0</v>
      </c>
      <c r="DC17" s="37">
        <f t="shared" si="56"/>
        <v>0</v>
      </c>
      <c r="DD17" s="37">
        <f t="shared" si="57"/>
        <v>0</v>
      </c>
      <c r="DE17" s="37">
        <f t="shared" si="58"/>
        <v>0</v>
      </c>
      <c r="DF17" s="37">
        <f t="shared" si="61"/>
        <v>0</v>
      </c>
      <c r="DG17" s="37">
        <f t="shared" si="59"/>
        <v>0</v>
      </c>
      <c r="DH17" s="37">
        <f t="shared" si="60"/>
        <v>8.3333333333333339</v>
      </c>
    </row>
    <row r="18" spans="1:112" ht="24.75" hidden="1" x14ac:dyDescent="0.25">
      <c r="A18" s="37">
        <v>14</v>
      </c>
      <c r="B18" s="153" t="s">
        <v>2180</v>
      </c>
      <c r="C18" s="149"/>
      <c r="D18" s="149"/>
      <c r="E18" s="149"/>
      <c r="F18" s="149"/>
      <c r="G18" s="149"/>
      <c r="H18" s="149"/>
      <c r="I18" s="149"/>
      <c r="J18" s="53" t="s">
        <v>1947</v>
      </c>
      <c r="K18" s="53" t="s">
        <v>1948</v>
      </c>
      <c r="L18" s="53" t="s">
        <v>1947</v>
      </c>
      <c r="M18" s="61">
        <f t="shared" si="0"/>
        <v>0</v>
      </c>
      <c r="N18" s="61">
        <f t="shared" si="1"/>
        <v>1</v>
      </c>
      <c r="O18" s="61">
        <f t="shared" si="2"/>
        <v>0</v>
      </c>
      <c r="P18" s="61">
        <f t="shared" si="3"/>
        <v>1</v>
      </c>
      <c r="Q18" s="53" t="s">
        <v>2165</v>
      </c>
      <c r="R18" s="53" t="s">
        <v>2165</v>
      </c>
      <c r="S18" s="53" t="s">
        <v>1948</v>
      </c>
      <c r="T18" s="61">
        <f t="shared" si="4"/>
        <v>0</v>
      </c>
      <c r="U18" s="61">
        <f t="shared" si="5"/>
        <v>0</v>
      </c>
      <c r="V18" s="61">
        <f t="shared" si="6"/>
        <v>1</v>
      </c>
      <c r="W18" s="61">
        <f t="shared" si="7"/>
        <v>1</v>
      </c>
      <c r="X18" s="61">
        <f t="shared" si="8"/>
        <v>33.333333333333336</v>
      </c>
      <c r="Y18" s="53" t="s">
        <v>1948</v>
      </c>
      <c r="Z18" s="53" t="s">
        <v>1947</v>
      </c>
      <c r="AA18" s="61">
        <f t="shared" si="9"/>
        <v>1</v>
      </c>
      <c r="AB18" s="61">
        <f t="shared" si="10"/>
        <v>0</v>
      </c>
      <c r="AC18" s="61">
        <f t="shared" si="11"/>
        <v>1</v>
      </c>
      <c r="AD18" s="61">
        <f t="shared" si="12"/>
        <v>50</v>
      </c>
      <c r="AE18" s="53" t="s">
        <v>1947</v>
      </c>
      <c r="AF18" s="53" t="s">
        <v>1947</v>
      </c>
      <c r="AG18" s="53" t="s">
        <v>1947</v>
      </c>
      <c r="AH18" s="53" t="s">
        <v>1947</v>
      </c>
      <c r="AI18" s="53" t="s">
        <v>1947</v>
      </c>
      <c r="AJ18" s="50">
        <f t="shared" si="13"/>
        <v>0</v>
      </c>
      <c r="AK18" s="50">
        <f t="shared" si="14"/>
        <v>0</v>
      </c>
      <c r="AL18" s="50">
        <f t="shared" si="15"/>
        <v>0</v>
      </c>
      <c r="AM18" s="50">
        <f t="shared" si="16"/>
        <v>0</v>
      </c>
      <c r="AN18" s="50">
        <f t="shared" si="17"/>
        <v>0</v>
      </c>
      <c r="AO18" s="50">
        <f t="shared" si="18"/>
        <v>0</v>
      </c>
      <c r="AP18" s="51">
        <f t="shared" si="19"/>
        <v>0</v>
      </c>
      <c r="AQ18" s="51">
        <f t="shared" si="20"/>
        <v>83.333333333333343</v>
      </c>
      <c r="AR18" s="53"/>
      <c r="AS18" s="53"/>
      <c r="AT18" s="53"/>
      <c r="AU18" s="50">
        <f t="shared" si="21"/>
        <v>0</v>
      </c>
      <c r="AV18" s="50">
        <f t="shared" si="22"/>
        <v>0</v>
      </c>
      <c r="AW18" s="50">
        <f t="shared" si="23"/>
        <v>0</v>
      </c>
      <c r="AX18" s="50">
        <f t="shared" si="24"/>
        <v>0</v>
      </c>
      <c r="AY18" s="50">
        <f t="shared" si="25"/>
        <v>0</v>
      </c>
      <c r="AZ18" s="36"/>
      <c r="BA18" s="36"/>
      <c r="BB18" s="36"/>
      <c r="BC18" s="36"/>
      <c r="BD18" s="37">
        <f t="shared" si="26"/>
        <v>0</v>
      </c>
      <c r="BE18" s="37">
        <f t="shared" si="27"/>
        <v>0</v>
      </c>
      <c r="BF18" s="37">
        <f t="shared" si="28"/>
        <v>0</v>
      </c>
      <c r="BG18" s="37">
        <f t="shared" si="29"/>
        <v>0</v>
      </c>
      <c r="BH18" s="37">
        <f t="shared" si="30"/>
        <v>0</v>
      </c>
      <c r="BI18" s="37">
        <f t="shared" si="31"/>
        <v>0</v>
      </c>
      <c r="BJ18" s="37">
        <f t="shared" si="32"/>
        <v>0</v>
      </c>
      <c r="BK18" s="37">
        <f t="shared" si="33"/>
        <v>0</v>
      </c>
      <c r="BL18" s="36" t="s">
        <v>2067</v>
      </c>
      <c r="BM18" s="36" t="s">
        <v>2067</v>
      </c>
      <c r="BN18" s="36" t="s">
        <v>2067</v>
      </c>
      <c r="BO18" s="37">
        <f t="shared" si="34"/>
        <v>0</v>
      </c>
      <c r="BP18" s="37">
        <f t="shared" si="35"/>
        <v>0</v>
      </c>
      <c r="BQ18" s="37">
        <f t="shared" si="36"/>
        <v>0</v>
      </c>
      <c r="BR18" s="37">
        <f t="shared" si="37"/>
        <v>0</v>
      </c>
      <c r="BS18" s="37">
        <f t="shared" si="38"/>
        <v>0</v>
      </c>
      <c r="BT18" s="37">
        <f t="shared" si="39"/>
        <v>0</v>
      </c>
      <c r="BU18" s="36"/>
      <c r="BV18" s="36"/>
      <c r="BW18" s="37"/>
      <c r="BX18" s="37"/>
      <c r="BY18" s="37"/>
      <c r="BZ18" s="37"/>
      <c r="CA18" s="36"/>
      <c r="CB18" s="36"/>
      <c r="CC18" s="37"/>
      <c r="CD18" s="37"/>
      <c r="CE18" s="37"/>
      <c r="CF18" s="37"/>
      <c r="CG18" s="36"/>
      <c r="CH18" s="36"/>
      <c r="CI18" s="37">
        <f t="shared" si="40"/>
        <v>1</v>
      </c>
      <c r="CJ18" s="37">
        <f t="shared" si="41"/>
        <v>0.75</v>
      </c>
      <c r="CK18" s="37">
        <f t="shared" si="42"/>
        <v>0.75</v>
      </c>
      <c r="CL18" s="37">
        <f t="shared" si="43"/>
        <v>0</v>
      </c>
      <c r="CM18" s="37">
        <f t="shared" si="44"/>
        <v>0</v>
      </c>
      <c r="CN18" s="36" t="s">
        <v>2166</v>
      </c>
      <c r="CO18" s="36" t="s">
        <v>2166</v>
      </c>
      <c r="CP18" s="36" t="s">
        <v>2166</v>
      </c>
      <c r="CQ18" s="37">
        <f t="shared" si="45"/>
        <v>1</v>
      </c>
      <c r="CR18" s="37">
        <f t="shared" si="46"/>
        <v>1</v>
      </c>
      <c r="CS18" s="37">
        <f t="shared" si="47"/>
        <v>1</v>
      </c>
      <c r="CT18" s="37">
        <f t="shared" si="48"/>
        <v>0</v>
      </c>
      <c r="CU18" s="37">
        <f t="shared" si="49"/>
        <v>0</v>
      </c>
      <c r="CV18" s="36"/>
      <c r="CW18" s="37">
        <f t="shared" si="50"/>
        <v>0</v>
      </c>
      <c r="CX18" s="37">
        <f t="shared" si="51"/>
        <v>0</v>
      </c>
      <c r="CY18" s="37">
        <f t="shared" si="52"/>
        <v>3.3333333333333339</v>
      </c>
      <c r="CZ18" s="37">
        <f t="shared" si="53"/>
        <v>5</v>
      </c>
      <c r="DA18" s="37">
        <f t="shared" si="54"/>
        <v>0</v>
      </c>
      <c r="DB18" s="37">
        <f t="shared" si="55"/>
        <v>0</v>
      </c>
      <c r="DC18" s="37">
        <f t="shared" si="56"/>
        <v>0</v>
      </c>
      <c r="DD18" s="37">
        <f t="shared" si="57"/>
        <v>0</v>
      </c>
      <c r="DE18" s="37">
        <f t="shared" si="58"/>
        <v>0</v>
      </c>
      <c r="DF18" s="37">
        <f t="shared" si="61"/>
        <v>0</v>
      </c>
      <c r="DG18" s="37">
        <f t="shared" si="59"/>
        <v>0</v>
      </c>
      <c r="DH18" s="37">
        <f t="shared" si="60"/>
        <v>8.3333333333333339</v>
      </c>
    </row>
    <row r="19" spans="1:112" ht="24.75" hidden="1" x14ac:dyDescent="0.25">
      <c r="A19" s="37">
        <v>15</v>
      </c>
      <c r="B19" s="153" t="s">
        <v>2181</v>
      </c>
      <c r="C19" s="149"/>
      <c r="D19" s="149"/>
      <c r="E19" s="149"/>
      <c r="F19" s="149"/>
      <c r="G19" s="149"/>
      <c r="H19" s="149"/>
      <c r="I19" s="149"/>
      <c r="J19" s="53" t="s">
        <v>1947</v>
      </c>
      <c r="K19" s="53" t="s">
        <v>1948</v>
      </c>
      <c r="L19" s="53" t="s">
        <v>1947</v>
      </c>
      <c r="M19" s="61">
        <f t="shared" si="0"/>
        <v>0</v>
      </c>
      <c r="N19" s="61">
        <f t="shared" si="1"/>
        <v>1</v>
      </c>
      <c r="O19" s="61">
        <f t="shared" si="2"/>
        <v>0</v>
      </c>
      <c r="P19" s="61">
        <f t="shared" si="3"/>
        <v>1</v>
      </c>
      <c r="Q19" s="53" t="s">
        <v>2165</v>
      </c>
      <c r="R19" s="53" t="s">
        <v>2165</v>
      </c>
      <c r="S19" s="53" t="s">
        <v>1948</v>
      </c>
      <c r="T19" s="61">
        <f t="shared" si="4"/>
        <v>0</v>
      </c>
      <c r="U19" s="61">
        <f t="shared" si="5"/>
        <v>0</v>
      </c>
      <c r="V19" s="61">
        <f t="shared" si="6"/>
        <v>1</v>
      </c>
      <c r="W19" s="61">
        <f t="shared" si="7"/>
        <v>1</v>
      </c>
      <c r="X19" s="61">
        <f t="shared" si="8"/>
        <v>33.333333333333336</v>
      </c>
      <c r="Y19" s="53" t="s">
        <v>1948</v>
      </c>
      <c r="Z19" s="53" t="s">
        <v>1947</v>
      </c>
      <c r="AA19" s="61">
        <f t="shared" si="9"/>
        <v>1</v>
      </c>
      <c r="AB19" s="61">
        <f t="shared" si="10"/>
        <v>0</v>
      </c>
      <c r="AC19" s="61">
        <f t="shared" si="11"/>
        <v>1</v>
      </c>
      <c r="AD19" s="61">
        <f t="shared" si="12"/>
        <v>50</v>
      </c>
      <c r="AE19" s="53" t="s">
        <v>1947</v>
      </c>
      <c r="AF19" s="53" t="s">
        <v>1947</v>
      </c>
      <c r="AG19" s="53" t="s">
        <v>1947</v>
      </c>
      <c r="AH19" s="53" t="s">
        <v>1947</v>
      </c>
      <c r="AI19" s="53" t="s">
        <v>1947</v>
      </c>
      <c r="AJ19" s="50">
        <f t="shared" si="13"/>
        <v>0</v>
      </c>
      <c r="AK19" s="50">
        <f t="shared" si="14"/>
        <v>0</v>
      </c>
      <c r="AL19" s="50">
        <f t="shared" si="15"/>
        <v>0</v>
      </c>
      <c r="AM19" s="50">
        <f t="shared" si="16"/>
        <v>0</v>
      </c>
      <c r="AN19" s="50">
        <f t="shared" si="17"/>
        <v>0</v>
      </c>
      <c r="AO19" s="50">
        <f t="shared" si="18"/>
        <v>0</v>
      </c>
      <c r="AP19" s="51">
        <f t="shared" si="19"/>
        <v>0</v>
      </c>
      <c r="AQ19" s="51">
        <f t="shared" si="20"/>
        <v>83.333333333333343</v>
      </c>
      <c r="AR19" s="53"/>
      <c r="AS19" s="53"/>
      <c r="AT19" s="53"/>
      <c r="AU19" s="50">
        <f t="shared" si="21"/>
        <v>0</v>
      </c>
      <c r="AV19" s="50">
        <f t="shared" si="22"/>
        <v>0</v>
      </c>
      <c r="AW19" s="50">
        <f t="shared" si="23"/>
        <v>0</v>
      </c>
      <c r="AX19" s="50">
        <f t="shared" si="24"/>
        <v>0</v>
      </c>
      <c r="AY19" s="50">
        <f t="shared" si="25"/>
        <v>0</v>
      </c>
      <c r="AZ19" s="36"/>
      <c r="BA19" s="36"/>
      <c r="BB19" s="36"/>
      <c r="BC19" s="36"/>
      <c r="BD19" s="37">
        <f t="shared" si="26"/>
        <v>0</v>
      </c>
      <c r="BE19" s="37">
        <f t="shared" si="27"/>
        <v>0</v>
      </c>
      <c r="BF19" s="37">
        <f t="shared" si="28"/>
        <v>0</v>
      </c>
      <c r="BG19" s="37">
        <f t="shared" si="29"/>
        <v>0</v>
      </c>
      <c r="BH19" s="37">
        <f t="shared" si="30"/>
        <v>0</v>
      </c>
      <c r="BI19" s="37">
        <f t="shared" si="31"/>
        <v>0</v>
      </c>
      <c r="BJ19" s="37">
        <f t="shared" si="32"/>
        <v>0</v>
      </c>
      <c r="BK19" s="37">
        <f t="shared" si="33"/>
        <v>0</v>
      </c>
      <c r="BL19" s="36" t="s">
        <v>2067</v>
      </c>
      <c r="BM19" s="36" t="s">
        <v>2067</v>
      </c>
      <c r="BN19" s="36" t="s">
        <v>2067</v>
      </c>
      <c r="BO19" s="37">
        <f t="shared" si="34"/>
        <v>0</v>
      </c>
      <c r="BP19" s="37">
        <f t="shared" si="35"/>
        <v>0</v>
      </c>
      <c r="BQ19" s="37">
        <f t="shared" si="36"/>
        <v>0</v>
      </c>
      <c r="BR19" s="37">
        <f t="shared" si="37"/>
        <v>0</v>
      </c>
      <c r="BS19" s="37">
        <f t="shared" si="38"/>
        <v>0</v>
      </c>
      <c r="BT19" s="37">
        <f t="shared" si="39"/>
        <v>0</v>
      </c>
      <c r="BU19" s="36"/>
      <c r="BV19" s="36"/>
      <c r="BW19" s="37"/>
      <c r="BX19" s="37"/>
      <c r="BY19" s="37"/>
      <c r="BZ19" s="37"/>
      <c r="CA19" s="36"/>
      <c r="CB19" s="36"/>
      <c r="CC19" s="37"/>
      <c r="CD19" s="37"/>
      <c r="CE19" s="37"/>
      <c r="CF19" s="37"/>
      <c r="CG19" s="36"/>
      <c r="CH19" s="36"/>
      <c r="CI19" s="37">
        <f t="shared" si="40"/>
        <v>1</v>
      </c>
      <c r="CJ19" s="37">
        <f t="shared" si="41"/>
        <v>0.75</v>
      </c>
      <c r="CK19" s="37">
        <f t="shared" si="42"/>
        <v>0.75</v>
      </c>
      <c r="CL19" s="37">
        <f t="shared" si="43"/>
        <v>0</v>
      </c>
      <c r="CM19" s="37">
        <f t="shared" si="44"/>
        <v>0</v>
      </c>
      <c r="CN19" s="36" t="s">
        <v>2166</v>
      </c>
      <c r="CO19" s="36" t="s">
        <v>2166</v>
      </c>
      <c r="CP19" s="36" t="s">
        <v>2166</v>
      </c>
      <c r="CQ19" s="37">
        <f t="shared" si="45"/>
        <v>1</v>
      </c>
      <c r="CR19" s="37">
        <f t="shared" si="46"/>
        <v>1</v>
      </c>
      <c r="CS19" s="37">
        <f t="shared" si="47"/>
        <v>1</v>
      </c>
      <c r="CT19" s="37">
        <f t="shared" si="48"/>
        <v>0</v>
      </c>
      <c r="CU19" s="37">
        <f t="shared" si="49"/>
        <v>0</v>
      </c>
      <c r="CV19" s="36"/>
      <c r="CW19" s="37">
        <f t="shared" si="50"/>
        <v>0</v>
      </c>
      <c r="CX19" s="37">
        <f t="shared" si="51"/>
        <v>0</v>
      </c>
      <c r="CY19" s="37">
        <f t="shared" si="52"/>
        <v>3.3333333333333339</v>
      </c>
      <c r="CZ19" s="37">
        <f t="shared" si="53"/>
        <v>5</v>
      </c>
      <c r="DA19" s="37">
        <f t="shared" si="54"/>
        <v>0</v>
      </c>
      <c r="DB19" s="37">
        <f t="shared" si="55"/>
        <v>0</v>
      </c>
      <c r="DC19" s="37">
        <f t="shared" si="56"/>
        <v>0</v>
      </c>
      <c r="DD19" s="37">
        <f t="shared" si="57"/>
        <v>0</v>
      </c>
      <c r="DE19" s="37">
        <f t="shared" si="58"/>
        <v>0</v>
      </c>
      <c r="DF19" s="37">
        <f t="shared" si="61"/>
        <v>0</v>
      </c>
      <c r="DG19" s="37">
        <f t="shared" si="59"/>
        <v>0</v>
      </c>
      <c r="DH19" s="37">
        <f t="shared" si="60"/>
        <v>8.3333333333333339</v>
      </c>
    </row>
    <row r="20" spans="1:112" ht="79.5" hidden="1" customHeight="1" x14ac:dyDescent="0.25">
      <c r="A20" s="37">
        <v>16</v>
      </c>
      <c r="B20" s="156" t="s">
        <v>2182</v>
      </c>
      <c r="C20" s="154" t="s">
        <v>2275</v>
      </c>
      <c r="D20" s="155" t="s">
        <v>2276</v>
      </c>
      <c r="E20" s="155" t="s">
        <v>2274</v>
      </c>
      <c r="F20" s="155"/>
      <c r="G20" s="155"/>
      <c r="H20" s="155"/>
      <c r="I20" s="155"/>
      <c r="J20" s="53" t="s">
        <v>1948</v>
      </c>
      <c r="K20" s="53" t="s">
        <v>1948</v>
      </c>
      <c r="L20" s="53" t="s">
        <v>1947</v>
      </c>
      <c r="M20" s="61">
        <f t="shared" si="0"/>
        <v>1</v>
      </c>
      <c r="N20" s="61">
        <f t="shared" si="1"/>
        <v>1</v>
      </c>
      <c r="O20" s="61">
        <f t="shared" si="2"/>
        <v>0</v>
      </c>
      <c r="P20" s="61">
        <f t="shared" si="3"/>
        <v>2</v>
      </c>
      <c r="Q20" s="53" t="s">
        <v>2165</v>
      </c>
      <c r="R20" s="53" t="s">
        <v>2165</v>
      </c>
      <c r="S20" s="53" t="s">
        <v>1948</v>
      </c>
      <c r="T20" s="61">
        <f t="shared" si="4"/>
        <v>0</v>
      </c>
      <c r="U20" s="61">
        <f t="shared" si="5"/>
        <v>0</v>
      </c>
      <c r="V20" s="61">
        <f t="shared" si="6"/>
        <v>1</v>
      </c>
      <c r="W20" s="61">
        <f t="shared" si="7"/>
        <v>1</v>
      </c>
      <c r="X20" s="61">
        <f t="shared" si="8"/>
        <v>50</v>
      </c>
      <c r="Y20" s="53" t="s">
        <v>1948</v>
      </c>
      <c r="Z20" s="53" t="s">
        <v>1948</v>
      </c>
      <c r="AA20" s="61">
        <f t="shared" si="9"/>
        <v>1</v>
      </c>
      <c r="AB20" s="61">
        <f t="shared" si="10"/>
        <v>1</v>
      </c>
      <c r="AC20" s="61">
        <f t="shared" si="11"/>
        <v>2</v>
      </c>
      <c r="AD20" s="61">
        <f t="shared" si="12"/>
        <v>100</v>
      </c>
      <c r="AE20" s="53" t="s">
        <v>1947</v>
      </c>
      <c r="AF20" s="53" t="s">
        <v>1948</v>
      </c>
      <c r="AG20" s="53" t="s">
        <v>1947</v>
      </c>
      <c r="AH20" s="53" t="s">
        <v>1948</v>
      </c>
      <c r="AI20" s="53" t="s">
        <v>1947</v>
      </c>
      <c r="AJ20" s="50">
        <f t="shared" si="13"/>
        <v>0</v>
      </c>
      <c r="AK20" s="50">
        <f t="shared" si="14"/>
        <v>1</v>
      </c>
      <c r="AL20" s="50">
        <f t="shared" si="15"/>
        <v>0</v>
      </c>
      <c r="AM20" s="50">
        <f t="shared" si="16"/>
        <v>1</v>
      </c>
      <c r="AN20" s="50">
        <f t="shared" si="17"/>
        <v>0</v>
      </c>
      <c r="AO20" s="50">
        <f t="shared" si="18"/>
        <v>2</v>
      </c>
      <c r="AP20" s="51">
        <f t="shared" si="19"/>
        <v>40</v>
      </c>
      <c r="AQ20" s="51">
        <f t="shared" si="20"/>
        <v>190</v>
      </c>
      <c r="AR20" s="53" t="s">
        <v>1948</v>
      </c>
      <c r="AS20" s="53" t="s">
        <v>1948</v>
      </c>
      <c r="AT20" s="53" t="s">
        <v>1948</v>
      </c>
      <c r="AU20" s="50">
        <f t="shared" si="21"/>
        <v>1</v>
      </c>
      <c r="AV20" s="50">
        <f t="shared" si="22"/>
        <v>1</v>
      </c>
      <c r="AW20" s="50">
        <f t="shared" si="23"/>
        <v>1</v>
      </c>
      <c r="AX20" s="50">
        <f t="shared" si="24"/>
        <v>3</v>
      </c>
      <c r="AY20" s="50">
        <f t="shared" si="25"/>
        <v>100</v>
      </c>
      <c r="AZ20" s="36" t="s">
        <v>2080</v>
      </c>
      <c r="BA20" s="36" t="s">
        <v>2080</v>
      </c>
      <c r="BB20" s="36" t="s">
        <v>2080</v>
      </c>
      <c r="BC20" s="36" t="s">
        <v>2080</v>
      </c>
      <c r="BD20" s="37">
        <f t="shared" si="26"/>
        <v>0</v>
      </c>
      <c r="BE20" s="37">
        <f t="shared" si="27"/>
        <v>0</v>
      </c>
      <c r="BF20" s="37">
        <f t="shared" si="28"/>
        <v>0</v>
      </c>
      <c r="BG20" s="37">
        <f t="shared" si="29"/>
        <v>0</v>
      </c>
      <c r="BH20" s="37">
        <f t="shared" si="30"/>
        <v>0</v>
      </c>
      <c r="BI20" s="37">
        <f t="shared" si="31"/>
        <v>0</v>
      </c>
      <c r="BJ20" s="37">
        <f t="shared" si="32"/>
        <v>0</v>
      </c>
      <c r="BK20" s="37">
        <f t="shared" si="33"/>
        <v>0</v>
      </c>
      <c r="BL20" s="36" t="s">
        <v>2067</v>
      </c>
      <c r="BM20" s="36" t="s">
        <v>2067</v>
      </c>
      <c r="BN20" s="36" t="s">
        <v>2067</v>
      </c>
      <c r="BO20" s="37">
        <f t="shared" si="34"/>
        <v>0</v>
      </c>
      <c r="BP20" s="37">
        <f t="shared" si="35"/>
        <v>0</v>
      </c>
      <c r="BQ20" s="37">
        <f t="shared" si="36"/>
        <v>0</v>
      </c>
      <c r="BR20" s="37">
        <f t="shared" si="37"/>
        <v>0</v>
      </c>
      <c r="BS20" s="37">
        <f t="shared" si="38"/>
        <v>0</v>
      </c>
      <c r="BT20" s="37">
        <f t="shared" si="39"/>
        <v>0</v>
      </c>
      <c r="BU20" s="36" t="s">
        <v>2167</v>
      </c>
      <c r="BV20" s="36" t="s">
        <v>2167</v>
      </c>
      <c r="BW20" s="37">
        <f>IF(BU20="ALTO",3,IF(BU20="MEDIO",2,1))</f>
        <v>1</v>
      </c>
      <c r="BX20" s="37">
        <f>IF(BV20="ALTO",2.25,IF(BV20="MEDIO",1.5,0.75))</f>
        <v>0.75</v>
      </c>
      <c r="BY20" s="37">
        <f>IF(BW20=1,BX20,BW20)</f>
        <v>0.75</v>
      </c>
      <c r="BZ20" s="37">
        <f>IF(BY20&gt;=2,BY20,0)</f>
        <v>0</v>
      </c>
      <c r="CA20" s="36" t="s">
        <v>2167</v>
      </c>
      <c r="CB20" s="36" t="s">
        <v>2167</v>
      </c>
      <c r="CC20" s="37">
        <f>IF(CA20="ALTO",3,IF(CA20="MEDIO",2,1))</f>
        <v>1</v>
      </c>
      <c r="CD20" s="37">
        <f>IF(CB20="ALTO",2.25,IF(CB20="MEDIO",1.5,0.75))</f>
        <v>0.75</v>
      </c>
      <c r="CE20" s="37">
        <f>IF(CC20=1,CD20,CC20)</f>
        <v>0.75</v>
      </c>
      <c r="CF20" s="37">
        <f>IF(CE20&gt;=2,CE20,0)</f>
        <v>0</v>
      </c>
      <c r="CG20" s="36" t="s">
        <v>2167</v>
      </c>
      <c r="CH20" s="36" t="s">
        <v>2167</v>
      </c>
      <c r="CI20" s="37">
        <f t="shared" si="40"/>
        <v>1</v>
      </c>
      <c r="CJ20" s="37">
        <f t="shared" si="41"/>
        <v>0.75</v>
      </c>
      <c r="CK20" s="37">
        <f t="shared" si="42"/>
        <v>0.75</v>
      </c>
      <c r="CL20" s="37">
        <f t="shared" si="43"/>
        <v>0</v>
      </c>
      <c r="CM20" s="37">
        <f t="shared" si="44"/>
        <v>0</v>
      </c>
      <c r="CN20" s="36" t="s">
        <v>2166</v>
      </c>
      <c r="CO20" s="36" t="s">
        <v>2166</v>
      </c>
      <c r="CP20" s="36" t="s">
        <v>2166</v>
      </c>
      <c r="CQ20" s="37">
        <f t="shared" si="45"/>
        <v>1</v>
      </c>
      <c r="CR20" s="37">
        <f t="shared" si="46"/>
        <v>1</v>
      </c>
      <c r="CS20" s="37">
        <f t="shared" si="47"/>
        <v>1</v>
      </c>
      <c r="CT20" s="37">
        <f t="shared" si="48"/>
        <v>0</v>
      </c>
      <c r="CU20" s="37">
        <f t="shared" si="49"/>
        <v>0</v>
      </c>
      <c r="CV20" s="36"/>
      <c r="CW20" s="37">
        <f t="shared" si="50"/>
        <v>0</v>
      </c>
      <c r="CX20" s="37">
        <f t="shared" si="51"/>
        <v>0</v>
      </c>
      <c r="CY20" s="37">
        <f t="shared" si="52"/>
        <v>5</v>
      </c>
      <c r="CZ20" s="37">
        <f t="shared" si="53"/>
        <v>10</v>
      </c>
      <c r="DA20" s="37">
        <f t="shared" si="54"/>
        <v>4</v>
      </c>
      <c r="DB20" s="37">
        <f t="shared" si="55"/>
        <v>10</v>
      </c>
      <c r="DC20" s="37">
        <f t="shared" si="56"/>
        <v>0</v>
      </c>
      <c r="DD20" s="37">
        <f t="shared" si="57"/>
        <v>0</v>
      </c>
      <c r="DE20" s="37">
        <f t="shared" si="58"/>
        <v>0</v>
      </c>
      <c r="DF20" s="37">
        <f t="shared" si="61"/>
        <v>0</v>
      </c>
      <c r="DG20" s="37">
        <f t="shared" si="59"/>
        <v>0</v>
      </c>
      <c r="DH20" s="37">
        <f t="shared" si="60"/>
        <v>29</v>
      </c>
    </row>
    <row r="21" spans="1:112" ht="24.75" hidden="1" x14ac:dyDescent="0.25">
      <c r="A21" s="37">
        <v>17</v>
      </c>
      <c r="B21" s="156" t="s">
        <v>2183</v>
      </c>
      <c r="C21" s="37"/>
      <c r="D21" s="37"/>
      <c r="E21" s="37"/>
      <c r="F21" s="37"/>
      <c r="G21" s="37"/>
      <c r="H21" s="37"/>
      <c r="I21" s="37"/>
      <c r="J21" s="53" t="s">
        <v>1947</v>
      </c>
      <c r="K21" s="53" t="s">
        <v>1948</v>
      </c>
      <c r="L21" s="53" t="s">
        <v>1947</v>
      </c>
      <c r="M21" s="61">
        <f t="shared" si="0"/>
        <v>0</v>
      </c>
      <c r="N21" s="61">
        <f t="shared" si="1"/>
        <v>1</v>
      </c>
      <c r="O21" s="61">
        <f t="shared" si="2"/>
        <v>0</v>
      </c>
      <c r="P21" s="61">
        <f t="shared" si="3"/>
        <v>1</v>
      </c>
      <c r="Q21" s="53" t="s">
        <v>2165</v>
      </c>
      <c r="R21" s="53" t="s">
        <v>2165</v>
      </c>
      <c r="S21" s="53" t="s">
        <v>1948</v>
      </c>
      <c r="T21" s="61">
        <f t="shared" si="4"/>
        <v>0</v>
      </c>
      <c r="U21" s="61">
        <f t="shared" si="5"/>
        <v>0</v>
      </c>
      <c r="V21" s="61">
        <f t="shared" si="6"/>
        <v>1</v>
      </c>
      <c r="W21" s="61">
        <f t="shared" si="7"/>
        <v>1</v>
      </c>
      <c r="X21" s="61">
        <f t="shared" si="8"/>
        <v>33.333333333333336</v>
      </c>
      <c r="Y21" s="53" t="s">
        <v>1948</v>
      </c>
      <c r="Z21" s="53" t="s">
        <v>1947</v>
      </c>
      <c r="AA21" s="61">
        <f t="shared" si="9"/>
        <v>1</v>
      </c>
      <c r="AB21" s="61">
        <f t="shared" si="10"/>
        <v>0</v>
      </c>
      <c r="AC21" s="61">
        <f t="shared" si="11"/>
        <v>1</v>
      </c>
      <c r="AD21" s="61">
        <f t="shared" si="12"/>
        <v>50</v>
      </c>
      <c r="AE21" s="53" t="s">
        <v>1947</v>
      </c>
      <c r="AF21" s="53" t="s">
        <v>1947</v>
      </c>
      <c r="AG21" s="53" t="s">
        <v>1947</v>
      </c>
      <c r="AH21" s="53" t="s">
        <v>1947</v>
      </c>
      <c r="AI21" s="53" t="s">
        <v>1947</v>
      </c>
      <c r="AJ21" s="50">
        <f t="shared" si="13"/>
        <v>0</v>
      </c>
      <c r="AK21" s="50">
        <f t="shared" si="14"/>
        <v>0</v>
      </c>
      <c r="AL21" s="50">
        <f t="shared" si="15"/>
        <v>0</v>
      </c>
      <c r="AM21" s="50">
        <f t="shared" si="16"/>
        <v>0</v>
      </c>
      <c r="AN21" s="50">
        <f t="shared" si="17"/>
        <v>0</v>
      </c>
      <c r="AO21" s="50">
        <f t="shared" si="18"/>
        <v>0</v>
      </c>
      <c r="AP21" s="51">
        <f t="shared" si="19"/>
        <v>0</v>
      </c>
      <c r="AQ21" s="51">
        <f t="shared" si="20"/>
        <v>83.333333333333343</v>
      </c>
      <c r="AR21" s="53"/>
      <c r="AS21" s="53"/>
      <c r="AT21" s="53"/>
      <c r="AU21" s="50">
        <f t="shared" si="21"/>
        <v>0</v>
      </c>
      <c r="AV21" s="50">
        <f t="shared" si="22"/>
        <v>0</v>
      </c>
      <c r="AW21" s="50">
        <f t="shared" si="23"/>
        <v>0</v>
      </c>
      <c r="AX21" s="50">
        <f t="shared" si="24"/>
        <v>0</v>
      </c>
      <c r="AY21" s="50">
        <f t="shared" si="25"/>
        <v>0</v>
      </c>
      <c r="AZ21" s="36"/>
      <c r="BA21" s="36"/>
      <c r="BB21" s="36"/>
      <c r="BC21" s="36"/>
      <c r="BD21" s="37">
        <f t="shared" si="26"/>
        <v>0</v>
      </c>
      <c r="BE21" s="37">
        <f t="shared" si="27"/>
        <v>0</v>
      </c>
      <c r="BF21" s="37">
        <f t="shared" si="28"/>
        <v>0</v>
      </c>
      <c r="BG21" s="37">
        <f t="shared" si="29"/>
        <v>0</v>
      </c>
      <c r="BH21" s="37">
        <f t="shared" si="30"/>
        <v>0</v>
      </c>
      <c r="BI21" s="37">
        <f t="shared" si="31"/>
        <v>0</v>
      </c>
      <c r="BJ21" s="37">
        <f t="shared" si="32"/>
        <v>0</v>
      </c>
      <c r="BK21" s="37">
        <f t="shared" si="33"/>
        <v>0</v>
      </c>
      <c r="BL21" s="36" t="s">
        <v>2067</v>
      </c>
      <c r="BM21" s="36" t="s">
        <v>2067</v>
      </c>
      <c r="BN21" s="36" t="s">
        <v>2067</v>
      </c>
      <c r="BO21" s="37">
        <f t="shared" si="34"/>
        <v>0</v>
      </c>
      <c r="BP21" s="37">
        <f t="shared" si="35"/>
        <v>0</v>
      </c>
      <c r="BQ21" s="37">
        <f t="shared" si="36"/>
        <v>0</v>
      </c>
      <c r="BR21" s="37">
        <f t="shared" si="37"/>
        <v>0</v>
      </c>
      <c r="BS21" s="37">
        <f t="shared" si="38"/>
        <v>0</v>
      </c>
      <c r="BT21" s="37">
        <f t="shared" si="39"/>
        <v>0</v>
      </c>
      <c r="BU21" s="36"/>
      <c r="BV21" s="36"/>
      <c r="BW21" s="37"/>
      <c r="BX21" s="37"/>
      <c r="BY21" s="37"/>
      <c r="BZ21" s="37"/>
      <c r="CA21" s="36"/>
      <c r="CB21" s="36"/>
      <c r="CC21" s="37"/>
      <c r="CD21" s="37"/>
      <c r="CE21" s="37"/>
      <c r="CF21" s="37"/>
      <c r="CG21" s="36"/>
      <c r="CH21" s="36"/>
      <c r="CI21" s="37">
        <f t="shared" si="40"/>
        <v>1</v>
      </c>
      <c r="CJ21" s="37">
        <f t="shared" si="41"/>
        <v>0.75</v>
      </c>
      <c r="CK21" s="37">
        <f t="shared" si="42"/>
        <v>0.75</v>
      </c>
      <c r="CL21" s="37">
        <f t="shared" si="43"/>
        <v>0</v>
      </c>
      <c r="CM21" s="37">
        <f t="shared" si="44"/>
        <v>0</v>
      </c>
      <c r="CN21" s="36" t="s">
        <v>2166</v>
      </c>
      <c r="CO21" s="36" t="s">
        <v>2166</v>
      </c>
      <c r="CP21" s="36" t="s">
        <v>2166</v>
      </c>
      <c r="CQ21" s="37">
        <f t="shared" si="45"/>
        <v>1</v>
      </c>
      <c r="CR21" s="37">
        <f t="shared" si="46"/>
        <v>1</v>
      </c>
      <c r="CS21" s="37">
        <f t="shared" si="47"/>
        <v>1</v>
      </c>
      <c r="CT21" s="37">
        <f t="shared" si="48"/>
        <v>0</v>
      </c>
      <c r="CU21" s="37">
        <f t="shared" si="49"/>
        <v>0</v>
      </c>
      <c r="CV21" s="36"/>
      <c r="CW21" s="37">
        <f t="shared" si="50"/>
        <v>0</v>
      </c>
      <c r="CX21" s="37">
        <f t="shared" si="51"/>
        <v>0</v>
      </c>
      <c r="CY21" s="37">
        <f t="shared" si="52"/>
        <v>3.3333333333333339</v>
      </c>
      <c r="CZ21" s="37">
        <f t="shared" si="53"/>
        <v>5</v>
      </c>
      <c r="DA21" s="37">
        <f t="shared" si="54"/>
        <v>0</v>
      </c>
      <c r="DB21" s="37">
        <f t="shared" si="55"/>
        <v>0</v>
      </c>
      <c r="DC21" s="37">
        <f t="shared" si="56"/>
        <v>0</v>
      </c>
      <c r="DD21" s="37">
        <f t="shared" si="57"/>
        <v>0</v>
      </c>
      <c r="DE21" s="37">
        <f t="shared" si="58"/>
        <v>0</v>
      </c>
      <c r="DF21" s="37">
        <f t="shared" si="61"/>
        <v>0</v>
      </c>
      <c r="DG21" s="37">
        <f t="shared" si="59"/>
        <v>0</v>
      </c>
      <c r="DH21" s="37">
        <f t="shared" si="60"/>
        <v>8.3333333333333339</v>
      </c>
    </row>
    <row r="22" spans="1:112" hidden="1" x14ac:dyDescent="0.25">
      <c r="A22" s="37">
        <v>18</v>
      </c>
      <c r="B22" s="156" t="s">
        <v>2184</v>
      </c>
      <c r="C22" s="37"/>
      <c r="D22" s="37"/>
      <c r="E22" s="37"/>
      <c r="F22" s="37"/>
      <c r="G22" s="37"/>
      <c r="H22" s="37"/>
      <c r="I22" s="37"/>
      <c r="J22" s="53" t="s">
        <v>1947</v>
      </c>
      <c r="K22" s="53" t="s">
        <v>1948</v>
      </c>
      <c r="L22" s="53" t="s">
        <v>1947</v>
      </c>
      <c r="M22" s="61">
        <f t="shared" si="0"/>
        <v>0</v>
      </c>
      <c r="N22" s="61">
        <f t="shared" si="1"/>
        <v>1</v>
      </c>
      <c r="O22" s="61">
        <f t="shared" si="2"/>
        <v>0</v>
      </c>
      <c r="P22" s="61">
        <f t="shared" si="3"/>
        <v>1</v>
      </c>
      <c r="Q22" s="53" t="s">
        <v>2165</v>
      </c>
      <c r="R22" s="53" t="s">
        <v>2165</v>
      </c>
      <c r="S22" s="53" t="s">
        <v>1948</v>
      </c>
      <c r="T22" s="61">
        <f t="shared" si="4"/>
        <v>0</v>
      </c>
      <c r="U22" s="61">
        <f t="shared" si="5"/>
        <v>0</v>
      </c>
      <c r="V22" s="61">
        <f t="shared" si="6"/>
        <v>1</v>
      </c>
      <c r="W22" s="61">
        <f t="shared" si="7"/>
        <v>1</v>
      </c>
      <c r="X22" s="61">
        <f t="shared" si="8"/>
        <v>33.333333333333336</v>
      </c>
      <c r="Y22" s="53" t="s">
        <v>1948</v>
      </c>
      <c r="Z22" s="53" t="s">
        <v>1947</v>
      </c>
      <c r="AA22" s="61">
        <f t="shared" si="9"/>
        <v>1</v>
      </c>
      <c r="AB22" s="61">
        <f t="shared" si="10"/>
        <v>0</v>
      </c>
      <c r="AC22" s="61">
        <f t="shared" si="11"/>
        <v>1</v>
      </c>
      <c r="AD22" s="61">
        <f t="shared" si="12"/>
        <v>50</v>
      </c>
      <c r="AE22" s="53" t="s">
        <v>1947</v>
      </c>
      <c r="AF22" s="53" t="s">
        <v>1947</v>
      </c>
      <c r="AG22" s="53" t="s">
        <v>1947</v>
      </c>
      <c r="AH22" s="53" t="s">
        <v>1947</v>
      </c>
      <c r="AI22" s="53" t="s">
        <v>1947</v>
      </c>
      <c r="AJ22" s="50">
        <f t="shared" si="13"/>
        <v>0</v>
      </c>
      <c r="AK22" s="50">
        <f t="shared" si="14"/>
        <v>0</v>
      </c>
      <c r="AL22" s="50">
        <f t="shared" si="15"/>
        <v>0</v>
      </c>
      <c r="AM22" s="50">
        <f t="shared" si="16"/>
        <v>0</v>
      </c>
      <c r="AN22" s="50">
        <f t="shared" si="17"/>
        <v>0</v>
      </c>
      <c r="AO22" s="50">
        <f t="shared" si="18"/>
        <v>0</v>
      </c>
      <c r="AP22" s="51">
        <f t="shared" si="19"/>
        <v>0</v>
      </c>
      <c r="AQ22" s="51">
        <f t="shared" si="20"/>
        <v>83.333333333333343</v>
      </c>
      <c r="AR22" s="53"/>
      <c r="AS22" s="53"/>
      <c r="AT22" s="53"/>
      <c r="AU22" s="50">
        <f t="shared" si="21"/>
        <v>0</v>
      </c>
      <c r="AV22" s="50">
        <f t="shared" si="22"/>
        <v>0</v>
      </c>
      <c r="AW22" s="50">
        <f t="shared" si="23"/>
        <v>0</v>
      </c>
      <c r="AX22" s="50">
        <f t="shared" si="24"/>
        <v>0</v>
      </c>
      <c r="AY22" s="50">
        <f t="shared" si="25"/>
        <v>0</v>
      </c>
      <c r="AZ22" s="36"/>
      <c r="BA22" s="36"/>
      <c r="BB22" s="36"/>
      <c r="BC22" s="36"/>
      <c r="BD22" s="37">
        <f t="shared" si="26"/>
        <v>0</v>
      </c>
      <c r="BE22" s="37">
        <f t="shared" si="27"/>
        <v>0</v>
      </c>
      <c r="BF22" s="37">
        <f t="shared" si="28"/>
        <v>0</v>
      </c>
      <c r="BG22" s="37">
        <f t="shared" si="29"/>
        <v>0</v>
      </c>
      <c r="BH22" s="37">
        <f t="shared" si="30"/>
        <v>0</v>
      </c>
      <c r="BI22" s="37">
        <f t="shared" si="31"/>
        <v>0</v>
      </c>
      <c r="BJ22" s="37">
        <f t="shared" si="32"/>
        <v>0</v>
      </c>
      <c r="BK22" s="37">
        <f t="shared" si="33"/>
        <v>0</v>
      </c>
      <c r="BL22" s="36" t="s">
        <v>2067</v>
      </c>
      <c r="BM22" s="36" t="s">
        <v>2067</v>
      </c>
      <c r="BN22" s="36" t="s">
        <v>2067</v>
      </c>
      <c r="BO22" s="37">
        <f t="shared" si="34"/>
        <v>0</v>
      </c>
      <c r="BP22" s="37">
        <f t="shared" si="35"/>
        <v>0</v>
      </c>
      <c r="BQ22" s="37">
        <f t="shared" si="36"/>
        <v>0</v>
      </c>
      <c r="BR22" s="37">
        <f t="shared" si="37"/>
        <v>0</v>
      </c>
      <c r="BS22" s="37">
        <f t="shared" si="38"/>
        <v>0</v>
      </c>
      <c r="BT22" s="37">
        <f t="shared" si="39"/>
        <v>0</v>
      </c>
      <c r="BU22" s="36"/>
      <c r="BV22" s="36"/>
      <c r="BW22" s="37"/>
      <c r="BX22" s="37"/>
      <c r="BY22" s="37"/>
      <c r="BZ22" s="37"/>
      <c r="CA22" s="36"/>
      <c r="CB22" s="36"/>
      <c r="CC22" s="37"/>
      <c r="CD22" s="37"/>
      <c r="CE22" s="37"/>
      <c r="CF22" s="37"/>
      <c r="CG22" s="36"/>
      <c r="CH22" s="36"/>
      <c r="CI22" s="37">
        <f t="shared" si="40"/>
        <v>1</v>
      </c>
      <c r="CJ22" s="37">
        <f t="shared" si="41"/>
        <v>0.75</v>
      </c>
      <c r="CK22" s="37">
        <f t="shared" si="42"/>
        <v>0.75</v>
      </c>
      <c r="CL22" s="37">
        <f t="shared" si="43"/>
        <v>0</v>
      </c>
      <c r="CM22" s="37">
        <f t="shared" si="44"/>
        <v>0</v>
      </c>
      <c r="CN22" s="36" t="s">
        <v>2166</v>
      </c>
      <c r="CO22" s="36" t="s">
        <v>2166</v>
      </c>
      <c r="CP22" s="36" t="s">
        <v>2166</v>
      </c>
      <c r="CQ22" s="37">
        <f t="shared" si="45"/>
        <v>1</v>
      </c>
      <c r="CR22" s="37">
        <f t="shared" si="46"/>
        <v>1</v>
      </c>
      <c r="CS22" s="37">
        <f t="shared" si="47"/>
        <v>1</v>
      </c>
      <c r="CT22" s="37">
        <f t="shared" si="48"/>
        <v>0</v>
      </c>
      <c r="CU22" s="37">
        <f t="shared" si="49"/>
        <v>0</v>
      </c>
      <c r="CV22" s="36"/>
      <c r="CW22" s="37">
        <f t="shared" si="50"/>
        <v>0</v>
      </c>
      <c r="CX22" s="37">
        <f t="shared" si="51"/>
        <v>0</v>
      </c>
      <c r="CY22" s="37">
        <f t="shared" si="52"/>
        <v>3.3333333333333339</v>
      </c>
      <c r="CZ22" s="37">
        <f t="shared" si="53"/>
        <v>5</v>
      </c>
      <c r="DA22" s="37">
        <f t="shared" si="54"/>
        <v>0</v>
      </c>
      <c r="DB22" s="37">
        <f t="shared" si="55"/>
        <v>0</v>
      </c>
      <c r="DC22" s="37">
        <f t="shared" si="56"/>
        <v>0</v>
      </c>
      <c r="DD22" s="37">
        <f t="shared" si="57"/>
        <v>0</v>
      </c>
      <c r="DE22" s="37">
        <f t="shared" si="58"/>
        <v>0</v>
      </c>
      <c r="DF22" s="37">
        <f t="shared" si="61"/>
        <v>0</v>
      </c>
      <c r="DG22" s="37">
        <f t="shared" si="59"/>
        <v>0</v>
      </c>
      <c r="DH22" s="37">
        <f t="shared" si="60"/>
        <v>8.3333333333333339</v>
      </c>
    </row>
    <row r="23" spans="1:112" hidden="1" x14ac:dyDescent="0.25">
      <c r="A23" s="37">
        <v>19</v>
      </c>
      <c r="B23" s="156" t="s">
        <v>2185</v>
      </c>
      <c r="C23" s="37"/>
      <c r="D23" s="37"/>
      <c r="E23" s="37"/>
      <c r="F23" s="37"/>
      <c r="G23" s="37"/>
      <c r="H23" s="37"/>
      <c r="I23" s="37"/>
      <c r="J23" s="53" t="s">
        <v>1947</v>
      </c>
      <c r="K23" s="53" t="s">
        <v>1948</v>
      </c>
      <c r="L23" s="53" t="s">
        <v>1947</v>
      </c>
      <c r="M23" s="61">
        <f t="shared" si="0"/>
        <v>0</v>
      </c>
      <c r="N23" s="61">
        <f t="shared" si="1"/>
        <v>1</v>
      </c>
      <c r="O23" s="61">
        <f t="shared" si="2"/>
        <v>0</v>
      </c>
      <c r="P23" s="61">
        <f t="shared" si="3"/>
        <v>1</v>
      </c>
      <c r="Q23" s="53" t="s">
        <v>2165</v>
      </c>
      <c r="R23" s="53" t="s">
        <v>2165</v>
      </c>
      <c r="S23" s="53" t="s">
        <v>1948</v>
      </c>
      <c r="T23" s="61">
        <f t="shared" si="4"/>
        <v>0</v>
      </c>
      <c r="U23" s="61">
        <f t="shared" si="5"/>
        <v>0</v>
      </c>
      <c r="V23" s="61">
        <f t="shared" si="6"/>
        <v>1</v>
      </c>
      <c r="W23" s="61">
        <f t="shared" si="7"/>
        <v>1</v>
      </c>
      <c r="X23" s="61">
        <f t="shared" si="8"/>
        <v>33.333333333333336</v>
      </c>
      <c r="Y23" s="53" t="s">
        <v>1948</v>
      </c>
      <c r="Z23" s="53" t="s">
        <v>1947</v>
      </c>
      <c r="AA23" s="61">
        <f t="shared" si="9"/>
        <v>1</v>
      </c>
      <c r="AB23" s="61">
        <f t="shared" si="10"/>
        <v>0</v>
      </c>
      <c r="AC23" s="61">
        <f t="shared" si="11"/>
        <v>1</v>
      </c>
      <c r="AD23" s="61">
        <f t="shared" si="12"/>
        <v>50</v>
      </c>
      <c r="AE23" s="53" t="s">
        <v>1947</v>
      </c>
      <c r="AF23" s="53" t="s">
        <v>1947</v>
      </c>
      <c r="AG23" s="53" t="s">
        <v>1947</v>
      </c>
      <c r="AH23" s="53" t="s">
        <v>1947</v>
      </c>
      <c r="AI23" s="53" t="s">
        <v>1947</v>
      </c>
      <c r="AJ23" s="50">
        <f t="shared" si="13"/>
        <v>0</v>
      </c>
      <c r="AK23" s="50">
        <f t="shared" si="14"/>
        <v>0</v>
      </c>
      <c r="AL23" s="50">
        <f t="shared" si="15"/>
        <v>0</v>
      </c>
      <c r="AM23" s="50">
        <f t="shared" si="16"/>
        <v>0</v>
      </c>
      <c r="AN23" s="50">
        <f t="shared" si="17"/>
        <v>0</v>
      </c>
      <c r="AO23" s="50">
        <f t="shared" si="18"/>
        <v>0</v>
      </c>
      <c r="AP23" s="51">
        <f t="shared" si="19"/>
        <v>0</v>
      </c>
      <c r="AQ23" s="51">
        <f t="shared" si="20"/>
        <v>83.333333333333343</v>
      </c>
      <c r="AR23" s="53"/>
      <c r="AS23" s="53"/>
      <c r="AT23" s="53"/>
      <c r="AU23" s="50">
        <f t="shared" si="21"/>
        <v>0</v>
      </c>
      <c r="AV23" s="50">
        <f t="shared" si="22"/>
        <v>0</v>
      </c>
      <c r="AW23" s="50">
        <f t="shared" si="23"/>
        <v>0</v>
      </c>
      <c r="AX23" s="50">
        <f t="shared" si="24"/>
        <v>0</v>
      </c>
      <c r="AY23" s="50">
        <f t="shared" si="25"/>
        <v>0</v>
      </c>
      <c r="AZ23" s="36"/>
      <c r="BA23" s="36"/>
      <c r="BB23" s="36"/>
      <c r="BC23" s="36"/>
      <c r="BD23" s="37">
        <f t="shared" si="26"/>
        <v>0</v>
      </c>
      <c r="BE23" s="37">
        <f t="shared" si="27"/>
        <v>0</v>
      </c>
      <c r="BF23" s="37">
        <f t="shared" si="28"/>
        <v>0</v>
      </c>
      <c r="BG23" s="37">
        <f t="shared" si="29"/>
        <v>0</v>
      </c>
      <c r="BH23" s="37">
        <f t="shared" si="30"/>
        <v>0</v>
      </c>
      <c r="BI23" s="37">
        <f t="shared" si="31"/>
        <v>0</v>
      </c>
      <c r="BJ23" s="37">
        <f t="shared" si="32"/>
        <v>0</v>
      </c>
      <c r="BK23" s="37">
        <f t="shared" si="33"/>
        <v>0</v>
      </c>
      <c r="BL23" s="36" t="s">
        <v>2067</v>
      </c>
      <c r="BM23" s="36" t="s">
        <v>2067</v>
      </c>
      <c r="BN23" s="36" t="s">
        <v>2067</v>
      </c>
      <c r="BO23" s="37">
        <f t="shared" si="34"/>
        <v>0</v>
      </c>
      <c r="BP23" s="37">
        <f t="shared" si="35"/>
        <v>0</v>
      </c>
      <c r="BQ23" s="37">
        <f t="shared" si="36"/>
        <v>0</v>
      </c>
      <c r="BR23" s="37">
        <f t="shared" si="37"/>
        <v>0</v>
      </c>
      <c r="BS23" s="37">
        <f t="shared" si="38"/>
        <v>0</v>
      </c>
      <c r="BT23" s="37">
        <f t="shared" si="39"/>
        <v>0</v>
      </c>
      <c r="BU23" s="36"/>
      <c r="BV23" s="36"/>
      <c r="BW23" s="37"/>
      <c r="BX23" s="37"/>
      <c r="BY23" s="37"/>
      <c r="BZ23" s="37"/>
      <c r="CA23" s="36"/>
      <c r="CB23" s="36"/>
      <c r="CC23" s="37"/>
      <c r="CD23" s="37"/>
      <c r="CE23" s="37"/>
      <c r="CF23" s="37"/>
      <c r="CG23" s="36"/>
      <c r="CH23" s="36"/>
      <c r="CI23" s="37">
        <f t="shared" si="40"/>
        <v>1</v>
      </c>
      <c r="CJ23" s="37">
        <f t="shared" si="41"/>
        <v>0.75</v>
      </c>
      <c r="CK23" s="37">
        <f t="shared" si="42"/>
        <v>0.75</v>
      </c>
      <c r="CL23" s="37">
        <f t="shared" si="43"/>
        <v>0</v>
      </c>
      <c r="CM23" s="37">
        <f t="shared" si="44"/>
        <v>0</v>
      </c>
      <c r="CN23" s="36" t="s">
        <v>2166</v>
      </c>
      <c r="CO23" s="36" t="s">
        <v>2166</v>
      </c>
      <c r="CP23" s="36" t="s">
        <v>2166</v>
      </c>
      <c r="CQ23" s="37">
        <f t="shared" si="45"/>
        <v>1</v>
      </c>
      <c r="CR23" s="37">
        <f t="shared" si="46"/>
        <v>1</v>
      </c>
      <c r="CS23" s="37">
        <f t="shared" si="47"/>
        <v>1</v>
      </c>
      <c r="CT23" s="37">
        <f t="shared" si="48"/>
        <v>0</v>
      </c>
      <c r="CU23" s="37">
        <f t="shared" si="49"/>
        <v>0</v>
      </c>
      <c r="CV23" s="36"/>
      <c r="CW23" s="37">
        <f t="shared" si="50"/>
        <v>0</v>
      </c>
      <c r="CX23" s="37">
        <f t="shared" si="51"/>
        <v>0</v>
      </c>
      <c r="CY23" s="37">
        <f t="shared" si="52"/>
        <v>3.3333333333333339</v>
      </c>
      <c r="CZ23" s="37">
        <f t="shared" si="53"/>
        <v>5</v>
      </c>
      <c r="DA23" s="37">
        <f t="shared" si="54"/>
        <v>0</v>
      </c>
      <c r="DB23" s="37">
        <f t="shared" si="55"/>
        <v>0</v>
      </c>
      <c r="DC23" s="37">
        <f t="shared" si="56"/>
        <v>0</v>
      </c>
      <c r="DD23" s="37">
        <f t="shared" si="57"/>
        <v>0</v>
      </c>
      <c r="DE23" s="37">
        <f t="shared" si="58"/>
        <v>0</v>
      </c>
      <c r="DF23" s="37">
        <f t="shared" si="61"/>
        <v>0</v>
      </c>
      <c r="DG23" s="37">
        <f t="shared" si="59"/>
        <v>0</v>
      </c>
      <c r="DH23" s="37">
        <f t="shared" si="60"/>
        <v>8.3333333333333339</v>
      </c>
    </row>
    <row r="24" spans="1:112" hidden="1" x14ac:dyDescent="0.25">
      <c r="A24" s="37">
        <v>20</v>
      </c>
      <c r="B24" s="156" t="s">
        <v>2186</v>
      </c>
      <c r="C24" s="37"/>
      <c r="D24" s="37"/>
      <c r="E24" s="37"/>
      <c r="F24" s="37"/>
      <c r="G24" s="37"/>
      <c r="H24" s="37"/>
      <c r="I24" s="37"/>
      <c r="J24" s="53" t="s">
        <v>1947</v>
      </c>
      <c r="K24" s="53" t="s">
        <v>1948</v>
      </c>
      <c r="L24" s="53" t="s">
        <v>1947</v>
      </c>
      <c r="M24" s="61">
        <f t="shared" si="0"/>
        <v>0</v>
      </c>
      <c r="N24" s="61">
        <f t="shared" si="1"/>
        <v>1</v>
      </c>
      <c r="O24" s="61">
        <f t="shared" si="2"/>
        <v>0</v>
      </c>
      <c r="P24" s="61">
        <f t="shared" si="3"/>
        <v>1</v>
      </c>
      <c r="Q24" s="53" t="s">
        <v>2165</v>
      </c>
      <c r="R24" s="53" t="s">
        <v>2165</v>
      </c>
      <c r="S24" s="53" t="s">
        <v>1948</v>
      </c>
      <c r="T24" s="61">
        <f t="shared" si="4"/>
        <v>0</v>
      </c>
      <c r="U24" s="61">
        <f t="shared" si="5"/>
        <v>0</v>
      </c>
      <c r="V24" s="61">
        <f t="shared" si="6"/>
        <v>1</v>
      </c>
      <c r="W24" s="61">
        <f t="shared" si="7"/>
        <v>1</v>
      </c>
      <c r="X24" s="61">
        <f t="shared" si="8"/>
        <v>33.333333333333336</v>
      </c>
      <c r="Y24" s="53" t="s">
        <v>1948</v>
      </c>
      <c r="Z24" s="53" t="s">
        <v>1947</v>
      </c>
      <c r="AA24" s="61">
        <f t="shared" si="9"/>
        <v>1</v>
      </c>
      <c r="AB24" s="61">
        <f t="shared" si="10"/>
        <v>0</v>
      </c>
      <c r="AC24" s="61">
        <f t="shared" si="11"/>
        <v>1</v>
      </c>
      <c r="AD24" s="61">
        <f t="shared" si="12"/>
        <v>50</v>
      </c>
      <c r="AE24" s="53" t="s">
        <v>1947</v>
      </c>
      <c r="AF24" s="53" t="s">
        <v>1947</v>
      </c>
      <c r="AG24" s="53" t="s">
        <v>1947</v>
      </c>
      <c r="AH24" s="53" t="s">
        <v>1947</v>
      </c>
      <c r="AI24" s="53" t="s">
        <v>1947</v>
      </c>
      <c r="AJ24" s="50">
        <f t="shared" si="13"/>
        <v>0</v>
      </c>
      <c r="AK24" s="50">
        <f t="shared" si="14"/>
        <v>0</v>
      </c>
      <c r="AL24" s="50">
        <f t="shared" si="15"/>
        <v>0</v>
      </c>
      <c r="AM24" s="50">
        <f t="shared" si="16"/>
        <v>0</v>
      </c>
      <c r="AN24" s="50">
        <f t="shared" si="17"/>
        <v>0</v>
      </c>
      <c r="AO24" s="50">
        <f t="shared" si="18"/>
        <v>0</v>
      </c>
      <c r="AP24" s="51">
        <f t="shared" si="19"/>
        <v>0</v>
      </c>
      <c r="AQ24" s="51">
        <f t="shared" si="20"/>
        <v>83.333333333333343</v>
      </c>
      <c r="AR24" s="53"/>
      <c r="AS24" s="53"/>
      <c r="AT24" s="53"/>
      <c r="AU24" s="50">
        <f t="shared" si="21"/>
        <v>0</v>
      </c>
      <c r="AV24" s="50">
        <f t="shared" si="22"/>
        <v>0</v>
      </c>
      <c r="AW24" s="50">
        <f t="shared" si="23"/>
        <v>0</v>
      </c>
      <c r="AX24" s="50">
        <f t="shared" si="24"/>
        <v>0</v>
      </c>
      <c r="AY24" s="50">
        <f t="shared" si="25"/>
        <v>0</v>
      </c>
      <c r="AZ24" s="36"/>
      <c r="BA24" s="36"/>
      <c r="BB24" s="36"/>
      <c r="BC24" s="36"/>
      <c r="BD24" s="37">
        <f t="shared" si="26"/>
        <v>0</v>
      </c>
      <c r="BE24" s="37">
        <f t="shared" si="27"/>
        <v>0</v>
      </c>
      <c r="BF24" s="37">
        <f t="shared" si="28"/>
        <v>0</v>
      </c>
      <c r="BG24" s="37">
        <f t="shared" si="29"/>
        <v>0</v>
      </c>
      <c r="BH24" s="37">
        <f t="shared" si="30"/>
        <v>0</v>
      </c>
      <c r="BI24" s="37">
        <f t="shared" si="31"/>
        <v>0</v>
      </c>
      <c r="BJ24" s="37">
        <f t="shared" si="32"/>
        <v>0</v>
      </c>
      <c r="BK24" s="37">
        <f t="shared" si="33"/>
        <v>0</v>
      </c>
      <c r="BL24" s="36" t="s">
        <v>2067</v>
      </c>
      <c r="BM24" s="36" t="s">
        <v>2067</v>
      </c>
      <c r="BN24" s="36" t="s">
        <v>2067</v>
      </c>
      <c r="BO24" s="37">
        <f t="shared" si="34"/>
        <v>0</v>
      </c>
      <c r="BP24" s="37">
        <f t="shared" si="35"/>
        <v>0</v>
      </c>
      <c r="BQ24" s="37">
        <f t="shared" si="36"/>
        <v>0</v>
      </c>
      <c r="BR24" s="37">
        <f t="shared" si="37"/>
        <v>0</v>
      </c>
      <c r="BS24" s="37">
        <f t="shared" si="38"/>
        <v>0</v>
      </c>
      <c r="BT24" s="37">
        <f t="shared" si="39"/>
        <v>0</v>
      </c>
      <c r="BU24" s="36"/>
      <c r="BV24" s="36"/>
      <c r="BW24" s="37"/>
      <c r="BX24" s="37"/>
      <c r="BY24" s="37"/>
      <c r="BZ24" s="37"/>
      <c r="CA24" s="36"/>
      <c r="CB24" s="36"/>
      <c r="CC24" s="37"/>
      <c r="CD24" s="37"/>
      <c r="CE24" s="37"/>
      <c r="CF24" s="37"/>
      <c r="CG24" s="36"/>
      <c r="CH24" s="36"/>
      <c r="CI24" s="37">
        <f t="shared" si="40"/>
        <v>1</v>
      </c>
      <c r="CJ24" s="37">
        <f t="shared" si="41"/>
        <v>0.75</v>
      </c>
      <c r="CK24" s="37">
        <f t="shared" si="42"/>
        <v>0.75</v>
      </c>
      <c r="CL24" s="37">
        <f t="shared" si="43"/>
        <v>0</v>
      </c>
      <c r="CM24" s="37">
        <f t="shared" si="44"/>
        <v>0</v>
      </c>
      <c r="CN24" s="36" t="s">
        <v>2166</v>
      </c>
      <c r="CO24" s="36" t="s">
        <v>2166</v>
      </c>
      <c r="CP24" s="36" t="s">
        <v>2166</v>
      </c>
      <c r="CQ24" s="37">
        <f t="shared" si="45"/>
        <v>1</v>
      </c>
      <c r="CR24" s="37">
        <f t="shared" si="46"/>
        <v>1</v>
      </c>
      <c r="CS24" s="37">
        <f t="shared" si="47"/>
        <v>1</v>
      </c>
      <c r="CT24" s="37">
        <f t="shared" si="48"/>
        <v>0</v>
      </c>
      <c r="CU24" s="37">
        <f t="shared" si="49"/>
        <v>0</v>
      </c>
      <c r="CV24" s="36"/>
      <c r="CW24" s="37">
        <f t="shared" si="50"/>
        <v>0</v>
      </c>
      <c r="CX24" s="37">
        <f t="shared" si="51"/>
        <v>0</v>
      </c>
      <c r="CY24" s="37">
        <f t="shared" si="52"/>
        <v>3.3333333333333339</v>
      </c>
      <c r="CZ24" s="37">
        <f t="shared" si="53"/>
        <v>5</v>
      </c>
      <c r="DA24" s="37">
        <f t="shared" si="54"/>
        <v>0</v>
      </c>
      <c r="DB24" s="37">
        <f t="shared" si="55"/>
        <v>0</v>
      </c>
      <c r="DC24" s="37">
        <f t="shared" si="56"/>
        <v>0</v>
      </c>
      <c r="DD24" s="37">
        <f t="shared" si="57"/>
        <v>0</v>
      </c>
      <c r="DE24" s="37">
        <f t="shared" si="58"/>
        <v>0</v>
      </c>
      <c r="DF24" s="37">
        <f t="shared" si="61"/>
        <v>0</v>
      </c>
      <c r="DG24" s="37">
        <f t="shared" si="59"/>
        <v>0</v>
      </c>
      <c r="DH24" s="37">
        <f t="shared" si="60"/>
        <v>8.3333333333333339</v>
      </c>
    </row>
    <row r="25" spans="1:112" ht="36.75" hidden="1" x14ac:dyDescent="0.25">
      <c r="A25" s="37">
        <v>21</v>
      </c>
      <c r="B25" s="156" t="s">
        <v>2187</v>
      </c>
      <c r="C25" s="37"/>
      <c r="D25" s="37"/>
      <c r="E25" s="37"/>
      <c r="F25" s="37"/>
      <c r="G25" s="37"/>
      <c r="H25" s="37"/>
      <c r="I25" s="37"/>
      <c r="J25" s="53" t="s">
        <v>1947</v>
      </c>
      <c r="K25" s="53" t="s">
        <v>1948</v>
      </c>
      <c r="L25" s="53" t="s">
        <v>1947</v>
      </c>
      <c r="M25" s="61">
        <f t="shared" si="0"/>
        <v>0</v>
      </c>
      <c r="N25" s="61">
        <f t="shared" si="1"/>
        <v>1</v>
      </c>
      <c r="O25" s="61">
        <f t="shared" si="2"/>
        <v>0</v>
      </c>
      <c r="P25" s="61">
        <f t="shared" si="3"/>
        <v>1</v>
      </c>
      <c r="Q25" s="53" t="s">
        <v>2165</v>
      </c>
      <c r="R25" s="53" t="s">
        <v>2165</v>
      </c>
      <c r="S25" s="53" t="s">
        <v>1948</v>
      </c>
      <c r="T25" s="61">
        <f t="shared" si="4"/>
        <v>0</v>
      </c>
      <c r="U25" s="61">
        <f t="shared" si="5"/>
        <v>0</v>
      </c>
      <c r="V25" s="61">
        <f t="shared" si="6"/>
        <v>1</v>
      </c>
      <c r="W25" s="61">
        <f t="shared" si="7"/>
        <v>1</v>
      </c>
      <c r="X25" s="61">
        <f t="shared" si="8"/>
        <v>33.333333333333336</v>
      </c>
      <c r="Y25" s="53" t="s">
        <v>1948</v>
      </c>
      <c r="Z25" s="53" t="s">
        <v>1947</v>
      </c>
      <c r="AA25" s="61">
        <f t="shared" si="9"/>
        <v>1</v>
      </c>
      <c r="AB25" s="61">
        <f t="shared" si="10"/>
        <v>0</v>
      </c>
      <c r="AC25" s="61">
        <f t="shared" si="11"/>
        <v>1</v>
      </c>
      <c r="AD25" s="61">
        <f t="shared" si="12"/>
        <v>50</v>
      </c>
      <c r="AE25" s="53" t="s">
        <v>1947</v>
      </c>
      <c r="AF25" s="53" t="s">
        <v>1947</v>
      </c>
      <c r="AG25" s="53" t="s">
        <v>1947</v>
      </c>
      <c r="AH25" s="53" t="s">
        <v>1947</v>
      </c>
      <c r="AI25" s="53" t="s">
        <v>1947</v>
      </c>
      <c r="AJ25" s="50">
        <f t="shared" si="13"/>
        <v>0</v>
      </c>
      <c r="AK25" s="50">
        <f t="shared" si="14"/>
        <v>0</v>
      </c>
      <c r="AL25" s="50">
        <f t="shared" si="15"/>
        <v>0</v>
      </c>
      <c r="AM25" s="50">
        <f t="shared" si="16"/>
        <v>0</v>
      </c>
      <c r="AN25" s="50">
        <f t="shared" si="17"/>
        <v>0</v>
      </c>
      <c r="AO25" s="50">
        <f t="shared" si="18"/>
        <v>0</v>
      </c>
      <c r="AP25" s="51">
        <f t="shared" si="19"/>
        <v>0</v>
      </c>
      <c r="AQ25" s="51">
        <f t="shared" si="20"/>
        <v>83.333333333333343</v>
      </c>
      <c r="AR25" s="53"/>
      <c r="AS25" s="53"/>
      <c r="AT25" s="53"/>
      <c r="AU25" s="50">
        <f t="shared" si="21"/>
        <v>0</v>
      </c>
      <c r="AV25" s="50">
        <f t="shared" si="22"/>
        <v>0</v>
      </c>
      <c r="AW25" s="50">
        <f t="shared" si="23"/>
        <v>0</v>
      </c>
      <c r="AX25" s="50">
        <f t="shared" si="24"/>
        <v>0</v>
      </c>
      <c r="AY25" s="50">
        <f t="shared" si="25"/>
        <v>0</v>
      </c>
      <c r="AZ25" s="36"/>
      <c r="BA25" s="36"/>
      <c r="BB25" s="36"/>
      <c r="BC25" s="36"/>
      <c r="BD25" s="37">
        <f t="shared" si="26"/>
        <v>0</v>
      </c>
      <c r="BE25" s="37">
        <f t="shared" si="27"/>
        <v>0</v>
      </c>
      <c r="BF25" s="37">
        <f t="shared" si="28"/>
        <v>0</v>
      </c>
      <c r="BG25" s="37">
        <f t="shared" si="29"/>
        <v>0</v>
      </c>
      <c r="BH25" s="37">
        <f t="shared" si="30"/>
        <v>0</v>
      </c>
      <c r="BI25" s="37">
        <f t="shared" si="31"/>
        <v>0</v>
      </c>
      <c r="BJ25" s="37">
        <f t="shared" si="32"/>
        <v>0</v>
      </c>
      <c r="BK25" s="37">
        <f t="shared" si="33"/>
        <v>0</v>
      </c>
      <c r="BL25" s="36" t="s">
        <v>2067</v>
      </c>
      <c r="BM25" s="36" t="s">
        <v>2067</v>
      </c>
      <c r="BN25" s="36" t="s">
        <v>2067</v>
      </c>
      <c r="BO25" s="37">
        <f t="shared" si="34"/>
        <v>0</v>
      </c>
      <c r="BP25" s="37">
        <f t="shared" si="35"/>
        <v>0</v>
      </c>
      <c r="BQ25" s="37">
        <f t="shared" si="36"/>
        <v>0</v>
      </c>
      <c r="BR25" s="37">
        <f t="shared" si="37"/>
        <v>0</v>
      </c>
      <c r="BS25" s="37">
        <f t="shared" si="38"/>
        <v>0</v>
      </c>
      <c r="BT25" s="37">
        <f t="shared" si="39"/>
        <v>0</v>
      </c>
      <c r="BU25" s="36"/>
      <c r="BV25" s="36"/>
      <c r="BW25" s="37"/>
      <c r="BX25" s="37"/>
      <c r="BY25" s="37"/>
      <c r="BZ25" s="37"/>
      <c r="CA25" s="36"/>
      <c r="CB25" s="36"/>
      <c r="CC25" s="37"/>
      <c r="CD25" s="37"/>
      <c r="CE25" s="37"/>
      <c r="CF25" s="37"/>
      <c r="CG25" s="36"/>
      <c r="CH25" s="36"/>
      <c r="CI25" s="37">
        <f t="shared" si="40"/>
        <v>1</v>
      </c>
      <c r="CJ25" s="37">
        <f t="shared" si="41"/>
        <v>0.75</v>
      </c>
      <c r="CK25" s="37">
        <f t="shared" si="42"/>
        <v>0.75</v>
      </c>
      <c r="CL25" s="37">
        <f t="shared" si="43"/>
        <v>0</v>
      </c>
      <c r="CM25" s="37">
        <f t="shared" si="44"/>
        <v>0</v>
      </c>
      <c r="CN25" s="36" t="s">
        <v>2166</v>
      </c>
      <c r="CO25" s="36" t="s">
        <v>2166</v>
      </c>
      <c r="CP25" s="36" t="s">
        <v>2166</v>
      </c>
      <c r="CQ25" s="37">
        <f t="shared" si="45"/>
        <v>1</v>
      </c>
      <c r="CR25" s="37">
        <f t="shared" si="46"/>
        <v>1</v>
      </c>
      <c r="CS25" s="37">
        <f t="shared" si="47"/>
        <v>1</v>
      </c>
      <c r="CT25" s="37">
        <f t="shared" si="48"/>
        <v>0</v>
      </c>
      <c r="CU25" s="37">
        <f t="shared" si="49"/>
        <v>0</v>
      </c>
      <c r="CV25" s="36"/>
      <c r="CW25" s="37">
        <f t="shared" si="50"/>
        <v>0</v>
      </c>
      <c r="CX25" s="37">
        <f t="shared" si="51"/>
        <v>0</v>
      </c>
      <c r="CY25" s="37">
        <f t="shared" si="52"/>
        <v>3.3333333333333339</v>
      </c>
      <c r="CZ25" s="37">
        <f t="shared" si="53"/>
        <v>5</v>
      </c>
      <c r="DA25" s="37">
        <f t="shared" si="54"/>
        <v>0</v>
      </c>
      <c r="DB25" s="37">
        <f t="shared" si="55"/>
        <v>0</v>
      </c>
      <c r="DC25" s="37">
        <f t="shared" si="56"/>
        <v>0</v>
      </c>
      <c r="DD25" s="37">
        <f t="shared" si="57"/>
        <v>0</v>
      </c>
      <c r="DE25" s="37">
        <f t="shared" si="58"/>
        <v>0</v>
      </c>
      <c r="DF25" s="37">
        <f t="shared" si="61"/>
        <v>0</v>
      </c>
      <c r="DG25" s="37">
        <f t="shared" si="59"/>
        <v>0</v>
      </c>
      <c r="DH25" s="37">
        <f t="shared" si="60"/>
        <v>8.3333333333333339</v>
      </c>
    </row>
    <row r="26" spans="1:112" ht="102" hidden="1" customHeight="1" x14ac:dyDescent="0.25">
      <c r="A26" s="37">
        <v>22</v>
      </c>
      <c r="B26" s="156" t="s">
        <v>2188</v>
      </c>
      <c r="C26" s="157" t="s">
        <v>2277</v>
      </c>
      <c r="D26" s="155" t="s">
        <v>2278</v>
      </c>
      <c r="E26" s="155" t="s">
        <v>2279</v>
      </c>
      <c r="F26" s="155"/>
      <c r="G26" s="155"/>
      <c r="H26" s="155"/>
      <c r="I26" s="155"/>
      <c r="J26" s="53" t="s">
        <v>1948</v>
      </c>
      <c r="K26" s="53" t="s">
        <v>1948</v>
      </c>
      <c r="L26" s="53" t="s">
        <v>1948</v>
      </c>
      <c r="M26" s="61">
        <f t="shared" si="0"/>
        <v>1</v>
      </c>
      <c r="N26" s="61">
        <f t="shared" si="1"/>
        <v>1</v>
      </c>
      <c r="O26" s="61">
        <f t="shared" si="2"/>
        <v>1</v>
      </c>
      <c r="P26" s="61">
        <f t="shared" si="3"/>
        <v>3</v>
      </c>
      <c r="Q26" s="53" t="s">
        <v>2165</v>
      </c>
      <c r="R26" s="53" t="s">
        <v>2165</v>
      </c>
      <c r="S26" s="53" t="s">
        <v>1948</v>
      </c>
      <c r="T26" s="61">
        <f t="shared" si="4"/>
        <v>0</v>
      </c>
      <c r="U26" s="61">
        <f t="shared" si="5"/>
        <v>0</v>
      </c>
      <c r="V26" s="61">
        <f t="shared" si="6"/>
        <v>1</v>
      </c>
      <c r="W26" s="61">
        <f t="shared" si="7"/>
        <v>1</v>
      </c>
      <c r="X26" s="61">
        <f t="shared" si="8"/>
        <v>66.666666666666671</v>
      </c>
      <c r="Y26" s="53" t="s">
        <v>1948</v>
      </c>
      <c r="Z26" s="53" t="s">
        <v>1948</v>
      </c>
      <c r="AA26" s="61">
        <f t="shared" si="9"/>
        <v>1</v>
      </c>
      <c r="AB26" s="61">
        <f t="shared" si="10"/>
        <v>1</v>
      </c>
      <c r="AC26" s="61">
        <f t="shared" si="11"/>
        <v>2</v>
      </c>
      <c r="AD26" s="61">
        <f t="shared" si="12"/>
        <v>100</v>
      </c>
      <c r="AE26" s="53" t="s">
        <v>1948</v>
      </c>
      <c r="AF26" s="53" t="s">
        <v>1947</v>
      </c>
      <c r="AG26" s="53" t="s">
        <v>1947</v>
      </c>
      <c r="AH26" s="53" t="s">
        <v>1947</v>
      </c>
      <c r="AI26" s="53" t="s">
        <v>1948</v>
      </c>
      <c r="AJ26" s="50">
        <f t="shared" si="13"/>
        <v>1</v>
      </c>
      <c r="AK26" s="50">
        <f t="shared" si="14"/>
        <v>0</v>
      </c>
      <c r="AL26" s="50">
        <f t="shared" si="15"/>
        <v>0</v>
      </c>
      <c r="AM26" s="50">
        <f t="shared" si="16"/>
        <v>0</v>
      </c>
      <c r="AN26" s="50">
        <f t="shared" si="17"/>
        <v>1</v>
      </c>
      <c r="AO26" s="50">
        <f t="shared" si="18"/>
        <v>2</v>
      </c>
      <c r="AP26" s="51">
        <f t="shared" si="19"/>
        <v>40</v>
      </c>
      <c r="AQ26" s="51">
        <f t="shared" si="20"/>
        <v>206.66666666666669</v>
      </c>
      <c r="AR26" s="53" t="s">
        <v>1948</v>
      </c>
      <c r="AS26" s="53" t="s">
        <v>1948</v>
      </c>
      <c r="AT26" s="53" t="s">
        <v>1948</v>
      </c>
      <c r="AU26" s="50">
        <f t="shared" si="21"/>
        <v>1</v>
      </c>
      <c r="AV26" s="50">
        <f t="shared" si="22"/>
        <v>1</v>
      </c>
      <c r="AW26" s="50">
        <f t="shared" si="23"/>
        <v>1</v>
      </c>
      <c r="AX26" s="50">
        <f t="shared" si="24"/>
        <v>3</v>
      </c>
      <c r="AY26" s="50">
        <f t="shared" si="25"/>
        <v>100</v>
      </c>
      <c r="AZ26" s="36" t="s">
        <v>2080</v>
      </c>
      <c r="BA26" s="36" t="s">
        <v>2080</v>
      </c>
      <c r="BB26" s="36" t="s">
        <v>2080</v>
      </c>
      <c r="BC26" s="36" t="s">
        <v>2080</v>
      </c>
      <c r="BD26" s="37">
        <f t="shared" si="26"/>
        <v>0</v>
      </c>
      <c r="BE26" s="37">
        <f t="shared" si="27"/>
        <v>0</v>
      </c>
      <c r="BF26" s="37">
        <f t="shared" si="28"/>
        <v>0</v>
      </c>
      <c r="BG26" s="37">
        <f t="shared" si="29"/>
        <v>0</v>
      </c>
      <c r="BH26" s="37">
        <f t="shared" si="30"/>
        <v>0</v>
      </c>
      <c r="BI26" s="37">
        <f t="shared" si="31"/>
        <v>0</v>
      </c>
      <c r="BJ26" s="37">
        <f t="shared" si="32"/>
        <v>0</v>
      </c>
      <c r="BK26" s="37">
        <f t="shared" si="33"/>
        <v>0</v>
      </c>
      <c r="BL26" s="36" t="s">
        <v>2067</v>
      </c>
      <c r="BM26" s="36" t="s">
        <v>2067</v>
      </c>
      <c r="BN26" s="36" t="s">
        <v>2067</v>
      </c>
      <c r="BO26" s="37">
        <f t="shared" si="34"/>
        <v>0</v>
      </c>
      <c r="BP26" s="37">
        <f t="shared" si="35"/>
        <v>0</v>
      </c>
      <c r="BQ26" s="37">
        <f t="shared" si="36"/>
        <v>0</v>
      </c>
      <c r="BR26" s="37">
        <f t="shared" si="37"/>
        <v>0</v>
      </c>
      <c r="BS26" s="37">
        <f t="shared" si="38"/>
        <v>0</v>
      </c>
      <c r="BT26" s="37">
        <f t="shared" si="39"/>
        <v>0</v>
      </c>
      <c r="BU26" s="36" t="s">
        <v>2167</v>
      </c>
      <c r="BV26" s="36" t="s">
        <v>2167</v>
      </c>
      <c r="BW26" s="37">
        <f>IF(BU26="ALTO",3,IF(BU26="MEDIO",2,1))</f>
        <v>1</v>
      </c>
      <c r="BX26" s="37">
        <f>IF(BV26="ALTO",2.25,IF(BV26="MEDIO",1.5,0.75))</f>
        <v>0.75</v>
      </c>
      <c r="BY26" s="37">
        <f>IF(BW26=1,BX26,BW26)</f>
        <v>0.75</v>
      </c>
      <c r="BZ26" s="37">
        <f>IF(BY26&gt;=2,BY26,0)</f>
        <v>0</v>
      </c>
      <c r="CA26" s="36" t="s">
        <v>2167</v>
      </c>
      <c r="CB26" s="36" t="s">
        <v>2167</v>
      </c>
      <c r="CC26" s="37">
        <f>IF(CA26="ALTO",3,IF(CA26="MEDIO",2,1))</f>
        <v>1</v>
      </c>
      <c r="CD26" s="37">
        <f>IF(CB26="ALTO",2.25,IF(CB26="MEDIO",1.5,0.75))</f>
        <v>0.75</v>
      </c>
      <c r="CE26" s="37">
        <f>IF(CC26=1,CD26,CC26)</f>
        <v>0.75</v>
      </c>
      <c r="CF26" s="37">
        <f>IF(CE26&gt;=2,CE26,0)</f>
        <v>0</v>
      </c>
      <c r="CG26" s="36" t="s">
        <v>2167</v>
      </c>
      <c r="CH26" s="36" t="s">
        <v>2167</v>
      </c>
      <c r="CI26" s="37">
        <f t="shared" si="40"/>
        <v>1</v>
      </c>
      <c r="CJ26" s="37">
        <f t="shared" si="41"/>
        <v>0.75</v>
      </c>
      <c r="CK26" s="37">
        <f t="shared" si="42"/>
        <v>0.75</v>
      </c>
      <c r="CL26" s="37">
        <f t="shared" si="43"/>
        <v>0</v>
      </c>
      <c r="CM26" s="37">
        <f t="shared" si="44"/>
        <v>0</v>
      </c>
      <c r="CN26" s="36" t="s">
        <v>2166</v>
      </c>
      <c r="CO26" s="36" t="s">
        <v>2166</v>
      </c>
      <c r="CP26" s="36" t="s">
        <v>2166</v>
      </c>
      <c r="CQ26" s="37">
        <f t="shared" si="45"/>
        <v>1</v>
      </c>
      <c r="CR26" s="37">
        <f t="shared" si="46"/>
        <v>1</v>
      </c>
      <c r="CS26" s="37">
        <f t="shared" si="47"/>
        <v>1</v>
      </c>
      <c r="CT26" s="37">
        <f t="shared" si="48"/>
        <v>0</v>
      </c>
      <c r="CU26" s="37">
        <f t="shared" si="49"/>
        <v>0</v>
      </c>
      <c r="CV26" s="36"/>
      <c r="CW26" s="37">
        <f t="shared" si="50"/>
        <v>0</v>
      </c>
      <c r="CX26" s="37">
        <f t="shared" si="51"/>
        <v>0</v>
      </c>
      <c r="CY26" s="37">
        <f t="shared" si="52"/>
        <v>6.6666666666666679</v>
      </c>
      <c r="CZ26" s="37">
        <f t="shared" si="53"/>
        <v>10</v>
      </c>
      <c r="DA26" s="37">
        <f t="shared" si="54"/>
        <v>4</v>
      </c>
      <c r="DB26" s="37">
        <f t="shared" si="55"/>
        <v>10</v>
      </c>
      <c r="DC26" s="37">
        <f t="shared" si="56"/>
        <v>0</v>
      </c>
      <c r="DD26" s="37">
        <f t="shared" si="57"/>
        <v>0</v>
      </c>
      <c r="DE26" s="37">
        <f t="shared" si="58"/>
        <v>0</v>
      </c>
      <c r="DF26" s="37">
        <f t="shared" si="61"/>
        <v>0</v>
      </c>
      <c r="DG26" s="37">
        <f t="shared" si="59"/>
        <v>0</v>
      </c>
      <c r="DH26" s="37">
        <f t="shared" si="60"/>
        <v>30.666666666666668</v>
      </c>
    </row>
    <row r="27" spans="1:112" ht="63.75" hidden="1" customHeight="1" x14ac:dyDescent="0.25">
      <c r="A27" s="37">
        <v>23</v>
      </c>
      <c r="B27" s="156" t="s">
        <v>2189</v>
      </c>
      <c r="C27" s="158" t="s">
        <v>2280</v>
      </c>
      <c r="D27" s="156"/>
      <c r="E27" s="156"/>
      <c r="F27" s="156"/>
      <c r="G27" s="156"/>
      <c r="H27" s="156"/>
      <c r="I27" s="156"/>
      <c r="J27" s="53" t="s">
        <v>1948</v>
      </c>
      <c r="K27" s="53" t="s">
        <v>1948</v>
      </c>
      <c r="L27" s="53" t="s">
        <v>1947</v>
      </c>
      <c r="M27" s="61">
        <f t="shared" si="0"/>
        <v>1</v>
      </c>
      <c r="N27" s="61">
        <f t="shared" si="1"/>
        <v>1</v>
      </c>
      <c r="O27" s="61">
        <f t="shared" si="2"/>
        <v>0</v>
      </c>
      <c r="P27" s="61">
        <f t="shared" si="3"/>
        <v>2</v>
      </c>
      <c r="Q27" s="53" t="s">
        <v>2165</v>
      </c>
      <c r="R27" s="53" t="s">
        <v>2165</v>
      </c>
      <c r="S27" s="53" t="s">
        <v>1948</v>
      </c>
      <c r="T27" s="61">
        <f t="shared" si="4"/>
        <v>0</v>
      </c>
      <c r="U27" s="61">
        <f t="shared" si="5"/>
        <v>0</v>
      </c>
      <c r="V27" s="61">
        <f t="shared" si="6"/>
        <v>1</v>
      </c>
      <c r="W27" s="61">
        <f t="shared" si="7"/>
        <v>1</v>
      </c>
      <c r="X27" s="61">
        <f t="shared" si="8"/>
        <v>50</v>
      </c>
      <c r="Y27" s="53" t="s">
        <v>1948</v>
      </c>
      <c r="Z27" s="53" t="s">
        <v>1948</v>
      </c>
      <c r="AA27" s="61">
        <f t="shared" si="9"/>
        <v>1</v>
      </c>
      <c r="AB27" s="61">
        <f t="shared" si="10"/>
        <v>1</v>
      </c>
      <c r="AC27" s="61">
        <f t="shared" si="11"/>
        <v>2</v>
      </c>
      <c r="AD27" s="61">
        <f t="shared" si="12"/>
        <v>100</v>
      </c>
      <c r="AE27" s="53" t="s">
        <v>1947</v>
      </c>
      <c r="AF27" s="53" t="s">
        <v>1947</v>
      </c>
      <c r="AG27" s="53" t="s">
        <v>1947</v>
      </c>
      <c r="AH27" s="53" t="s">
        <v>1947</v>
      </c>
      <c r="AI27" s="53" t="s">
        <v>1947</v>
      </c>
      <c r="AJ27" s="50">
        <f t="shared" si="13"/>
        <v>0</v>
      </c>
      <c r="AK27" s="50">
        <f t="shared" si="14"/>
        <v>0</v>
      </c>
      <c r="AL27" s="50">
        <f t="shared" si="15"/>
        <v>0</v>
      </c>
      <c r="AM27" s="50">
        <f t="shared" si="16"/>
        <v>0</v>
      </c>
      <c r="AN27" s="50">
        <f t="shared" si="17"/>
        <v>0</v>
      </c>
      <c r="AO27" s="50">
        <f t="shared" si="18"/>
        <v>0</v>
      </c>
      <c r="AP27" s="51">
        <f t="shared" si="19"/>
        <v>0</v>
      </c>
      <c r="AQ27" s="51">
        <f t="shared" si="20"/>
        <v>150</v>
      </c>
      <c r="AR27" s="53"/>
      <c r="AS27" s="53"/>
      <c r="AT27" s="53"/>
      <c r="AU27" s="50">
        <f t="shared" si="21"/>
        <v>0</v>
      </c>
      <c r="AV27" s="50">
        <f t="shared" si="22"/>
        <v>0</v>
      </c>
      <c r="AW27" s="50">
        <f t="shared" si="23"/>
        <v>0</v>
      </c>
      <c r="AX27" s="50">
        <f t="shared" si="24"/>
        <v>0</v>
      </c>
      <c r="AY27" s="50">
        <f t="shared" si="25"/>
        <v>0</v>
      </c>
      <c r="AZ27" s="36" t="s">
        <v>2080</v>
      </c>
      <c r="BA27" s="36" t="s">
        <v>2080</v>
      </c>
      <c r="BB27" s="36" t="s">
        <v>2080</v>
      </c>
      <c r="BC27" s="36" t="s">
        <v>2080</v>
      </c>
      <c r="BD27" s="37">
        <f t="shared" si="26"/>
        <v>0</v>
      </c>
      <c r="BE27" s="37">
        <f t="shared" si="27"/>
        <v>0</v>
      </c>
      <c r="BF27" s="37">
        <f t="shared" si="28"/>
        <v>0</v>
      </c>
      <c r="BG27" s="37">
        <f t="shared" si="29"/>
        <v>0</v>
      </c>
      <c r="BH27" s="37">
        <f t="shared" si="30"/>
        <v>0</v>
      </c>
      <c r="BI27" s="37">
        <f t="shared" si="31"/>
        <v>0</v>
      </c>
      <c r="BJ27" s="37">
        <f t="shared" si="32"/>
        <v>0</v>
      </c>
      <c r="BK27" s="37">
        <f t="shared" si="33"/>
        <v>0</v>
      </c>
      <c r="BL27" s="36" t="s">
        <v>2067</v>
      </c>
      <c r="BM27" s="36" t="s">
        <v>2067</v>
      </c>
      <c r="BN27" s="36" t="s">
        <v>2067</v>
      </c>
      <c r="BO27" s="37">
        <f t="shared" si="34"/>
        <v>0</v>
      </c>
      <c r="BP27" s="37">
        <f t="shared" si="35"/>
        <v>0</v>
      </c>
      <c r="BQ27" s="37">
        <f t="shared" si="36"/>
        <v>0</v>
      </c>
      <c r="BR27" s="37">
        <f t="shared" si="37"/>
        <v>0</v>
      </c>
      <c r="BS27" s="37">
        <f t="shared" si="38"/>
        <v>0</v>
      </c>
      <c r="BT27" s="37">
        <f t="shared" si="39"/>
        <v>0</v>
      </c>
      <c r="BU27" s="36"/>
      <c r="BV27" s="36"/>
      <c r="BW27" s="37"/>
      <c r="BX27" s="37"/>
      <c r="BY27" s="37"/>
      <c r="BZ27" s="37"/>
      <c r="CA27" s="36"/>
      <c r="CB27" s="36"/>
      <c r="CC27" s="37"/>
      <c r="CD27" s="37"/>
      <c r="CE27" s="37"/>
      <c r="CF27" s="37"/>
      <c r="CG27" s="36"/>
      <c r="CH27" s="36"/>
      <c r="CI27" s="37">
        <f t="shared" si="40"/>
        <v>1</v>
      </c>
      <c r="CJ27" s="37">
        <f t="shared" si="41"/>
        <v>0.75</v>
      </c>
      <c r="CK27" s="37">
        <f t="shared" si="42"/>
        <v>0.75</v>
      </c>
      <c r="CL27" s="37">
        <f t="shared" si="43"/>
        <v>0</v>
      </c>
      <c r="CM27" s="37">
        <f t="shared" si="44"/>
        <v>0</v>
      </c>
      <c r="CN27" s="36" t="s">
        <v>2166</v>
      </c>
      <c r="CO27" s="36" t="s">
        <v>2166</v>
      </c>
      <c r="CP27" s="36" t="s">
        <v>2166</v>
      </c>
      <c r="CQ27" s="37">
        <f t="shared" si="45"/>
        <v>1</v>
      </c>
      <c r="CR27" s="37">
        <f t="shared" si="46"/>
        <v>1</v>
      </c>
      <c r="CS27" s="37">
        <f t="shared" si="47"/>
        <v>1</v>
      </c>
      <c r="CT27" s="37">
        <f t="shared" si="48"/>
        <v>0</v>
      </c>
      <c r="CU27" s="37">
        <f t="shared" si="49"/>
        <v>0</v>
      </c>
      <c r="CV27" s="36"/>
      <c r="CW27" s="37">
        <f t="shared" si="50"/>
        <v>0</v>
      </c>
      <c r="CX27" s="37">
        <f t="shared" si="51"/>
        <v>0</v>
      </c>
      <c r="CY27" s="37">
        <f t="shared" si="52"/>
        <v>5</v>
      </c>
      <c r="CZ27" s="37">
        <f t="shared" si="53"/>
        <v>10</v>
      </c>
      <c r="DA27" s="37">
        <f t="shared" si="54"/>
        <v>0</v>
      </c>
      <c r="DB27" s="37">
        <f t="shared" si="55"/>
        <v>0</v>
      </c>
      <c r="DC27" s="37">
        <f t="shared" si="56"/>
        <v>0</v>
      </c>
      <c r="DD27" s="37">
        <f t="shared" si="57"/>
        <v>0</v>
      </c>
      <c r="DE27" s="37">
        <f t="shared" si="58"/>
        <v>0</v>
      </c>
      <c r="DF27" s="37">
        <f t="shared" si="61"/>
        <v>0</v>
      </c>
      <c r="DG27" s="37">
        <f t="shared" si="59"/>
        <v>0</v>
      </c>
      <c r="DH27" s="37">
        <f t="shared" si="60"/>
        <v>15</v>
      </c>
    </row>
    <row r="28" spans="1:112" ht="36.75" hidden="1" x14ac:dyDescent="0.25">
      <c r="A28" s="37">
        <v>24</v>
      </c>
      <c r="B28" s="156" t="s">
        <v>2190</v>
      </c>
      <c r="C28" s="37"/>
      <c r="D28" s="37"/>
      <c r="E28" s="37"/>
      <c r="F28" s="37"/>
      <c r="G28" s="37"/>
      <c r="H28" s="37"/>
      <c r="I28" s="37"/>
      <c r="J28" s="53" t="s">
        <v>1947</v>
      </c>
      <c r="K28" s="53" t="s">
        <v>1948</v>
      </c>
      <c r="L28" s="53" t="s">
        <v>1947</v>
      </c>
      <c r="M28" s="61">
        <f t="shared" si="0"/>
        <v>0</v>
      </c>
      <c r="N28" s="61">
        <f t="shared" si="1"/>
        <v>1</v>
      </c>
      <c r="O28" s="61">
        <f t="shared" si="2"/>
        <v>0</v>
      </c>
      <c r="P28" s="61">
        <f t="shared" si="3"/>
        <v>1</v>
      </c>
      <c r="Q28" s="53" t="s">
        <v>2165</v>
      </c>
      <c r="R28" s="53" t="s">
        <v>2165</v>
      </c>
      <c r="S28" s="53" t="s">
        <v>1948</v>
      </c>
      <c r="T28" s="61">
        <f t="shared" si="4"/>
        <v>0</v>
      </c>
      <c r="U28" s="61">
        <f t="shared" si="5"/>
        <v>0</v>
      </c>
      <c r="V28" s="61">
        <f t="shared" si="6"/>
        <v>1</v>
      </c>
      <c r="W28" s="61">
        <f t="shared" si="7"/>
        <v>1</v>
      </c>
      <c r="X28" s="61">
        <f t="shared" si="8"/>
        <v>33.333333333333336</v>
      </c>
      <c r="Y28" s="53" t="s">
        <v>1948</v>
      </c>
      <c r="Z28" s="53" t="s">
        <v>1947</v>
      </c>
      <c r="AA28" s="61">
        <f t="shared" si="9"/>
        <v>1</v>
      </c>
      <c r="AB28" s="61">
        <f t="shared" si="10"/>
        <v>0</v>
      </c>
      <c r="AC28" s="61">
        <f t="shared" si="11"/>
        <v>1</v>
      </c>
      <c r="AD28" s="61">
        <f t="shared" si="12"/>
        <v>50</v>
      </c>
      <c r="AE28" s="53" t="s">
        <v>1947</v>
      </c>
      <c r="AF28" s="53" t="s">
        <v>1947</v>
      </c>
      <c r="AG28" s="53" t="s">
        <v>1947</v>
      </c>
      <c r="AH28" s="53" t="s">
        <v>1947</v>
      </c>
      <c r="AI28" s="53" t="s">
        <v>1947</v>
      </c>
      <c r="AJ28" s="50">
        <f t="shared" si="13"/>
        <v>0</v>
      </c>
      <c r="AK28" s="50">
        <f t="shared" si="14"/>
        <v>0</v>
      </c>
      <c r="AL28" s="50">
        <f t="shared" si="15"/>
        <v>0</v>
      </c>
      <c r="AM28" s="50">
        <f t="shared" si="16"/>
        <v>0</v>
      </c>
      <c r="AN28" s="50">
        <f t="shared" si="17"/>
        <v>0</v>
      </c>
      <c r="AO28" s="50">
        <f t="shared" si="18"/>
        <v>0</v>
      </c>
      <c r="AP28" s="51">
        <f t="shared" si="19"/>
        <v>0</v>
      </c>
      <c r="AQ28" s="51">
        <f t="shared" si="20"/>
        <v>83.333333333333343</v>
      </c>
      <c r="AR28" s="53"/>
      <c r="AS28" s="53"/>
      <c r="AT28" s="53"/>
      <c r="AU28" s="50">
        <f t="shared" si="21"/>
        <v>0</v>
      </c>
      <c r="AV28" s="50">
        <f t="shared" si="22"/>
        <v>0</v>
      </c>
      <c r="AW28" s="50">
        <f t="shared" si="23"/>
        <v>0</v>
      </c>
      <c r="AX28" s="50">
        <f t="shared" si="24"/>
        <v>0</v>
      </c>
      <c r="AY28" s="50">
        <f t="shared" si="25"/>
        <v>0</v>
      </c>
      <c r="AZ28" s="36"/>
      <c r="BA28" s="36"/>
      <c r="BB28" s="36"/>
      <c r="BC28" s="36"/>
      <c r="BD28" s="37">
        <f t="shared" si="26"/>
        <v>0</v>
      </c>
      <c r="BE28" s="37">
        <f t="shared" si="27"/>
        <v>0</v>
      </c>
      <c r="BF28" s="37">
        <f t="shared" si="28"/>
        <v>0</v>
      </c>
      <c r="BG28" s="37">
        <f t="shared" si="29"/>
        <v>0</v>
      </c>
      <c r="BH28" s="37">
        <f t="shared" si="30"/>
        <v>0</v>
      </c>
      <c r="BI28" s="37">
        <f t="shared" si="31"/>
        <v>0</v>
      </c>
      <c r="BJ28" s="37">
        <f t="shared" si="32"/>
        <v>0</v>
      </c>
      <c r="BK28" s="37">
        <f t="shared" si="33"/>
        <v>0</v>
      </c>
      <c r="BL28" s="36" t="s">
        <v>2067</v>
      </c>
      <c r="BM28" s="36" t="s">
        <v>2067</v>
      </c>
      <c r="BN28" s="36" t="s">
        <v>2067</v>
      </c>
      <c r="BO28" s="37">
        <f t="shared" si="34"/>
        <v>0</v>
      </c>
      <c r="BP28" s="37">
        <f t="shared" si="35"/>
        <v>0</v>
      </c>
      <c r="BQ28" s="37">
        <f t="shared" si="36"/>
        <v>0</v>
      </c>
      <c r="BR28" s="37">
        <f t="shared" si="37"/>
        <v>0</v>
      </c>
      <c r="BS28" s="37">
        <f t="shared" si="38"/>
        <v>0</v>
      </c>
      <c r="BT28" s="37">
        <f t="shared" si="39"/>
        <v>0</v>
      </c>
      <c r="BU28" s="36"/>
      <c r="BV28" s="36"/>
      <c r="BW28" s="37"/>
      <c r="BX28" s="37"/>
      <c r="BY28" s="37"/>
      <c r="BZ28" s="37"/>
      <c r="CA28" s="36"/>
      <c r="CB28" s="36"/>
      <c r="CC28" s="37"/>
      <c r="CD28" s="37"/>
      <c r="CE28" s="37"/>
      <c r="CF28" s="37"/>
      <c r="CG28" s="36"/>
      <c r="CH28" s="36"/>
      <c r="CI28" s="37">
        <f t="shared" si="40"/>
        <v>1</v>
      </c>
      <c r="CJ28" s="37">
        <f t="shared" si="41"/>
        <v>0.75</v>
      </c>
      <c r="CK28" s="37">
        <f t="shared" si="42"/>
        <v>0.75</v>
      </c>
      <c r="CL28" s="37">
        <f t="shared" si="43"/>
        <v>0</v>
      </c>
      <c r="CM28" s="37">
        <f t="shared" si="44"/>
        <v>0</v>
      </c>
      <c r="CN28" s="36" t="s">
        <v>2166</v>
      </c>
      <c r="CO28" s="36" t="s">
        <v>2166</v>
      </c>
      <c r="CP28" s="36" t="s">
        <v>2166</v>
      </c>
      <c r="CQ28" s="37">
        <f t="shared" si="45"/>
        <v>1</v>
      </c>
      <c r="CR28" s="37">
        <f t="shared" si="46"/>
        <v>1</v>
      </c>
      <c r="CS28" s="37">
        <f t="shared" si="47"/>
        <v>1</v>
      </c>
      <c r="CT28" s="37">
        <f t="shared" si="48"/>
        <v>0</v>
      </c>
      <c r="CU28" s="37">
        <f t="shared" si="49"/>
        <v>0</v>
      </c>
      <c r="CV28" s="36"/>
      <c r="CW28" s="37">
        <f t="shared" si="50"/>
        <v>0</v>
      </c>
      <c r="CX28" s="37">
        <f t="shared" si="51"/>
        <v>0</v>
      </c>
      <c r="CY28" s="37">
        <f t="shared" si="52"/>
        <v>3.3333333333333339</v>
      </c>
      <c r="CZ28" s="37">
        <f t="shared" si="53"/>
        <v>5</v>
      </c>
      <c r="DA28" s="37">
        <f t="shared" si="54"/>
        <v>0</v>
      </c>
      <c r="DB28" s="37">
        <f t="shared" si="55"/>
        <v>0</v>
      </c>
      <c r="DC28" s="37">
        <f t="shared" si="56"/>
        <v>0</v>
      </c>
      <c r="DD28" s="37">
        <f t="shared" si="57"/>
        <v>0</v>
      </c>
      <c r="DE28" s="37">
        <f t="shared" si="58"/>
        <v>0</v>
      </c>
      <c r="DF28" s="37">
        <f t="shared" si="61"/>
        <v>0</v>
      </c>
      <c r="DG28" s="37">
        <f t="shared" si="59"/>
        <v>0</v>
      </c>
      <c r="DH28" s="37">
        <f t="shared" si="60"/>
        <v>8.3333333333333339</v>
      </c>
    </row>
    <row r="29" spans="1:112" ht="36.75" hidden="1" x14ac:dyDescent="0.25">
      <c r="A29" s="37">
        <v>25</v>
      </c>
      <c r="B29" s="156" t="s">
        <v>2191</v>
      </c>
      <c r="C29" s="37"/>
      <c r="D29" s="37"/>
      <c r="E29" s="37"/>
      <c r="F29" s="37"/>
      <c r="G29" s="37"/>
      <c r="H29" s="37"/>
      <c r="I29" s="37"/>
      <c r="J29" s="53" t="s">
        <v>1947</v>
      </c>
      <c r="K29" s="53" t="s">
        <v>1948</v>
      </c>
      <c r="L29" s="53" t="s">
        <v>1947</v>
      </c>
      <c r="M29" s="61">
        <f t="shared" si="0"/>
        <v>0</v>
      </c>
      <c r="N29" s="61">
        <f t="shared" si="1"/>
        <v>1</v>
      </c>
      <c r="O29" s="61">
        <f t="shared" si="2"/>
        <v>0</v>
      </c>
      <c r="P29" s="61">
        <f t="shared" si="3"/>
        <v>1</v>
      </c>
      <c r="Q29" s="53" t="s">
        <v>2165</v>
      </c>
      <c r="R29" s="53" t="s">
        <v>2165</v>
      </c>
      <c r="S29" s="53" t="s">
        <v>1948</v>
      </c>
      <c r="T29" s="61">
        <f t="shared" si="4"/>
        <v>0</v>
      </c>
      <c r="U29" s="61">
        <f t="shared" si="5"/>
        <v>0</v>
      </c>
      <c r="V29" s="61">
        <f t="shared" si="6"/>
        <v>1</v>
      </c>
      <c r="W29" s="61">
        <f t="shared" si="7"/>
        <v>1</v>
      </c>
      <c r="X29" s="61">
        <f t="shared" si="8"/>
        <v>33.333333333333336</v>
      </c>
      <c r="Y29" s="53" t="s">
        <v>1948</v>
      </c>
      <c r="Z29" s="53" t="s">
        <v>1947</v>
      </c>
      <c r="AA29" s="61">
        <f t="shared" si="9"/>
        <v>1</v>
      </c>
      <c r="AB29" s="61">
        <f t="shared" si="10"/>
        <v>0</v>
      </c>
      <c r="AC29" s="61">
        <f t="shared" si="11"/>
        <v>1</v>
      </c>
      <c r="AD29" s="61">
        <f t="shared" si="12"/>
        <v>50</v>
      </c>
      <c r="AE29" s="53" t="s">
        <v>1947</v>
      </c>
      <c r="AF29" s="53" t="s">
        <v>1947</v>
      </c>
      <c r="AG29" s="53" t="s">
        <v>1947</v>
      </c>
      <c r="AH29" s="53" t="s">
        <v>1947</v>
      </c>
      <c r="AI29" s="53" t="s">
        <v>1947</v>
      </c>
      <c r="AJ29" s="50">
        <f t="shared" si="13"/>
        <v>0</v>
      </c>
      <c r="AK29" s="50">
        <f t="shared" si="14"/>
        <v>0</v>
      </c>
      <c r="AL29" s="50">
        <f t="shared" si="15"/>
        <v>0</v>
      </c>
      <c r="AM29" s="50">
        <f t="shared" si="16"/>
        <v>0</v>
      </c>
      <c r="AN29" s="50">
        <f t="shared" si="17"/>
        <v>0</v>
      </c>
      <c r="AO29" s="50">
        <f t="shared" si="18"/>
        <v>0</v>
      </c>
      <c r="AP29" s="51">
        <f t="shared" si="19"/>
        <v>0</v>
      </c>
      <c r="AQ29" s="51">
        <f t="shared" si="20"/>
        <v>83.333333333333343</v>
      </c>
      <c r="AR29" s="53"/>
      <c r="AS29" s="53"/>
      <c r="AT29" s="53"/>
      <c r="AU29" s="50">
        <f t="shared" si="21"/>
        <v>0</v>
      </c>
      <c r="AV29" s="50">
        <f t="shared" si="22"/>
        <v>0</v>
      </c>
      <c r="AW29" s="50">
        <f t="shared" si="23"/>
        <v>0</v>
      </c>
      <c r="AX29" s="50">
        <f t="shared" si="24"/>
        <v>0</v>
      </c>
      <c r="AY29" s="50">
        <f t="shared" si="25"/>
        <v>0</v>
      </c>
      <c r="AZ29" s="36"/>
      <c r="BA29" s="36"/>
      <c r="BB29" s="36"/>
      <c r="BC29" s="36"/>
      <c r="BD29" s="37">
        <f t="shared" si="26"/>
        <v>0</v>
      </c>
      <c r="BE29" s="37">
        <f t="shared" si="27"/>
        <v>0</v>
      </c>
      <c r="BF29" s="37">
        <f t="shared" si="28"/>
        <v>0</v>
      </c>
      <c r="BG29" s="37">
        <f t="shared" si="29"/>
        <v>0</v>
      </c>
      <c r="BH29" s="37">
        <f t="shared" si="30"/>
        <v>0</v>
      </c>
      <c r="BI29" s="37">
        <f t="shared" si="31"/>
        <v>0</v>
      </c>
      <c r="BJ29" s="37">
        <f t="shared" si="32"/>
        <v>0</v>
      </c>
      <c r="BK29" s="37">
        <f t="shared" si="33"/>
        <v>0</v>
      </c>
      <c r="BL29" s="36" t="s">
        <v>2067</v>
      </c>
      <c r="BM29" s="36" t="s">
        <v>2067</v>
      </c>
      <c r="BN29" s="36" t="s">
        <v>2067</v>
      </c>
      <c r="BO29" s="37">
        <f t="shared" si="34"/>
        <v>0</v>
      </c>
      <c r="BP29" s="37">
        <f t="shared" si="35"/>
        <v>0</v>
      </c>
      <c r="BQ29" s="37">
        <f t="shared" si="36"/>
        <v>0</v>
      </c>
      <c r="BR29" s="37">
        <f t="shared" si="37"/>
        <v>0</v>
      </c>
      <c r="BS29" s="37">
        <f t="shared" si="38"/>
        <v>0</v>
      </c>
      <c r="BT29" s="37">
        <f t="shared" si="39"/>
        <v>0</v>
      </c>
      <c r="BU29" s="36"/>
      <c r="BV29" s="36"/>
      <c r="BW29" s="37"/>
      <c r="BX29" s="37"/>
      <c r="BY29" s="37"/>
      <c r="BZ29" s="37"/>
      <c r="CA29" s="36"/>
      <c r="CB29" s="36"/>
      <c r="CC29" s="37"/>
      <c r="CD29" s="37"/>
      <c r="CE29" s="37"/>
      <c r="CF29" s="37"/>
      <c r="CG29" s="36"/>
      <c r="CH29" s="36"/>
      <c r="CI29" s="37">
        <f t="shared" si="40"/>
        <v>1</v>
      </c>
      <c r="CJ29" s="37">
        <f t="shared" si="41"/>
        <v>0.75</v>
      </c>
      <c r="CK29" s="37">
        <f t="shared" si="42"/>
        <v>0.75</v>
      </c>
      <c r="CL29" s="37">
        <f t="shared" si="43"/>
        <v>0</v>
      </c>
      <c r="CM29" s="37">
        <f t="shared" si="44"/>
        <v>0</v>
      </c>
      <c r="CN29" s="36" t="s">
        <v>2166</v>
      </c>
      <c r="CO29" s="36" t="s">
        <v>2166</v>
      </c>
      <c r="CP29" s="36" t="s">
        <v>2166</v>
      </c>
      <c r="CQ29" s="37">
        <f t="shared" si="45"/>
        <v>1</v>
      </c>
      <c r="CR29" s="37">
        <f t="shared" si="46"/>
        <v>1</v>
      </c>
      <c r="CS29" s="37">
        <f t="shared" si="47"/>
        <v>1</v>
      </c>
      <c r="CT29" s="37">
        <f t="shared" si="48"/>
        <v>0</v>
      </c>
      <c r="CU29" s="37">
        <f t="shared" si="49"/>
        <v>0</v>
      </c>
      <c r="CV29" s="36"/>
      <c r="CW29" s="37">
        <f t="shared" si="50"/>
        <v>0</v>
      </c>
      <c r="CX29" s="37">
        <f t="shared" si="51"/>
        <v>0</v>
      </c>
      <c r="CY29" s="37">
        <f t="shared" si="52"/>
        <v>3.3333333333333339</v>
      </c>
      <c r="CZ29" s="37">
        <f t="shared" si="53"/>
        <v>5</v>
      </c>
      <c r="DA29" s="37">
        <f t="shared" si="54"/>
        <v>0</v>
      </c>
      <c r="DB29" s="37">
        <f t="shared" si="55"/>
        <v>0</v>
      </c>
      <c r="DC29" s="37">
        <f t="shared" si="56"/>
        <v>0</v>
      </c>
      <c r="DD29" s="37">
        <f t="shared" si="57"/>
        <v>0</v>
      </c>
      <c r="DE29" s="37">
        <f t="shared" si="58"/>
        <v>0</v>
      </c>
      <c r="DF29" s="37">
        <f t="shared" si="61"/>
        <v>0</v>
      </c>
      <c r="DG29" s="37">
        <f t="shared" si="59"/>
        <v>0</v>
      </c>
      <c r="DH29" s="37">
        <f t="shared" si="60"/>
        <v>8.3333333333333339</v>
      </c>
    </row>
    <row r="30" spans="1:112" ht="24.75" hidden="1" x14ac:dyDescent="0.25">
      <c r="A30" s="37">
        <v>26</v>
      </c>
      <c r="B30" s="156" t="s">
        <v>2192</v>
      </c>
      <c r="C30" s="37"/>
      <c r="D30" s="37"/>
      <c r="E30" s="37"/>
      <c r="F30" s="37"/>
      <c r="G30" s="37"/>
      <c r="H30" s="37"/>
      <c r="I30" s="37"/>
      <c r="J30" s="53" t="s">
        <v>1947</v>
      </c>
      <c r="K30" s="53" t="s">
        <v>1948</v>
      </c>
      <c r="L30" s="53" t="s">
        <v>1947</v>
      </c>
      <c r="M30" s="61">
        <f t="shared" si="0"/>
        <v>0</v>
      </c>
      <c r="N30" s="61">
        <f t="shared" si="1"/>
        <v>1</v>
      </c>
      <c r="O30" s="61">
        <f t="shared" si="2"/>
        <v>0</v>
      </c>
      <c r="P30" s="61">
        <f t="shared" si="3"/>
        <v>1</v>
      </c>
      <c r="Q30" s="53" t="s">
        <v>2165</v>
      </c>
      <c r="R30" s="53" t="s">
        <v>2165</v>
      </c>
      <c r="S30" s="53" t="s">
        <v>1948</v>
      </c>
      <c r="T30" s="61">
        <f t="shared" si="4"/>
        <v>0</v>
      </c>
      <c r="U30" s="61">
        <f t="shared" si="5"/>
        <v>0</v>
      </c>
      <c r="V30" s="61">
        <f t="shared" si="6"/>
        <v>1</v>
      </c>
      <c r="W30" s="61">
        <f t="shared" si="7"/>
        <v>1</v>
      </c>
      <c r="X30" s="61">
        <f t="shared" si="8"/>
        <v>33.333333333333336</v>
      </c>
      <c r="Y30" s="53" t="s">
        <v>1948</v>
      </c>
      <c r="Z30" s="53" t="s">
        <v>1947</v>
      </c>
      <c r="AA30" s="61">
        <f t="shared" si="9"/>
        <v>1</v>
      </c>
      <c r="AB30" s="61">
        <f t="shared" si="10"/>
        <v>0</v>
      </c>
      <c r="AC30" s="61">
        <f t="shared" si="11"/>
        <v>1</v>
      </c>
      <c r="AD30" s="61">
        <f t="shared" si="12"/>
        <v>50</v>
      </c>
      <c r="AE30" s="53" t="s">
        <v>1947</v>
      </c>
      <c r="AF30" s="53" t="s">
        <v>1947</v>
      </c>
      <c r="AG30" s="53" t="s">
        <v>1947</v>
      </c>
      <c r="AH30" s="53" t="s">
        <v>1947</v>
      </c>
      <c r="AI30" s="53" t="s">
        <v>1947</v>
      </c>
      <c r="AJ30" s="50">
        <f t="shared" si="13"/>
        <v>0</v>
      </c>
      <c r="AK30" s="50">
        <f t="shared" si="14"/>
        <v>0</v>
      </c>
      <c r="AL30" s="50">
        <f t="shared" si="15"/>
        <v>0</v>
      </c>
      <c r="AM30" s="50">
        <f t="shared" si="16"/>
        <v>0</v>
      </c>
      <c r="AN30" s="50">
        <f t="shared" si="17"/>
        <v>0</v>
      </c>
      <c r="AO30" s="50">
        <f t="shared" si="18"/>
        <v>0</v>
      </c>
      <c r="AP30" s="51">
        <f t="shared" si="19"/>
        <v>0</v>
      </c>
      <c r="AQ30" s="51">
        <f t="shared" si="20"/>
        <v>83.333333333333343</v>
      </c>
      <c r="AR30" s="53"/>
      <c r="AS30" s="53"/>
      <c r="AT30" s="53"/>
      <c r="AU30" s="50">
        <f t="shared" si="21"/>
        <v>0</v>
      </c>
      <c r="AV30" s="50">
        <f t="shared" si="22"/>
        <v>0</v>
      </c>
      <c r="AW30" s="50">
        <f t="shared" si="23"/>
        <v>0</v>
      </c>
      <c r="AX30" s="50">
        <f t="shared" si="24"/>
        <v>0</v>
      </c>
      <c r="AY30" s="50">
        <f t="shared" si="25"/>
        <v>0</v>
      </c>
      <c r="AZ30" s="36"/>
      <c r="BA30" s="36"/>
      <c r="BB30" s="36"/>
      <c r="BC30" s="36"/>
      <c r="BD30" s="37">
        <f t="shared" si="26"/>
        <v>0</v>
      </c>
      <c r="BE30" s="37">
        <f t="shared" si="27"/>
        <v>0</v>
      </c>
      <c r="BF30" s="37">
        <f t="shared" si="28"/>
        <v>0</v>
      </c>
      <c r="BG30" s="37">
        <f t="shared" si="29"/>
        <v>0</v>
      </c>
      <c r="BH30" s="37">
        <f t="shared" si="30"/>
        <v>0</v>
      </c>
      <c r="BI30" s="37">
        <f t="shared" si="31"/>
        <v>0</v>
      </c>
      <c r="BJ30" s="37">
        <f t="shared" si="32"/>
        <v>0</v>
      </c>
      <c r="BK30" s="37">
        <f t="shared" si="33"/>
        <v>0</v>
      </c>
      <c r="BL30" s="36" t="s">
        <v>2067</v>
      </c>
      <c r="BM30" s="36" t="s">
        <v>2067</v>
      </c>
      <c r="BN30" s="36" t="s">
        <v>2067</v>
      </c>
      <c r="BO30" s="37">
        <f t="shared" si="34"/>
        <v>0</v>
      </c>
      <c r="BP30" s="37">
        <f t="shared" si="35"/>
        <v>0</v>
      </c>
      <c r="BQ30" s="37">
        <f t="shared" si="36"/>
        <v>0</v>
      </c>
      <c r="BR30" s="37">
        <f t="shared" si="37"/>
        <v>0</v>
      </c>
      <c r="BS30" s="37">
        <f t="shared" si="38"/>
        <v>0</v>
      </c>
      <c r="BT30" s="37">
        <f t="shared" si="39"/>
        <v>0</v>
      </c>
      <c r="BU30" s="36"/>
      <c r="BV30" s="36"/>
      <c r="BW30" s="37"/>
      <c r="BX30" s="37"/>
      <c r="BY30" s="37"/>
      <c r="BZ30" s="37"/>
      <c r="CA30" s="36"/>
      <c r="CB30" s="36"/>
      <c r="CC30" s="37"/>
      <c r="CD30" s="37"/>
      <c r="CE30" s="37"/>
      <c r="CF30" s="37"/>
      <c r="CG30" s="36"/>
      <c r="CH30" s="36"/>
      <c r="CI30" s="37">
        <f t="shared" si="40"/>
        <v>1</v>
      </c>
      <c r="CJ30" s="37">
        <f t="shared" si="41"/>
        <v>0.75</v>
      </c>
      <c r="CK30" s="37">
        <f t="shared" si="42"/>
        <v>0.75</v>
      </c>
      <c r="CL30" s="37">
        <f t="shared" si="43"/>
        <v>0</v>
      </c>
      <c r="CM30" s="37">
        <f t="shared" si="44"/>
        <v>0</v>
      </c>
      <c r="CN30" s="36" t="s">
        <v>2166</v>
      </c>
      <c r="CO30" s="36" t="s">
        <v>2166</v>
      </c>
      <c r="CP30" s="36" t="s">
        <v>2166</v>
      </c>
      <c r="CQ30" s="37">
        <f t="shared" si="45"/>
        <v>1</v>
      </c>
      <c r="CR30" s="37">
        <f t="shared" si="46"/>
        <v>1</v>
      </c>
      <c r="CS30" s="37">
        <f t="shared" si="47"/>
        <v>1</v>
      </c>
      <c r="CT30" s="37">
        <f t="shared" si="48"/>
        <v>0</v>
      </c>
      <c r="CU30" s="37">
        <f t="shared" si="49"/>
        <v>0</v>
      </c>
      <c r="CV30" s="36"/>
      <c r="CW30" s="37">
        <f t="shared" si="50"/>
        <v>0</v>
      </c>
      <c r="CX30" s="37">
        <f t="shared" si="51"/>
        <v>0</v>
      </c>
      <c r="CY30" s="37">
        <f t="shared" si="52"/>
        <v>3.3333333333333339</v>
      </c>
      <c r="CZ30" s="37">
        <f t="shared" si="53"/>
        <v>5</v>
      </c>
      <c r="DA30" s="37">
        <f t="shared" si="54"/>
        <v>0</v>
      </c>
      <c r="DB30" s="37">
        <f t="shared" si="55"/>
        <v>0</v>
      </c>
      <c r="DC30" s="37">
        <f t="shared" si="56"/>
        <v>0</v>
      </c>
      <c r="DD30" s="37">
        <f t="shared" si="57"/>
        <v>0</v>
      </c>
      <c r="DE30" s="37">
        <f t="shared" si="58"/>
        <v>0</v>
      </c>
      <c r="DF30" s="37">
        <f t="shared" si="61"/>
        <v>0</v>
      </c>
      <c r="DG30" s="37">
        <f t="shared" si="59"/>
        <v>0</v>
      </c>
      <c r="DH30" s="37">
        <f t="shared" si="60"/>
        <v>8.3333333333333339</v>
      </c>
    </row>
    <row r="31" spans="1:112" ht="135" customHeight="1" x14ac:dyDescent="0.25">
      <c r="A31" s="159">
        <v>27</v>
      </c>
      <c r="B31" s="156" t="s">
        <v>2193</v>
      </c>
      <c r="C31" s="160" t="s">
        <v>2281</v>
      </c>
      <c r="D31" s="155" t="s">
        <v>2282</v>
      </c>
      <c r="E31" s="155" t="s">
        <v>2283</v>
      </c>
      <c r="F31" s="155"/>
      <c r="G31" s="155"/>
      <c r="H31" s="155"/>
      <c r="I31" s="155"/>
      <c r="J31" s="53" t="s">
        <v>1948</v>
      </c>
      <c r="K31" s="53" t="s">
        <v>1948</v>
      </c>
      <c r="L31" s="53" t="s">
        <v>1947</v>
      </c>
      <c r="M31" s="61">
        <f t="shared" si="0"/>
        <v>1</v>
      </c>
      <c r="N31" s="61">
        <f t="shared" si="1"/>
        <v>1</v>
      </c>
      <c r="O31" s="61">
        <f t="shared" si="2"/>
        <v>0</v>
      </c>
      <c r="P31" s="61">
        <f t="shared" si="3"/>
        <v>2</v>
      </c>
      <c r="Q31" s="53" t="s">
        <v>2165</v>
      </c>
      <c r="R31" s="53" t="s">
        <v>2165</v>
      </c>
      <c r="S31" s="53" t="s">
        <v>1948</v>
      </c>
      <c r="T31" s="61">
        <f t="shared" si="4"/>
        <v>0</v>
      </c>
      <c r="U31" s="61">
        <f t="shared" si="5"/>
        <v>0</v>
      </c>
      <c r="V31" s="61">
        <f t="shared" si="6"/>
        <v>1</v>
      </c>
      <c r="W31" s="61">
        <f t="shared" si="7"/>
        <v>1</v>
      </c>
      <c r="X31" s="61">
        <f t="shared" si="8"/>
        <v>50</v>
      </c>
      <c r="Y31" s="53" t="s">
        <v>1948</v>
      </c>
      <c r="Z31" s="53" t="s">
        <v>1948</v>
      </c>
      <c r="AA31" s="61">
        <f t="shared" si="9"/>
        <v>1</v>
      </c>
      <c r="AB31" s="61">
        <f t="shared" si="10"/>
        <v>1</v>
      </c>
      <c r="AC31" s="61">
        <f t="shared" si="11"/>
        <v>2</v>
      </c>
      <c r="AD31" s="61">
        <f t="shared" si="12"/>
        <v>100</v>
      </c>
      <c r="AE31" s="53" t="s">
        <v>1947</v>
      </c>
      <c r="AF31" s="53" t="s">
        <v>1947</v>
      </c>
      <c r="AG31" s="53" t="s">
        <v>1947</v>
      </c>
      <c r="AH31" s="53" t="s">
        <v>1948</v>
      </c>
      <c r="AI31" s="53" t="s">
        <v>1947</v>
      </c>
      <c r="AJ31" s="50">
        <f t="shared" si="13"/>
        <v>0</v>
      </c>
      <c r="AK31" s="50">
        <f t="shared" si="14"/>
        <v>0</v>
      </c>
      <c r="AL31" s="50">
        <f t="shared" si="15"/>
        <v>0</v>
      </c>
      <c r="AM31" s="50">
        <f t="shared" si="16"/>
        <v>1</v>
      </c>
      <c r="AN31" s="50">
        <f t="shared" si="17"/>
        <v>0</v>
      </c>
      <c r="AO31" s="50">
        <f t="shared" si="18"/>
        <v>1</v>
      </c>
      <c r="AP31" s="51">
        <f t="shared" si="19"/>
        <v>20</v>
      </c>
      <c r="AQ31" s="51">
        <f t="shared" si="20"/>
        <v>170</v>
      </c>
      <c r="AR31" s="53" t="s">
        <v>1948</v>
      </c>
      <c r="AS31" s="53" t="s">
        <v>1948</v>
      </c>
      <c r="AT31" s="53" t="s">
        <v>1948</v>
      </c>
      <c r="AU31" s="50">
        <f t="shared" si="21"/>
        <v>1</v>
      </c>
      <c r="AV31" s="50">
        <f t="shared" si="22"/>
        <v>1</v>
      </c>
      <c r="AW31" s="50">
        <f t="shared" si="23"/>
        <v>1</v>
      </c>
      <c r="AX31" s="50">
        <f t="shared" si="24"/>
        <v>3</v>
      </c>
      <c r="AY31" s="50">
        <f t="shared" si="25"/>
        <v>100</v>
      </c>
      <c r="AZ31" s="36" t="s">
        <v>2167</v>
      </c>
      <c r="BA31" s="36" t="s">
        <v>2284</v>
      </c>
      <c r="BB31" s="36" t="s">
        <v>2067</v>
      </c>
      <c r="BC31" s="36" t="s">
        <v>2284</v>
      </c>
      <c r="BD31" s="37">
        <f t="shared" si="26"/>
        <v>1</v>
      </c>
      <c r="BE31" s="37">
        <f t="shared" si="27"/>
        <v>50</v>
      </c>
      <c r="BF31" s="37">
        <f t="shared" si="28"/>
        <v>100</v>
      </c>
      <c r="BG31" s="37">
        <f t="shared" si="29"/>
        <v>50</v>
      </c>
      <c r="BH31" s="37">
        <f t="shared" si="30"/>
        <v>33.333333333333329</v>
      </c>
      <c r="BI31" s="37">
        <f t="shared" si="31"/>
        <v>66.666666666666657</v>
      </c>
      <c r="BJ31" s="37">
        <f t="shared" si="32"/>
        <v>99.999999999999986</v>
      </c>
      <c r="BK31" s="37">
        <f t="shared" si="33"/>
        <v>49.999999999999993</v>
      </c>
      <c r="BL31" s="36" t="s">
        <v>2067</v>
      </c>
      <c r="BM31" s="36" t="s">
        <v>2167</v>
      </c>
      <c r="BN31" s="36" t="s">
        <v>2284</v>
      </c>
      <c r="BO31" s="37">
        <f t="shared" si="34"/>
        <v>0</v>
      </c>
      <c r="BP31" s="37">
        <f t="shared" si="35"/>
        <v>3</v>
      </c>
      <c r="BQ31" s="37">
        <f t="shared" si="36"/>
        <v>0</v>
      </c>
      <c r="BR31" s="37">
        <f t="shared" si="37"/>
        <v>0</v>
      </c>
      <c r="BS31" s="37">
        <f t="shared" si="38"/>
        <v>37.5</v>
      </c>
      <c r="BT31" s="37">
        <f t="shared" si="39"/>
        <v>18.75</v>
      </c>
      <c r="BU31" s="36" t="s">
        <v>2167</v>
      </c>
      <c r="BV31" s="36" t="s">
        <v>2067</v>
      </c>
      <c r="BW31" s="37">
        <f>IF(BU31="ALTO",3,IF(BU31="MEDIO",2,1))</f>
        <v>1</v>
      </c>
      <c r="BX31" s="37">
        <f>IF(BV31="ALTO",2.25,IF(BV31="MEDIO",1.5,0.75))</f>
        <v>2.25</v>
      </c>
      <c r="BY31" s="37">
        <f>IF(BW31=1,BX31,BW31)</f>
        <v>2.25</v>
      </c>
      <c r="BZ31" s="37">
        <f>IF(BY31&gt;=2,BY31,0)</f>
        <v>2.25</v>
      </c>
      <c r="CA31" s="36" t="s">
        <v>2167</v>
      </c>
      <c r="CB31" s="36" t="s">
        <v>2067</v>
      </c>
      <c r="CC31" s="37">
        <f>IF(CA31="ALTO",3,IF(CA31="MEDIO",2,1))</f>
        <v>1</v>
      </c>
      <c r="CD31" s="37">
        <f>IF(CB31="ALTO",2.25,IF(CB31="MEDIO",1.5,0.75))</f>
        <v>2.25</v>
      </c>
      <c r="CE31" s="37">
        <f>IF(CC31=1,CD31,CC31)</f>
        <v>2.25</v>
      </c>
      <c r="CF31" s="37">
        <f>IF(CE31&gt;=2,CE31,0)</f>
        <v>2.25</v>
      </c>
      <c r="CG31" s="36" t="s">
        <v>2167</v>
      </c>
      <c r="CH31" s="36" t="s">
        <v>2067</v>
      </c>
      <c r="CI31" s="37">
        <f t="shared" si="40"/>
        <v>1</v>
      </c>
      <c r="CJ31" s="37">
        <f t="shared" si="41"/>
        <v>2.25</v>
      </c>
      <c r="CK31" s="37">
        <f t="shared" si="42"/>
        <v>2.25</v>
      </c>
      <c r="CL31" s="37">
        <f t="shared" si="43"/>
        <v>2.25</v>
      </c>
      <c r="CM31" s="37">
        <f t="shared" si="44"/>
        <v>75</v>
      </c>
      <c r="CN31" s="36" t="s">
        <v>2166</v>
      </c>
      <c r="CO31" s="36" t="s">
        <v>2111</v>
      </c>
      <c r="CP31" s="36" t="s">
        <v>2285</v>
      </c>
      <c r="CQ31" s="37">
        <f t="shared" si="45"/>
        <v>1</v>
      </c>
      <c r="CR31" s="37">
        <f t="shared" si="46"/>
        <v>3</v>
      </c>
      <c r="CS31" s="37">
        <f t="shared" si="47"/>
        <v>2</v>
      </c>
      <c r="CT31" s="37">
        <f t="shared" si="48"/>
        <v>0</v>
      </c>
      <c r="CU31" s="37">
        <f t="shared" si="49"/>
        <v>0</v>
      </c>
      <c r="CV31" s="36" t="s">
        <v>2167</v>
      </c>
      <c r="CW31" s="37">
        <f t="shared" si="50"/>
        <v>0</v>
      </c>
      <c r="CX31" s="37">
        <f t="shared" si="51"/>
        <v>0</v>
      </c>
      <c r="CY31" s="37">
        <f t="shared" si="52"/>
        <v>5</v>
      </c>
      <c r="CZ31" s="37">
        <f t="shared" si="53"/>
        <v>10</v>
      </c>
      <c r="DA31" s="37">
        <f t="shared" si="54"/>
        <v>2</v>
      </c>
      <c r="DB31" s="37">
        <f t="shared" si="55"/>
        <v>10</v>
      </c>
      <c r="DC31" s="37">
        <f t="shared" si="56"/>
        <v>10</v>
      </c>
      <c r="DD31" s="37">
        <f t="shared" si="57"/>
        <v>1.875</v>
      </c>
      <c r="DE31" s="37">
        <f t="shared" si="58"/>
        <v>15</v>
      </c>
      <c r="DF31" s="37">
        <f t="shared" si="61"/>
        <v>2.5</v>
      </c>
      <c r="DG31" s="37">
        <f t="shared" si="59"/>
        <v>0</v>
      </c>
      <c r="DH31" s="37">
        <f t="shared" si="60"/>
        <v>56.375</v>
      </c>
    </row>
    <row r="32" spans="1:112" hidden="1" x14ac:dyDescent="0.25">
      <c r="A32" s="37">
        <v>28</v>
      </c>
      <c r="B32" s="156" t="s">
        <v>2194</v>
      </c>
      <c r="C32" s="37"/>
      <c r="D32" s="37"/>
      <c r="E32" s="37"/>
      <c r="F32" s="37"/>
      <c r="G32" s="37"/>
      <c r="H32" s="37"/>
      <c r="I32" s="37"/>
      <c r="J32" s="53" t="s">
        <v>1947</v>
      </c>
      <c r="K32" s="53" t="s">
        <v>1948</v>
      </c>
      <c r="L32" s="53" t="s">
        <v>1947</v>
      </c>
      <c r="M32" s="61">
        <f t="shared" si="0"/>
        <v>0</v>
      </c>
      <c r="N32" s="61">
        <f t="shared" si="1"/>
        <v>1</v>
      </c>
      <c r="O32" s="61">
        <f t="shared" si="2"/>
        <v>0</v>
      </c>
      <c r="P32" s="61">
        <f t="shared" si="3"/>
        <v>1</v>
      </c>
      <c r="Q32" s="53" t="s">
        <v>2165</v>
      </c>
      <c r="R32" s="53" t="s">
        <v>2165</v>
      </c>
      <c r="S32" s="53" t="s">
        <v>1948</v>
      </c>
      <c r="T32" s="61">
        <f t="shared" si="4"/>
        <v>0</v>
      </c>
      <c r="U32" s="61">
        <f t="shared" si="5"/>
        <v>0</v>
      </c>
      <c r="V32" s="61">
        <f t="shared" si="6"/>
        <v>1</v>
      </c>
      <c r="W32" s="61">
        <f t="shared" si="7"/>
        <v>1</v>
      </c>
      <c r="X32" s="61">
        <f t="shared" si="8"/>
        <v>33.333333333333336</v>
      </c>
      <c r="Y32" s="53" t="s">
        <v>1948</v>
      </c>
      <c r="Z32" s="53" t="s">
        <v>1947</v>
      </c>
      <c r="AA32" s="61">
        <f t="shared" si="9"/>
        <v>1</v>
      </c>
      <c r="AB32" s="61">
        <f t="shared" si="10"/>
        <v>0</v>
      </c>
      <c r="AC32" s="61">
        <f t="shared" si="11"/>
        <v>1</v>
      </c>
      <c r="AD32" s="61">
        <f t="shared" si="12"/>
        <v>50</v>
      </c>
      <c r="AE32" s="53" t="s">
        <v>1947</v>
      </c>
      <c r="AF32" s="53" t="s">
        <v>1947</v>
      </c>
      <c r="AG32" s="53" t="s">
        <v>1947</v>
      </c>
      <c r="AH32" s="53" t="s">
        <v>1947</v>
      </c>
      <c r="AI32" s="53" t="s">
        <v>1947</v>
      </c>
      <c r="AJ32" s="50">
        <f t="shared" si="13"/>
        <v>0</v>
      </c>
      <c r="AK32" s="50">
        <f t="shared" si="14"/>
        <v>0</v>
      </c>
      <c r="AL32" s="50">
        <f t="shared" si="15"/>
        <v>0</v>
      </c>
      <c r="AM32" s="50">
        <f t="shared" si="16"/>
        <v>0</v>
      </c>
      <c r="AN32" s="50">
        <f t="shared" si="17"/>
        <v>0</v>
      </c>
      <c r="AO32" s="50">
        <f t="shared" si="18"/>
        <v>0</v>
      </c>
      <c r="AP32" s="51">
        <f t="shared" si="19"/>
        <v>0</v>
      </c>
      <c r="AQ32" s="51">
        <f t="shared" si="20"/>
        <v>83.333333333333343</v>
      </c>
      <c r="AR32" s="53"/>
      <c r="AS32" s="53"/>
      <c r="AT32" s="53"/>
      <c r="AU32" s="50">
        <f t="shared" si="21"/>
        <v>0</v>
      </c>
      <c r="AV32" s="50">
        <f t="shared" si="22"/>
        <v>0</v>
      </c>
      <c r="AW32" s="50">
        <f t="shared" si="23"/>
        <v>0</v>
      </c>
      <c r="AX32" s="50">
        <f t="shared" si="24"/>
        <v>0</v>
      </c>
      <c r="AY32" s="50">
        <f t="shared" si="25"/>
        <v>0</v>
      </c>
      <c r="AZ32" s="36"/>
      <c r="BA32" s="36"/>
      <c r="BB32" s="36"/>
      <c r="BC32" s="36"/>
      <c r="BD32" s="37">
        <f t="shared" si="26"/>
        <v>0</v>
      </c>
      <c r="BE32" s="37">
        <f t="shared" si="27"/>
        <v>0</v>
      </c>
      <c r="BF32" s="37">
        <f t="shared" si="28"/>
        <v>0</v>
      </c>
      <c r="BG32" s="37">
        <f t="shared" si="29"/>
        <v>0</v>
      </c>
      <c r="BH32" s="37">
        <f t="shared" si="30"/>
        <v>0</v>
      </c>
      <c r="BI32" s="37">
        <f t="shared" si="31"/>
        <v>0</v>
      </c>
      <c r="BJ32" s="37">
        <f t="shared" si="32"/>
        <v>0</v>
      </c>
      <c r="BK32" s="37">
        <f t="shared" si="33"/>
        <v>0</v>
      </c>
      <c r="BL32" s="36" t="s">
        <v>2067</v>
      </c>
      <c r="BM32" s="36" t="s">
        <v>2067</v>
      </c>
      <c r="BN32" s="36" t="s">
        <v>2067</v>
      </c>
      <c r="BO32" s="37">
        <f t="shared" si="34"/>
        <v>0</v>
      </c>
      <c r="BP32" s="37">
        <f t="shared" si="35"/>
        <v>0</v>
      </c>
      <c r="BQ32" s="37">
        <f t="shared" si="36"/>
        <v>0</v>
      </c>
      <c r="BR32" s="37">
        <f t="shared" si="37"/>
        <v>0</v>
      </c>
      <c r="BS32" s="37">
        <f t="shared" si="38"/>
        <v>0</v>
      </c>
      <c r="BT32" s="37">
        <f t="shared" si="39"/>
        <v>0</v>
      </c>
      <c r="BU32" s="36"/>
      <c r="BV32" s="36"/>
      <c r="BW32" s="37"/>
      <c r="BX32" s="37"/>
      <c r="BY32" s="37"/>
      <c r="BZ32" s="37"/>
      <c r="CA32" s="36"/>
      <c r="CB32" s="36"/>
      <c r="CC32" s="37"/>
      <c r="CD32" s="37"/>
      <c r="CE32" s="37"/>
      <c r="CF32" s="37"/>
      <c r="CG32" s="36"/>
      <c r="CH32" s="36"/>
      <c r="CI32" s="37">
        <f t="shared" si="40"/>
        <v>1</v>
      </c>
      <c r="CJ32" s="37">
        <f t="shared" si="41"/>
        <v>0.75</v>
      </c>
      <c r="CK32" s="37">
        <f t="shared" si="42"/>
        <v>0.75</v>
      </c>
      <c r="CL32" s="37">
        <f t="shared" si="43"/>
        <v>0</v>
      </c>
      <c r="CM32" s="37">
        <f t="shared" si="44"/>
        <v>0</v>
      </c>
      <c r="CN32" s="36" t="s">
        <v>2166</v>
      </c>
      <c r="CO32" s="36" t="s">
        <v>2166</v>
      </c>
      <c r="CP32" s="36" t="s">
        <v>2166</v>
      </c>
      <c r="CQ32" s="37">
        <f t="shared" si="45"/>
        <v>1</v>
      </c>
      <c r="CR32" s="37">
        <f t="shared" si="46"/>
        <v>1</v>
      </c>
      <c r="CS32" s="37">
        <f t="shared" si="47"/>
        <v>1</v>
      </c>
      <c r="CT32" s="37">
        <f t="shared" si="48"/>
        <v>0</v>
      </c>
      <c r="CU32" s="37">
        <f t="shared" si="49"/>
        <v>0</v>
      </c>
      <c r="CV32" s="36"/>
      <c r="CW32" s="37">
        <f t="shared" si="50"/>
        <v>0</v>
      </c>
      <c r="CX32" s="37">
        <f t="shared" si="51"/>
        <v>0</v>
      </c>
      <c r="CY32" s="37">
        <f t="shared" si="52"/>
        <v>3.3333333333333339</v>
      </c>
      <c r="CZ32" s="37">
        <f t="shared" si="53"/>
        <v>5</v>
      </c>
      <c r="DA32" s="37">
        <f t="shared" si="54"/>
        <v>0</v>
      </c>
      <c r="DB32" s="37">
        <f t="shared" si="55"/>
        <v>0</v>
      </c>
      <c r="DC32" s="37">
        <f t="shared" si="56"/>
        <v>0</v>
      </c>
      <c r="DD32" s="37">
        <f t="shared" si="57"/>
        <v>0</v>
      </c>
      <c r="DE32" s="37">
        <f t="shared" si="58"/>
        <v>0</v>
      </c>
      <c r="DF32" s="37">
        <f t="shared" si="61"/>
        <v>0</v>
      </c>
      <c r="DG32" s="37">
        <f t="shared" si="59"/>
        <v>0</v>
      </c>
      <c r="DH32" s="37">
        <f t="shared" si="60"/>
        <v>8.3333333333333339</v>
      </c>
    </row>
    <row r="33" spans="1:112" ht="24.75" hidden="1" x14ac:dyDescent="0.25">
      <c r="A33" s="37">
        <v>29</v>
      </c>
      <c r="B33" s="156" t="s">
        <v>2195</v>
      </c>
      <c r="C33" s="37"/>
      <c r="D33" s="37"/>
      <c r="E33" s="37"/>
      <c r="F33" s="37"/>
      <c r="G33" s="37"/>
      <c r="H33" s="37"/>
      <c r="I33" s="37"/>
      <c r="J33" s="53" t="s">
        <v>1947</v>
      </c>
      <c r="K33" s="53" t="s">
        <v>1948</v>
      </c>
      <c r="L33" s="53" t="s">
        <v>1947</v>
      </c>
      <c r="M33" s="61">
        <f t="shared" si="0"/>
        <v>0</v>
      </c>
      <c r="N33" s="61">
        <f t="shared" si="1"/>
        <v>1</v>
      </c>
      <c r="O33" s="61">
        <f t="shared" si="2"/>
        <v>0</v>
      </c>
      <c r="P33" s="61">
        <f t="shared" si="3"/>
        <v>1</v>
      </c>
      <c r="Q33" s="53" t="s">
        <v>2165</v>
      </c>
      <c r="R33" s="53" t="s">
        <v>2165</v>
      </c>
      <c r="S33" s="53" t="s">
        <v>1948</v>
      </c>
      <c r="T33" s="61">
        <f t="shared" si="4"/>
        <v>0</v>
      </c>
      <c r="U33" s="61">
        <f t="shared" si="5"/>
        <v>0</v>
      </c>
      <c r="V33" s="61">
        <f t="shared" si="6"/>
        <v>1</v>
      </c>
      <c r="W33" s="61">
        <f t="shared" si="7"/>
        <v>1</v>
      </c>
      <c r="X33" s="61">
        <f t="shared" si="8"/>
        <v>33.333333333333336</v>
      </c>
      <c r="Y33" s="53" t="s">
        <v>1948</v>
      </c>
      <c r="Z33" s="53" t="s">
        <v>1947</v>
      </c>
      <c r="AA33" s="61">
        <f t="shared" si="9"/>
        <v>1</v>
      </c>
      <c r="AB33" s="61">
        <f t="shared" si="10"/>
        <v>0</v>
      </c>
      <c r="AC33" s="61">
        <f t="shared" si="11"/>
        <v>1</v>
      </c>
      <c r="AD33" s="61">
        <f t="shared" si="12"/>
        <v>50</v>
      </c>
      <c r="AE33" s="53" t="s">
        <v>1947</v>
      </c>
      <c r="AF33" s="53" t="s">
        <v>1947</v>
      </c>
      <c r="AG33" s="53" t="s">
        <v>1947</v>
      </c>
      <c r="AH33" s="53" t="s">
        <v>1947</v>
      </c>
      <c r="AI33" s="53" t="s">
        <v>1947</v>
      </c>
      <c r="AJ33" s="50">
        <f t="shared" si="13"/>
        <v>0</v>
      </c>
      <c r="AK33" s="50">
        <f t="shared" si="14"/>
        <v>0</v>
      </c>
      <c r="AL33" s="50">
        <f t="shared" si="15"/>
        <v>0</v>
      </c>
      <c r="AM33" s="50">
        <f t="shared" si="16"/>
        <v>0</v>
      </c>
      <c r="AN33" s="50">
        <f t="shared" si="17"/>
        <v>0</v>
      </c>
      <c r="AO33" s="50">
        <f t="shared" si="18"/>
        <v>0</v>
      </c>
      <c r="AP33" s="51">
        <f t="shared" si="19"/>
        <v>0</v>
      </c>
      <c r="AQ33" s="51">
        <f t="shared" si="20"/>
        <v>83.333333333333343</v>
      </c>
      <c r="AR33" s="53"/>
      <c r="AS33" s="53"/>
      <c r="AT33" s="53"/>
      <c r="AU33" s="50">
        <f t="shared" si="21"/>
        <v>0</v>
      </c>
      <c r="AV33" s="50">
        <f t="shared" si="22"/>
        <v>0</v>
      </c>
      <c r="AW33" s="50">
        <f t="shared" si="23"/>
        <v>0</v>
      </c>
      <c r="AX33" s="50">
        <f t="shared" si="24"/>
        <v>0</v>
      </c>
      <c r="AY33" s="50">
        <f t="shared" si="25"/>
        <v>0</v>
      </c>
      <c r="AZ33" s="36"/>
      <c r="BA33" s="36"/>
      <c r="BB33" s="36"/>
      <c r="BC33" s="36"/>
      <c r="BD33" s="37">
        <f t="shared" si="26"/>
        <v>0</v>
      </c>
      <c r="BE33" s="37">
        <f t="shared" si="27"/>
        <v>0</v>
      </c>
      <c r="BF33" s="37">
        <f t="shared" si="28"/>
        <v>0</v>
      </c>
      <c r="BG33" s="37">
        <f t="shared" si="29"/>
        <v>0</v>
      </c>
      <c r="BH33" s="37">
        <f t="shared" si="30"/>
        <v>0</v>
      </c>
      <c r="BI33" s="37">
        <f t="shared" si="31"/>
        <v>0</v>
      </c>
      <c r="BJ33" s="37">
        <f t="shared" si="32"/>
        <v>0</v>
      </c>
      <c r="BK33" s="37">
        <f t="shared" si="33"/>
        <v>0</v>
      </c>
      <c r="BL33" s="36" t="s">
        <v>2067</v>
      </c>
      <c r="BM33" s="36" t="s">
        <v>2067</v>
      </c>
      <c r="BN33" s="36" t="s">
        <v>2067</v>
      </c>
      <c r="BO33" s="37">
        <f t="shared" si="34"/>
        <v>0</v>
      </c>
      <c r="BP33" s="37">
        <f t="shared" si="35"/>
        <v>0</v>
      </c>
      <c r="BQ33" s="37">
        <f t="shared" si="36"/>
        <v>0</v>
      </c>
      <c r="BR33" s="37">
        <f t="shared" si="37"/>
        <v>0</v>
      </c>
      <c r="BS33" s="37">
        <f t="shared" si="38"/>
        <v>0</v>
      </c>
      <c r="BT33" s="37">
        <f t="shared" si="39"/>
        <v>0</v>
      </c>
      <c r="BU33" s="36"/>
      <c r="BV33" s="36"/>
      <c r="BW33" s="37"/>
      <c r="BX33" s="37"/>
      <c r="BY33" s="37"/>
      <c r="BZ33" s="37"/>
      <c r="CA33" s="36"/>
      <c r="CB33" s="36"/>
      <c r="CC33" s="37"/>
      <c r="CD33" s="37"/>
      <c r="CE33" s="37"/>
      <c r="CF33" s="37"/>
      <c r="CG33" s="36"/>
      <c r="CH33" s="36"/>
      <c r="CI33" s="37">
        <f t="shared" si="40"/>
        <v>1</v>
      </c>
      <c r="CJ33" s="37">
        <f t="shared" si="41"/>
        <v>0.75</v>
      </c>
      <c r="CK33" s="37">
        <f t="shared" si="42"/>
        <v>0.75</v>
      </c>
      <c r="CL33" s="37">
        <f t="shared" si="43"/>
        <v>0</v>
      </c>
      <c r="CM33" s="37">
        <f t="shared" si="44"/>
        <v>0</v>
      </c>
      <c r="CN33" s="36" t="s">
        <v>2166</v>
      </c>
      <c r="CO33" s="36" t="s">
        <v>2166</v>
      </c>
      <c r="CP33" s="36" t="s">
        <v>2166</v>
      </c>
      <c r="CQ33" s="37">
        <f t="shared" si="45"/>
        <v>1</v>
      </c>
      <c r="CR33" s="37">
        <f t="shared" si="46"/>
        <v>1</v>
      </c>
      <c r="CS33" s="37">
        <f t="shared" si="47"/>
        <v>1</v>
      </c>
      <c r="CT33" s="37">
        <f t="shared" si="48"/>
        <v>0</v>
      </c>
      <c r="CU33" s="37">
        <f t="shared" si="49"/>
        <v>0</v>
      </c>
      <c r="CV33" s="36"/>
      <c r="CW33" s="37">
        <f t="shared" si="50"/>
        <v>0</v>
      </c>
      <c r="CX33" s="37">
        <f t="shared" si="51"/>
        <v>0</v>
      </c>
      <c r="CY33" s="37">
        <f t="shared" si="52"/>
        <v>3.3333333333333339</v>
      </c>
      <c r="CZ33" s="37">
        <f t="shared" si="53"/>
        <v>5</v>
      </c>
      <c r="DA33" s="37">
        <f t="shared" si="54"/>
        <v>0</v>
      </c>
      <c r="DB33" s="37">
        <f t="shared" si="55"/>
        <v>0</v>
      </c>
      <c r="DC33" s="37">
        <f t="shared" si="56"/>
        <v>0</v>
      </c>
      <c r="DD33" s="37">
        <f t="shared" si="57"/>
        <v>0</v>
      </c>
      <c r="DE33" s="37">
        <f t="shared" si="58"/>
        <v>0</v>
      </c>
      <c r="DF33" s="37">
        <f t="shared" si="61"/>
        <v>0</v>
      </c>
      <c r="DG33" s="37">
        <f t="shared" si="59"/>
        <v>0</v>
      </c>
      <c r="DH33" s="37">
        <f t="shared" si="60"/>
        <v>8.3333333333333339</v>
      </c>
    </row>
    <row r="34" spans="1:112" hidden="1" x14ac:dyDescent="0.25">
      <c r="A34" s="37">
        <v>30</v>
      </c>
      <c r="B34" s="156" t="s">
        <v>2196</v>
      </c>
      <c r="C34" s="37"/>
      <c r="D34" s="37"/>
      <c r="E34" s="37"/>
      <c r="F34" s="37"/>
      <c r="G34" s="37"/>
      <c r="H34" s="37"/>
      <c r="I34" s="37"/>
      <c r="J34" s="53" t="s">
        <v>1947</v>
      </c>
      <c r="K34" s="53" t="s">
        <v>1948</v>
      </c>
      <c r="L34" s="53" t="s">
        <v>1947</v>
      </c>
      <c r="M34" s="61">
        <f t="shared" si="0"/>
        <v>0</v>
      </c>
      <c r="N34" s="61">
        <f t="shared" si="1"/>
        <v>1</v>
      </c>
      <c r="O34" s="61">
        <f t="shared" si="2"/>
        <v>0</v>
      </c>
      <c r="P34" s="61">
        <f t="shared" si="3"/>
        <v>1</v>
      </c>
      <c r="Q34" s="53" t="s">
        <v>2165</v>
      </c>
      <c r="R34" s="53" t="s">
        <v>2165</v>
      </c>
      <c r="S34" s="53" t="s">
        <v>1948</v>
      </c>
      <c r="T34" s="61">
        <f t="shared" si="4"/>
        <v>0</v>
      </c>
      <c r="U34" s="61">
        <f t="shared" si="5"/>
        <v>0</v>
      </c>
      <c r="V34" s="61">
        <f t="shared" si="6"/>
        <v>1</v>
      </c>
      <c r="W34" s="61">
        <f t="shared" si="7"/>
        <v>1</v>
      </c>
      <c r="X34" s="61">
        <f t="shared" si="8"/>
        <v>33.333333333333336</v>
      </c>
      <c r="Y34" s="53" t="s">
        <v>1948</v>
      </c>
      <c r="Z34" s="53" t="s">
        <v>1947</v>
      </c>
      <c r="AA34" s="61">
        <f t="shared" si="9"/>
        <v>1</v>
      </c>
      <c r="AB34" s="61">
        <f t="shared" si="10"/>
        <v>0</v>
      </c>
      <c r="AC34" s="61">
        <f t="shared" si="11"/>
        <v>1</v>
      </c>
      <c r="AD34" s="61">
        <f t="shared" si="12"/>
        <v>50</v>
      </c>
      <c r="AE34" s="53" t="s">
        <v>1947</v>
      </c>
      <c r="AF34" s="53" t="s">
        <v>1947</v>
      </c>
      <c r="AG34" s="53" t="s">
        <v>1947</v>
      </c>
      <c r="AH34" s="53" t="s">
        <v>1947</v>
      </c>
      <c r="AI34" s="53" t="s">
        <v>1947</v>
      </c>
      <c r="AJ34" s="50">
        <f t="shared" si="13"/>
        <v>0</v>
      </c>
      <c r="AK34" s="50">
        <f t="shared" si="14"/>
        <v>0</v>
      </c>
      <c r="AL34" s="50">
        <f t="shared" si="15"/>
        <v>0</v>
      </c>
      <c r="AM34" s="50">
        <f t="shared" si="16"/>
        <v>0</v>
      </c>
      <c r="AN34" s="50">
        <f t="shared" si="17"/>
        <v>0</v>
      </c>
      <c r="AO34" s="50">
        <f t="shared" si="18"/>
        <v>0</v>
      </c>
      <c r="AP34" s="51">
        <f t="shared" si="19"/>
        <v>0</v>
      </c>
      <c r="AQ34" s="51">
        <f t="shared" si="20"/>
        <v>83.333333333333343</v>
      </c>
      <c r="AR34" s="53"/>
      <c r="AS34" s="53"/>
      <c r="AT34" s="53"/>
      <c r="AU34" s="50">
        <f t="shared" si="21"/>
        <v>0</v>
      </c>
      <c r="AV34" s="50">
        <f t="shared" si="22"/>
        <v>0</v>
      </c>
      <c r="AW34" s="50">
        <f t="shared" si="23"/>
        <v>0</v>
      </c>
      <c r="AX34" s="50">
        <f t="shared" si="24"/>
        <v>0</v>
      </c>
      <c r="AY34" s="50">
        <f t="shared" si="25"/>
        <v>0</v>
      </c>
      <c r="AZ34" s="36"/>
      <c r="BA34" s="36"/>
      <c r="BB34" s="36"/>
      <c r="BC34" s="36"/>
      <c r="BD34" s="37">
        <f t="shared" si="26"/>
        <v>0</v>
      </c>
      <c r="BE34" s="37">
        <f t="shared" si="27"/>
        <v>0</v>
      </c>
      <c r="BF34" s="37">
        <f t="shared" si="28"/>
        <v>0</v>
      </c>
      <c r="BG34" s="37">
        <f t="shared" si="29"/>
        <v>0</v>
      </c>
      <c r="BH34" s="37">
        <f t="shared" si="30"/>
        <v>0</v>
      </c>
      <c r="BI34" s="37">
        <f t="shared" si="31"/>
        <v>0</v>
      </c>
      <c r="BJ34" s="37">
        <f t="shared" si="32"/>
        <v>0</v>
      </c>
      <c r="BK34" s="37">
        <f t="shared" si="33"/>
        <v>0</v>
      </c>
      <c r="BL34" s="36" t="s">
        <v>2067</v>
      </c>
      <c r="BM34" s="36" t="s">
        <v>2067</v>
      </c>
      <c r="BN34" s="36" t="s">
        <v>2067</v>
      </c>
      <c r="BO34" s="37">
        <f t="shared" si="34"/>
        <v>0</v>
      </c>
      <c r="BP34" s="37">
        <f t="shared" si="35"/>
        <v>0</v>
      </c>
      <c r="BQ34" s="37">
        <f t="shared" si="36"/>
        <v>0</v>
      </c>
      <c r="BR34" s="37">
        <f t="shared" si="37"/>
        <v>0</v>
      </c>
      <c r="BS34" s="37">
        <f t="shared" si="38"/>
        <v>0</v>
      </c>
      <c r="BT34" s="37">
        <f t="shared" si="39"/>
        <v>0</v>
      </c>
      <c r="BU34" s="36"/>
      <c r="BV34" s="36"/>
      <c r="BW34" s="37"/>
      <c r="BX34" s="37"/>
      <c r="BY34" s="37"/>
      <c r="BZ34" s="37"/>
      <c r="CA34" s="36"/>
      <c r="CB34" s="36"/>
      <c r="CC34" s="37"/>
      <c r="CD34" s="37"/>
      <c r="CE34" s="37"/>
      <c r="CF34" s="37"/>
      <c r="CG34" s="36"/>
      <c r="CH34" s="36"/>
      <c r="CI34" s="37">
        <f t="shared" si="40"/>
        <v>1</v>
      </c>
      <c r="CJ34" s="37">
        <f t="shared" si="41"/>
        <v>0.75</v>
      </c>
      <c r="CK34" s="37">
        <f t="shared" si="42"/>
        <v>0.75</v>
      </c>
      <c r="CL34" s="37">
        <f t="shared" si="43"/>
        <v>0</v>
      </c>
      <c r="CM34" s="37">
        <f t="shared" si="44"/>
        <v>0</v>
      </c>
      <c r="CN34" s="36" t="s">
        <v>2166</v>
      </c>
      <c r="CO34" s="36" t="s">
        <v>2166</v>
      </c>
      <c r="CP34" s="36" t="s">
        <v>2166</v>
      </c>
      <c r="CQ34" s="37">
        <f t="shared" si="45"/>
        <v>1</v>
      </c>
      <c r="CR34" s="37">
        <f t="shared" si="46"/>
        <v>1</v>
      </c>
      <c r="CS34" s="37">
        <f t="shared" si="47"/>
        <v>1</v>
      </c>
      <c r="CT34" s="37">
        <f t="shared" si="48"/>
        <v>0</v>
      </c>
      <c r="CU34" s="37">
        <f t="shared" si="49"/>
        <v>0</v>
      </c>
      <c r="CV34" s="36"/>
      <c r="CW34" s="37">
        <f t="shared" si="50"/>
        <v>0</v>
      </c>
      <c r="CX34" s="37">
        <f t="shared" si="51"/>
        <v>0</v>
      </c>
      <c r="CY34" s="37">
        <f t="shared" si="52"/>
        <v>3.3333333333333339</v>
      </c>
      <c r="CZ34" s="37">
        <f t="shared" si="53"/>
        <v>5</v>
      </c>
      <c r="DA34" s="37">
        <f t="shared" si="54"/>
        <v>0</v>
      </c>
      <c r="DB34" s="37">
        <f t="shared" si="55"/>
        <v>0</v>
      </c>
      <c r="DC34" s="37">
        <f t="shared" si="56"/>
        <v>0</v>
      </c>
      <c r="DD34" s="37">
        <f t="shared" si="57"/>
        <v>0</v>
      </c>
      <c r="DE34" s="37">
        <f t="shared" si="58"/>
        <v>0</v>
      </c>
      <c r="DF34" s="37">
        <f t="shared" si="61"/>
        <v>0</v>
      </c>
      <c r="DG34" s="37">
        <f t="shared" si="59"/>
        <v>0</v>
      </c>
      <c r="DH34" s="37">
        <f t="shared" si="60"/>
        <v>8.3333333333333339</v>
      </c>
    </row>
    <row r="35" spans="1:112" hidden="1" x14ac:dyDescent="0.25">
      <c r="A35" s="37">
        <v>31</v>
      </c>
      <c r="B35" s="156" t="s">
        <v>2197</v>
      </c>
      <c r="C35" s="37"/>
      <c r="D35" s="37"/>
      <c r="E35" s="37"/>
      <c r="F35" s="37"/>
      <c r="G35" s="37"/>
      <c r="H35" s="37"/>
      <c r="I35" s="37"/>
      <c r="J35" s="53" t="s">
        <v>1947</v>
      </c>
      <c r="K35" s="53" t="s">
        <v>1948</v>
      </c>
      <c r="L35" s="53" t="s">
        <v>1947</v>
      </c>
      <c r="M35" s="61">
        <f t="shared" si="0"/>
        <v>0</v>
      </c>
      <c r="N35" s="61">
        <f t="shared" si="1"/>
        <v>1</v>
      </c>
      <c r="O35" s="61">
        <f t="shared" si="2"/>
        <v>0</v>
      </c>
      <c r="P35" s="61">
        <f t="shared" si="3"/>
        <v>1</v>
      </c>
      <c r="Q35" s="53" t="s">
        <v>2165</v>
      </c>
      <c r="R35" s="53" t="s">
        <v>2165</v>
      </c>
      <c r="S35" s="53" t="s">
        <v>1948</v>
      </c>
      <c r="T35" s="61">
        <f t="shared" si="4"/>
        <v>0</v>
      </c>
      <c r="U35" s="61">
        <f t="shared" si="5"/>
        <v>0</v>
      </c>
      <c r="V35" s="61">
        <f t="shared" si="6"/>
        <v>1</v>
      </c>
      <c r="W35" s="61">
        <f t="shared" si="7"/>
        <v>1</v>
      </c>
      <c r="X35" s="61">
        <f t="shared" si="8"/>
        <v>33.333333333333336</v>
      </c>
      <c r="Y35" s="53" t="s">
        <v>1948</v>
      </c>
      <c r="Z35" s="53" t="s">
        <v>1947</v>
      </c>
      <c r="AA35" s="61">
        <f t="shared" si="9"/>
        <v>1</v>
      </c>
      <c r="AB35" s="61">
        <f t="shared" si="10"/>
        <v>0</v>
      </c>
      <c r="AC35" s="61">
        <f t="shared" si="11"/>
        <v>1</v>
      </c>
      <c r="AD35" s="61">
        <f t="shared" si="12"/>
        <v>50</v>
      </c>
      <c r="AE35" s="53" t="s">
        <v>1947</v>
      </c>
      <c r="AF35" s="53" t="s">
        <v>1947</v>
      </c>
      <c r="AG35" s="53" t="s">
        <v>1947</v>
      </c>
      <c r="AH35" s="53" t="s">
        <v>1947</v>
      </c>
      <c r="AI35" s="53" t="s">
        <v>1947</v>
      </c>
      <c r="AJ35" s="50">
        <f t="shared" si="13"/>
        <v>0</v>
      </c>
      <c r="AK35" s="50">
        <f t="shared" si="14"/>
        <v>0</v>
      </c>
      <c r="AL35" s="50">
        <f t="shared" si="15"/>
        <v>0</v>
      </c>
      <c r="AM35" s="50">
        <f t="shared" si="16"/>
        <v>0</v>
      </c>
      <c r="AN35" s="50">
        <f t="shared" si="17"/>
        <v>0</v>
      </c>
      <c r="AO35" s="50">
        <f t="shared" si="18"/>
        <v>0</v>
      </c>
      <c r="AP35" s="51">
        <f t="shared" si="19"/>
        <v>0</v>
      </c>
      <c r="AQ35" s="51">
        <f t="shared" si="20"/>
        <v>83.333333333333343</v>
      </c>
      <c r="AR35" s="53"/>
      <c r="AS35" s="53"/>
      <c r="AT35" s="53"/>
      <c r="AU35" s="50">
        <f t="shared" si="21"/>
        <v>0</v>
      </c>
      <c r="AV35" s="50">
        <f t="shared" si="22"/>
        <v>0</v>
      </c>
      <c r="AW35" s="50">
        <f t="shared" si="23"/>
        <v>0</v>
      </c>
      <c r="AX35" s="50">
        <f t="shared" si="24"/>
        <v>0</v>
      </c>
      <c r="AY35" s="50">
        <f t="shared" si="25"/>
        <v>0</v>
      </c>
      <c r="AZ35" s="36"/>
      <c r="BA35" s="36"/>
      <c r="BB35" s="36"/>
      <c r="BC35" s="36"/>
      <c r="BD35" s="37">
        <f t="shared" si="26"/>
        <v>0</v>
      </c>
      <c r="BE35" s="37">
        <f t="shared" si="27"/>
        <v>0</v>
      </c>
      <c r="BF35" s="37">
        <f t="shared" si="28"/>
        <v>0</v>
      </c>
      <c r="BG35" s="37">
        <f t="shared" si="29"/>
        <v>0</v>
      </c>
      <c r="BH35" s="37">
        <f t="shared" si="30"/>
        <v>0</v>
      </c>
      <c r="BI35" s="37">
        <f t="shared" si="31"/>
        <v>0</v>
      </c>
      <c r="BJ35" s="37">
        <f t="shared" si="32"/>
        <v>0</v>
      </c>
      <c r="BK35" s="37">
        <f t="shared" si="33"/>
        <v>0</v>
      </c>
      <c r="BL35" s="36" t="s">
        <v>2067</v>
      </c>
      <c r="BM35" s="36" t="s">
        <v>2067</v>
      </c>
      <c r="BN35" s="36" t="s">
        <v>2067</v>
      </c>
      <c r="BO35" s="37">
        <f t="shared" si="34"/>
        <v>0</v>
      </c>
      <c r="BP35" s="37">
        <f t="shared" si="35"/>
        <v>0</v>
      </c>
      <c r="BQ35" s="37">
        <f t="shared" si="36"/>
        <v>0</v>
      </c>
      <c r="BR35" s="37">
        <f t="shared" si="37"/>
        <v>0</v>
      </c>
      <c r="BS35" s="37">
        <f t="shared" si="38"/>
        <v>0</v>
      </c>
      <c r="BT35" s="37">
        <f t="shared" si="39"/>
        <v>0</v>
      </c>
      <c r="BU35" s="36"/>
      <c r="BV35" s="36"/>
      <c r="BW35" s="37"/>
      <c r="BX35" s="37"/>
      <c r="BY35" s="37"/>
      <c r="BZ35" s="37"/>
      <c r="CA35" s="36"/>
      <c r="CB35" s="36"/>
      <c r="CC35" s="37"/>
      <c r="CD35" s="37"/>
      <c r="CE35" s="37"/>
      <c r="CF35" s="37"/>
      <c r="CG35" s="36"/>
      <c r="CH35" s="36"/>
      <c r="CI35" s="37">
        <f t="shared" si="40"/>
        <v>1</v>
      </c>
      <c r="CJ35" s="37">
        <f t="shared" si="41"/>
        <v>0.75</v>
      </c>
      <c r="CK35" s="37">
        <f t="shared" si="42"/>
        <v>0.75</v>
      </c>
      <c r="CL35" s="37">
        <f t="shared" si="43"/>
        <v>0</v>
      </c>
      <c r="CM35" s="37">
        <f t="shared" si="44"/>
        <v>0</v>
      </c>
      <c r="CN35" s="36" t="s">
        <v>2166</v>
      </c>
      <c r="CO35" s="36" t="s">
        <v>2166</v>
      </c>
      <c r="CP35" s="36" t="s">
        <v>2166</v>
      </c>
      <c r="CQ35" s="37">
        <f t="shared" si="45"/>
        <v>1</v>
      </c>
      <c r="CR35" s="37">
        <f t="shared" si="46"/>
        <v>1</v>
      </c>
      <c r="CS35" s="37">
        <f t="shared" si="47"/>
        <v>1</v>
      </c>
      <c r="CT35" s="37">
        <f t="shared" si="48"/>
        <v>0</v>
      </c>
      <c r="CU35" s="37">
        <f t="shared" si="49"/>
        <v>0</v>
      </c>
      <c r="CV35" s="36"/>
      <c r="CW35" s="37">
        <f t="shared" si="50"/>
        <v>0</v>
      </c>
      <c r="CX35" s="37">
        <f t="shared" si="51"/>
        <v>0</v>
      </c>
      <c r="CY35" s="37">
        <f t="shared" si="52"/>
        <v>3.3333333333333339</v>
      </c>
      <c r="CZ35" s="37">
        <f t="shared" si="53"/>
        <v>5</v>
      </c>
      <c r="DA35" s="37">
        <f t="shared" si="54"/>
        <v>0</v>
      </c>
      <c r="DB35" s="37">
        <f t="shared" si="55"/>
        <v>0</v>
      </c>
      <c r="DC35" s="37">
        <f t="shared" si="56"/>
        <v>0</v>
      </c>
      <c r="DD35" s="37">
        <f t="shared" si="57"/>
        <v>0</v>
      </c>
      <c r="DE35" s="37">
        <f t="shared" si="58"/>
        <v>0</v>
      </c>
      <c r="DF35" s="37">
        <f t="shared" si="61"/>
        <v>0</v>
      </c>
      <c r="DG35" s="37">
        <f t="shared" si="59"/>
        <v>0</v>
      </c>
      <c r="DH35" s="37">
        <f t="shared" si="60"/>
        <v>8.3333333333333339</v>
      </c>
    </row>
    <row r="36" spans="1:112" ht="24.75" hidden="1" x14ac:dyDescent="0.25">
      <c r="A36" s="37">
        <v>32</v>
      </c>
      <c r="B36" s="156" t="s">
        <v>2198</v>
      </c>
      <c r="C36" s="37"/>
      <c r="D36" s="37"/>
      <c r="E36" s="37"/>
      <c r="F36" s="37"/>
      <c r="G36" s="37"/>
      <c r="H36" s="37"/>
      <c r="I36" s="37"/>
      <c r="J36" s="53" t="s">
        <v>1947</v>
      </c>
      <c r="K36" s="53" t="s">
        <v>1948</v>
      </c>
      <c r="L36" s="53" t="s">
        <v>1947</v>
      </c>
      <c r="M36" s="61">
        <f t="shared" si="0"/>
        <v>0</v>
      </c>
      <c r="N36" s="61">
        <f t="shared" si="1"/>
        <v>1</v>
      </c>
      <c r="O36" s="61">
        <f t="shared" si="2"/>
        <v>0</v>
      </c>
      <c r="P36" s="61">
        <f t="shared" si="3"/>
        <v>1</v>
      </c>
      <c r="Q36" s="53" t="s">
        <v>2165</v>
      </c>
      <c r="R36" s="53" t="s">
        <v>2165</v>
      </c>
      <c r="S36" s="53" t="s">
        <v>1948</v>
      </c>
      <c r="T36" s="61">
        <f t="shared" si="4"/>
        <v>0</v>
      </c>
      <c r="U36" s="61">
        <f t="shared" si="5"/>
        <v>0</v>
      </c>
      <c r="V36" s="61">
        <f t="shared" si="6"/>
        <v>1</v>
      </c>
      <c r="W36" s="61">
        <f t="shared" si="7"/>
        <v>1</v>
      </c>
      <c r="X36" s="61">
        <f t="shared" si="8"/>
        <v>33.333333333333336</v>
      </c>
      <c r="Y36" s="53" t="s">
        <v>1948</v>
      </c>
      <c r="Z36" s="53" t="s">
        <v>1947</v>
      </c>
      <c r="AA36" s="61">
        <f t="shared" si="9"/>
        <v>1</v>
      </c>
      <c r="AB36" s="61">
        <f t="shared" si="10"/>
        <v>0</v>
      </c>
      <c r="AC36" s="61">
        <f t="shared" si="11"/>
        <v>1</v>
      </c>
      <c r="AD36" s="61">
        <f t="shared" si="12"/>
        <v>50</v>
      </c>
      <c r="AE36" s="53" t="s">
        <v>1947</v>
      </c>
      <c r="AF36" s="53" t="s">
        <v>1947</v>
      </c>
      <c r="AG36" s="53" t="s">
        <v>1947</v>
      </c>
      <c r="AH36" s="53" t="s">
        <v>1947</v>
      </c>
      <c r="AI36" s="53" t="s">
        <v>1947</v>
      </c>
      <c r="AJ36" s="50">
        <f t="shared" si="13"/>
        <v>0</v>
      </c>
      <c r="AK36" s="50">
        <f t="shared" si="14"/>
        <v>0</v>
      </c>
      <c r="AL36" s="50">
        <f t="shared" si="15"/>
        <v>0</v>
      </c>
      <c r="AM36" s="50">
        <f t="shared" si="16"/>
        <v>0</v>
      </c>
      <c r="AN36" s="50">
        <f t="shared" si="17"/>
        <v>0</v>
      </c>
      <c r="AO36" s="50">
        <f t="shared" si="18"/>
        <v>0</v>
      </c>
      <c r="AP36" s="51">
        <f t="shared" si="19"/>
        <v>0</v>
      </c>
      <c r="AQ36" s="51">
        <f t="shared" si="20"/>
        <v>83.333333333333343</v>
      </c>
      <c r="AR36" s="53"/>
      <c r="AS36" s="53"/>
      <c r="AT36" s="53"/>
      <c r="AU36" s="50">
        <f t="shared" si="21"/>
        <v>0</v>
      </c>
      <c r="AV36" s="50">
        <f t="shared" si="22"/>
        <v>0</v>
      </c>
      <c r="AW36" s="50">
        <f t="shared" si="23"/>
        <v>0</v>
      </c>
      <c r="AX36" s="50">
        <f t="shared" si="24"/>
        <v>0</v>
      </c>
      <c r="AY36" s="50">
        <f t="shared" si="25"/>
        <v>0</v>
      </c>
      <c r="AZ36" s="36"/>
      <c r="BA36" s="36"/>
      <c r="BB36" s="36"/>
      <c r="BC36" s="36"/>
      <c r="BD36" s="37">
        <f t="shared" si="26"/>
        <v>0</v>
      </c>
      <c r="BE36" s="37">
        <f t="shared" si="27"/>
        <v>0</v>
      </c>
      <c r="BF36" s="37">
        <f t="shared" si="28"/>
        <v>0</v>
      </c>
      <c r="BG36" s="37">
        <f t="shared" si="29"/>
        <v>0</v>
      </c>
      <c r="BH36" s="37">
        <f t="shared" si="30"/>
        <v>0</v>
      </c>
      <c r="BI36" s="37">
        <f t="shared" si="31"/>
        <v>0</v>
      </c>
      <c r="BJ36" s="37">
        <f t="shared" si="32"/>
        <v>0</v>
      </c>
      <c r="BK36" s="37">
        <f t="shared" si="33"/>
        <v>0</v>
      </c>
      <c r="BL36" s="36" t="s">
        <v>2067</v>
      </c>
      <c r="BM36" s="36" t="s">
        <v>2067</v>
      </c>
      <c r="BN36" s="36" t="s">
        <v>2067</v>
      </c>
      <c r="BO36" s="37">
        <f t="shared" si="34"/>
        <v>0</v>
      </c>
      <c r="BP36" s="37">
        <f t="shared" si="35"/>
        <v>0</v>
      </c>
      <c r="BQ36" s="37">
        <f t="shared" si="36"/>
        <v>0</v>
      </c>
      <c r="BR36" s="37">
        <f t="shared" si="37"/>
        <v>0</v>
      </c>
      <c r="BS36" s="37">
        <f t="shared" si="38"/>
        <v>0</v>
      </c>
      <c r="BT36" s="37">
        <f t="shared" si="39"/>
        <v>0</v>
      </c>
      <c r="BU36" s="36"/>
      <c r="BV36" s="36"/>
      <c r="BW36" s="37"/>
      <c r="BX36" s="37"/>
      <c r="BY36" s="37"/>
      <c r="BZ36" s="37"/>
      <c r="CA36" s="36"/>
      <c r="CB36" s="36"/>
      <c r="CC36" s="37"/>
      <c r="CD36" s="37"/>
      <c r="CE36" s="37"/>
      <c r="CF36" s="37"/>
      <c r="CG36" s="36"/>
      <c r="CH36" s="36"/>
      <c r="CI36" s="37">
        <f t="shared" si="40"/>
        <v>1</v>
      </c>
      <c r="CJ36" s="37">
        <f t="shared" si="41"/>
        <v>0.75</v>
      </c>
      <c r="CK36" s="37">
        <f t="shared" si="42"/>
        <v>0.75</v>
      </c>
      <c r="CL36" s="37">
        <f t="shared" si="43"/>
        <v>0</v>
      </c>
      <c r="CM36" s="37">
        <f t="shared" si="44"/>
        <v>0</v>
      </c>
      <c r="CN36" s="36" t="s">
        <v>2166</v>
      </c>
      <c r="CO36" s="36" t="s">
        <v>2166</v>
      </c>
      <c r="CP36" s="36" t="s">
        <v>2166</v>
      </c>
      <c r="CQ36" s="37">
        <f t="shared" si="45"/>
        <v>1</v>
      </c>
      <c r="CR36" s="37">
        <f t="shared" si="46"/>
        <v>1</v>
      </c>
      <c r="CS36" s="37">
        <f t="shared" si="47"/>
        <v>1</v>
      </c>
      <c r="CT36" s="37">
        <f t="shared" si="48"/>
        <v>0</v>
      </c>
      <c r="CU36" s="37">
        <f t="shared" si="49"/>
        <v>0</v>
      </c>
      <c r="CV36" s="36"/>
      <c r="CW36" s="37">
        <f t="shared" si="50"/>
        <v>0</v>
      </c>
      <c r="CX36" s="37">
        <f t="shared" si="51"/>
        <v>0</v>
      </c>
      <c r="CY36" s="37">
        <f t="shared" si="52"/>
        <v>3.3333333333333339</v>
      </c>
      <c r="CZ36" s="37">
        <f t="shared" si="53"/>
        <v>5</v>
      </c>
      <c r="DA36" s="37">
        <f t="shared" si="54"/>
        <v>0</v>
      </c>
      <c r="DB36" s="37">
        <f t="shared" si="55"/>
        <v>0</v>
      </c>
      <c r="DC36" s="37">
        <f t="shared" si="56"/>
        <v>0</v>
      </c>
      <c r="DD36" s="37">
        <f t="shared" si="57"/>
        <v>0</v>
      </c>
      <c r="DE36" s="37">
        <f t="shared" si="58"/>
        <v>0</v>
      </c>
      <c r="DF36" s="37">
        <f t="shared" si="61"/>
        <v>0</v>
      </c>
      <c r="DG36" s="37">
        <f t="shared" si="59"/>
        <v>0</v>
      </c>
      <c r="DH36" s="37">
        <f t="shared" si="60"/>
        <v>8.3333333333333339</v>
      </c>
    </row>
    <row r="37" spans="1:112" ht="36.75" hidden="1" x14ac:dyDescent="0.25">
      <c r="A37" s="37">
        <v>33</v>
      </c>
      <c r="B37" s="156" t="s">
        <v>2199</v>
      </c>
      <c r="C37" s="37"/>
      <c r="D37" s="37"/>
      <c r="E37" s="37"/>
      <c r="F37" s="37"/>
      <c r="G37" s="37"/>
      <c r="H37" s="37"/>
      <c r="I37" s="37"/>
      <c r="J37" s="53" t="s">
        <v>1947</v>
      </c>
      <c r="K37" s="53" t="s">
        <v>1948</v>
      </c>
      <c r="L37" s="53" t="s">
        <v>1947</v>
      </c>
      <c r="M37" s="61">
        <f t="shared" ref="M37:M68" si="62">IF(J37="SI",1,0)</f>
        <v>0</v>
      </c>
      <c r="N37" s="61">
        <f t="shared" ref="N37:N68" si="63">IF(K37="SI",1,0)</f>
        <v>1</v>
      </c>
      <c r="O37" s="61">
        <f t="shared" ref="O37:O68" si="64">IF(L37="SI",1,0)</f>
        <v>0</v>
      </c>
      <c r="P37" s="61">
        <f t="shared" ref="P37:P68" si="65">SUM(M37:O37)</f>
        <v>1</v>
      </c>
      <c r="Q37" s="53" t="s">
        <v>2165</v>
      </c>
      <c r="R37" s="53" t="s">
        <v>2165</v>
      </c>
      <c r="S37" s="53" t="s">
        <v>1948</v>
      </c>
      <c r="T37" s="61">
        <f t="shared" ref="T37:T68" si="66">IF(Q37="MUCHO",1,0)</f>
        <v>0</v>
      </c>
      <c r="U37" s="61">
        <f t="shared" ref="U37:U68" si="67">IF(R37="MUCHO",1,0)</f>
        <v>0</v>
      </c>
      <c r="V37" s="61">
        <f t="shared" ref="V37:V68" si="68">IF(S37="SI",1,0)</f>
        <v>1</v>
      </c>
      <c r="W37" s="61">
        <f t="shared" ref="W37:W68" si="69">SUM(T37:V37)</f>
        <v>1</v>
      </c>
      <c r="X37" s="61">
        <f t="shared" ref="X37:X68" si="70">((W37+P37)*100)/6</f>
        <v>33.333333333333336</v>
      </c>
      <c r="Y37" s="53" t="s">
        <v>1948</v>
      </c>
      <c r="Z37" s="53" t="s">
        <v>1947</v>
      </c>
      <c r="AA37" s="61">
        <f t="shared" ref="AA37:AA68" si="71">IF(Y37="SI",1,0)</f>
        <v>1</v>
      </c>
      <c r="AB37" s="61">
        <f t="shared" ref="AB37:AB68" si="72">IF(Z37="SI",1,0)</f>
        <v>0</v>
      </c>
      <c r="AC37" s="61">
        <f t="shared" ref="AC37:AC68" si="73">SUM(AA37:AB37)</f>
        <v>1</v>
      </c>
      <c r="AD37" s="61">
        <f t="shared" ref="AD37:AD68" si="74">((AA37+AB37)*100)/2</f>
        <v>50</v>
      </c>
      <c r="AE37" s="53" t="s">
        <v>1947</v>
      </c>
      <c r="AF37" s="53" t="s">
        <v>1947</v>
      </c>
      <c r="AG37" s="53" t="s">
        <v>1947</v>
      </c>
      <c r="AH37" s="53" t="s">
        <v>1947</v>
      </c>
      <c r="AI37" s="53" t="s">
        <v>1947</v>
      </c>
      <c r="AJ37" s="50">
        <f t="shared" ref="AJ37:AJ68" si="75">IF(AE37="SI",1,0)</f>
        <v>0</v>
      </c>
      <c r="AK37" s="50">
        <f t="shared" ref="AK37:AK68" si="76">IF(AF37="SI",1,0)</f>
        <v>0</v>
      </c>
      <c r="AL37" s="50">
        <f t="shared" ref="AL37:AL68" si="77">IF(AG37="SI",1,0)</f>
        <v>0</v>
      </c>
      <c r="AM37" s="50">
        <f t="shared" ref="AM37:AM68" si="78">IF(AH37="SI",1,0)</f>
        <v>0</v>
      </c>
      <c r="AN37" s="50">
        <f t="shared" ref="AN37:AN68" si="79">IF(AI37="SI",1,0)</f>
        <v>0</v>
      </c>
      <c r="AO37" s="50">
        <f t="shared" ref="AO37:AO68" si="80">SUM(AJ37:AN37)</f>
        <v>0</v>
      </c>
      <c r="AP37" s="51">
        <f t="shared" ref="AP37:AP68" si="81">((SUM(AJ37:AN37))*100)/5</f>
        <v>0</v>
      </c>
      <c r="AQ37" s="51">
        <f t="shared" ref="AQ37:AQ68" si="82">SUM(AP37,AD37,X37)</f>
        <v>83.333333333333343</v>
      </c>
      <c r="AR37" s="53"/>
      <c r="AS37" s="53"/>
      <c r="AT37" s="53"/>
      <c r="AU37" s="50">
        <f t="shared" ref="AU37:AU68" si="83">IF(AR37="SI",1,0)</f>
        <v>0</v>
      </c>
      <c r="AV37" s="50">
        <f t="shared" ref="AV37:AV68" si="84">IF(AS37="SI",1,0)</f>
        <v>0</v>
      </c>
      <c r="AW37" s="50">
        <f t="shared" ref="AW37:AW68" si="85">IF(AT37="SI",1,0)</f>
        <v>0</v>
      </c>
      <c r="AX37" s="50">
        <f t="shared" ref="AX37:AX68" si="86">SUM(AU37:AW37)</f>
        <v>0</v>
      </c>
      <c r="AY37" s="50">
        <f t="shared" ref="AY37:AY68" si="87">((SUM(AU37:AW37))*100)/3</f>
        <v>0</v>
      </c>
      <c r="AZ37" s="36"/>
      <c r="BA37" s="36"/>
      <c r="BB37" s="36"/>
      <c r="BC37" s="36"/>
      <c r="BD37" s="37">
        <f t="shared" ref="BD37:BD68" si="88">IF(IF(AZ37="ALTO",3,IF(AZ37="MEDIO",2,IF(AZ37="BAJO",1,0)))&gt;=1,IF(AZ37="ALTO",3,IF(AZ37="MEDIO",2,IF(AZ37="BAJO",1,0))),0)</f>
        <v>0</v>
      </c>
      <c r="BE37" s="37">
        <f t="shared" ref="BE37:BE68" si="89">IF(IF(BA37="ALTO",100,IF(BA37="MEDIO",50,IF(BA37="BAJO",25,0)))&gt;=50,IF(BA37="ALTO",100,IF(BA37="MEDIO",50,IF(BA37="BAJO",25,0))),0)</f>
        <v>0</v>
      </c>
      <c r="BF37" s="37">
        <f t="shared" ref="BF37:BF68" si="90">IF(IF(BB37="ALTO",100,IF(BB37="MEDIO",50,IF(BB37="BAJO",25,0)))&gt;=50,IF(BB37="ALTO",100,IF(BB37="MEDIO",50,IF(BB37="BAJO",25,0))),0)</f>
        <v>0</v>
      </c>
      <c r="BG37" s="37">
        <f t="shared" ref="BG37:BG68" si="91">IF(IF(BC37="ALTO",100,IF(BC37="MEDIO",50,IF(BC37="BAJO",25,0)))&gt;=50,IF(BC37="ALTO",100,IF(BC37="MEDIO",50,IF(BC37="BAJO",25,0))),0)</f>
        <v>0</v>
      </c>
      <c r="BH37" s="37">
        <f t="shared" ref="BH37:BH68" si="92">(BD37/3)*100</f>
        <v>0</v>
      </c>
      <c r="BI37" s="37">
        <f t="shared" ref="BI37:BI68" si="93">(SUM(BE37:BG37)/300)*100</f>
        <v>0</v>
      </c>
      <c r="BJ37" s="37">
        <f t="shared" ref="BJ37:BJ68" si="94">SUM(BH37:BI37)</f>
        <v>0</v>
      </c>
      <c r="BK37" s="37">
        <f t="shared" ref="BK37:BK68" si="95">(BJ37*100)/200</f>
        <v>0</v>
      </c>
      <c r="BL37" s="36" t="s">
        <v>2067</v>
      </c>
      <c r="BM37" s="36" t="s">
        <v>2067</v>
      </c>
      <c r="BN37" s="36" t="s">
        <v>2067</v>
      </c>
      <c r="BO37" s="37">
        <f t="shared" ref="BO37:BO68" si="96">IF(IF(BL37="ALTO",1,IF(BL37="MEDIO",2,3))&gt;=2,IF(BL37="ALTO",1,IF(BL37="MEDIO",2,3)),0)</f>
        <v>0</v>
      </c>
      <c r="BP37" s="37">
        <f t="shared" ref="BP37:BP68" si="97">IF(IF(BM37="ALTO",1,IF(BM37="MEDIO",2,IF(BM37="BAJO",3,4)))&gt;=3,IF(BM37="ALTO",1,IF(BM37="MEDIO",2,IF(BM37="BAJO",3,4))),0)</f>
        <v>0</v>
      </c>
      <c r="BQ37" s="37">
        <f t="shared" ref="BQ37:BQ68" si="98">IF(IF(BN37="ALTO",1,IF(BN37="MEDIO",2,IF(BN37="BAJO",3,4)))&gt;=3,IF(BN37="ALTO",1,IF(BN37="MEDIO",2,IF(BN37="BAJO",3,4))),0)</f>
        <v>0</v>
      </c>
      <c r="BR37" s="37">
        <f t="shared" ref="BR37:BR68" si="99">(BO37/3)*100</f>
        <v>0</v>
      </c>
      <c r="BS37" s="37">
        <f t="shared" ref="BS37:BS68" si="100">(SUM(BP37:BQ37)/8)*100</f>
        <v>0</v>
      </c>
      <c r="BT37" s="37">
        <f t="shared" ref="BT37:BT68" si="101">(SUM(BR37:BS37)*100)/200</f>
        <v>0</v>
      </c>
      <c r="BU37" s="36"/>
      <c r="BV37" s="36"/>
      <c r="BW37" s="37"/>
      <c r="BX37" s="37"/>
      <c r="BY37" s="37"/>
      <c r="BZ37" s="37"/>
      <c r="CA37" s="36"/>
      <c r="CB37" s="36"/>
      <c r="CC37" s="37"/>
      <c r="CD37" s="37"/>
      <c r="CE37" s="37"/>
      <c r="CF37" s="37"/>
      <c r="CG37" s="36"/>
      <c r="CH37" s="36"/>
      <c r="CI37" s="37">
        <f t="shared" ref="CI37:CI68" si="102">IF(CG37="ALTO",3,IF(CG37="MEDIO",2,1))</f>
        <v>1</v>
      </c>
      <c r="CJ37" s="37">
        <f t="shared" ref="CJ37:CJ68" si="103">IF(CH37="ALTO",2.25,IF(CH37="MEDIO",1.5,0.75))</f>
        <v>0.75</v>
      </c>
      <c r="CK37" s="37">
        <f t="shared" ref="CK37:CK68" si="104">IF(CI37=1,CJ37,CI37)</f>
        <v>0.75</v>
      </c>
      <c r="CL37" s="37">
        <f t="shared" ref="CL37:CL68" si="105">IF(CK37&gt;=2,CK37,0)</f>
        <v>0</v>
      </c>
      <c r="CM37" s="37">
        <f t="shared" ref="CM37:CM68" si="106">((CL37+CF37+BZ37)*100)/9</f>
        <v>0</v>
      </c>
      <c r="CN37" s="36" t="s">
        <v>2166</v>
      </c>
      <c r="CO37" s="36" t="s">
        <v>2166</v>
      </c>
      <c r="CP37" s="36" t="s">
        <v>2166</v>
      </c>
      <c r="CQ37" s="37">
        <f t="shared" ref="CQ37:CQ68" si="107">IF(CN37="ALTA",1,IF(CN37="MEDIA",2,3))</f>
        <v>1</v>
      </c>
      <c r="CR37" s="37">
        <f t="shared" ref="CR37:CR68" si="108">IF(CO37="ALTA",1,IF(CO37="MEDIA",2,3))</f>
        <v>1</v>
      </c>
      <c r="CS37" s="37">
        <f t="shared" ref="CS37:CS68" si="109">IF(CP37="ALTA",1,IF(CP37="MEDIA",2,3))</f>
        <v>1</v>
      </c>
      <c r="CT37" s="37">
        <f t="shared" ref="CT37:CT68" si="110">IF(SUM(CQ37:CS37)&gt;=7,SUM(CQ37:CS37),0)</f>
        <v>0</v>
      </c>
      <c r="CU37" s="37">
        <f t="shared" ref="CU37:CU68" si="111">((CT37)*100)/9</f>
        <v>0</v>
      </c>
      <c r="CV37" s="36"/>
      <c r="CW37" s="37">
        <f t="shared" ref="CW37:CW68" si="112">IF(IF(CV37="ALTO",4,IF(CV37="MEDIO",3,IF(CV37="BAJO",2,1)))&gt;=3,IF(CV37="ALTO",4,IF(CV37="MEDIO",3,IF(CV37="BAJO",2,1))),0)</f>
        <v>0</v>
      </c>
      <c r="CX37" s="37">
        <f t="shared" ref="CX37:CX68" si="113">(CW37*100)/4</f>
        <v>0</v>
      </c>
      <c r="CY37" s="37">
        <f t="shared" ref="CY37:CY68" si="114">X37*CY$3</f>
        <v>3.3333333333333339</v>
      </c>
      <c r="CZ37" s="37">
        <f t="shared" ref="CZ37:CZ68" si="115">AD37*CZ$3</f>
        <v>5</v>
      </c>
      <c r="DA37" s="37">
        <f t="shared" ref="DA37:DA68" si="116">AP37*DA$3</f>
        <v>0</v>
      </c>
      <c r="DB37" s="37">
        <f t="shared" ref="DB37:DB68" si="117">AY37*DB$3</f>
        <v>0</v>
      </c>
      <c r="DC37" s="37">
        <f t="shared" ref="DC37:DC68" si="118">BK37*DC$3</f>
        <v>0</v>
      </c>
      <c r="DD37" s="37">
        <f t="shared" ref="DD37:DD68" si="119">BT37*DD$3</f>
        <v>0</v>
      </c>
      <c r="DE37" s="37">
        <f t="shared" ref="DE37:DE68" si="120">CM37*DE$3</f>
        <v>0</v>
      </c>
      <c r="DF37" s="37">
        <f t="shared" si="61"/>
        <v>0</v>
      </c>
      <c r="DG37" s="37">
        <f t="shared" ref="DG37:DG68" si="121">CX37*DG$3</f>
        <v>0</v>
      </c>
      <c r="DH37" s="37">
        <f t="shared" ref="DH37:DH68" si="122">SUM(CY37:DG37)</f>
        <v>8.3333333333333339</v>
      </c>
    </row>
    <row r="38" spans="1:112" ht="24.75" hidden="1" x14ac:dyDescent="0.25">
      <c r="A38" s="37">
        <v>34</v>
      </c>
      <c r="B38" s="156" t="s">
        <v>2200</v>
      </c>
      <c r="C38" s="37"/>
      <c r="D38" s="37"/>
      <c r="E38" s="37"/>
      <c r="F38" s="37"/>
      <c r="G38" s="37"/>
      <c r="H38" s="37"/>
      <c r="I38" s="37"/>
      <c r="J38" s="53" t="s">
        <v>1947</v>
      </c>
      <c r="K38" s="53" t="s">
        <v>1948</v>
      </c>
      <c r="L38" s="53" t="s">
        <v>1947</v>
      </c>
      <c r="M38" s="61">
        <f t="shared" si="62"/>
        <v>0</v>
      </c>
      <c r="N38" s="61">
        <f t="shared" si="63"/>
        <v>1</v>
      </c>
      <c r="O38" s="61">
        <f t="shared" si="64"/>
        <v>0</v>
      </c>
      <c r="P38" s="61">
        <f t="shared" si="65"/>
        <v>1</v>
      </c>
      <c r="Q38" s="53" t="s">
        <v>2165</v>
      </c>
      <c r="R38" s="53" t="s">
        <v>2165</v>
      </c>
      <c r="S38" s="53" t="s">
        <v>1948</v>
      </c>
      <c r="T38" s="61">
        <f t="shared" si="66"/>
        <v>0</v>
      </c>
      <c r="U38" s="61">
        <f t="shared" si="67"/>
        <v>0</v>
      </c>
      <c r="V38" s="61">
        <f t="shared" si="68"/>
        <v>1</v>
      </c>
      <c r="W38" s="61">
        <f t="shared" si="69"/>
        <v>1</v>
      </c>
      <c r="X38" s="61">
        <f t="shared" si="70"/>
        <v>33.333333333333336</v>
      </c>
      <c r="Y38" s="53" t="s">
        <v>1948</v>
      </c>
      <c r="Z38" s="53" t="s">
        <v>1947</v>
      </c>
      <c r="AA38" s="61">
        <f t="shared" si="71"/>
        <v>1</v>
      </c>
      <c r="AB38" s="61">
        <f t="shared" si="72"/>
        <v>0</v>
      </c>
      <c r="AC38" s="61">
        <f t="shared" si="73"/>
        <v>1</v>
      </c>
      <c r="AD38" s="61">
        <f t="shared" si="74"/>
        <v>50</v>
      </c>
      <c r="AE38" s="53" t="s">
        <v>1947</v>
      </c>
      <c r="AF38" s="53" t="s">
        <v>1947</v>
      </c>
      <c r="AG38" s="53" t="s">
        <v>1947</v>
      </c>
      <c r="AH38" s="53" t="s">
        <v>1947</v>
      </c>
      <c r="AI38" s="53" t="s">
        <v>1947</v>
      </c>
      <c r="AJ38" s="50">
        <f t="shared" si="75"/>
        <v>0</v>
      </c>
      <c r="AK38" s="50">
        <f t="shared" si="76"/>
        <v>0</v>
      </c>
      <c r="AL38" s="50">
        <f t="shared" si="77"/>
        <v>0</v>
      </c>
      <c r="AM38" s="50">
        <f t="shared" si="78"/>
        <v>0</v>
      </c>
      <c r="AN38" s="50">
        <f t="shared" si="79"/>
        <v>0</v>
      </c>
      <c r="AO38" s="50">
        <f t="shared" si="80"/>
        <v>0</v>
      </c>
      <c r="AP38" s="51">
        <f t="shared" si="81"/>
        <v>0</v>
      </c>
      <c r="AQ38" s="51">
        <f t="shared" si="82"/>
        <v>83.333333333333343</v>
      </c>
      <c r="AR38" s="53"/>
      <c r="AS38" s="53"/>
      <c r="AT38" s="53"/>
      <c r="AU38" s="50">
        <f t="shared" si="83"/>
        <v>0</v>
      </c>
      <c r="AV38" s="50">
        <f t="shared" si="84"/>
        <v>0</v>
      </c>
      <c r="AW38" s="50">
        <f t="shared" si="85"/>
        <v>0</v>
      </c>
      <c r="AX38" s="50">
        <f t="shared" si="86"/>
        <v>0</v>
      </c>
      <c r="AY38" s="50">
        <f t="shared" si="87"/>
        <v>0</v>
      </c>
      <c r="AZ38" s="36"/>
      <c r="BA38" s="36"/>
      <c r="BB38" s="36"/>
      <c r="BC38" s="36"/>
      <c r="BD38" s="37">
        <f t="shared" si="88"/>
        <v>0</v>
      </c>
      <c r="BE38" s="37">
        <f t="shared" si="89"/>
        <v>0</v>
      </c>
      <c r="BF38" s="37">
        <f t="shared" si="90"/>
        <v>0</v>
      </c>
      <c r="BG38" s="37">
        <f t="shared" si="91"/>
        <v>0</v>
      </c>
      <c r="BH38" s="37">
        <f t="shared" si="92"/>
        <v>0</v>
      </c>
      <c r="BI38" s="37">
        <f t="shared" si="93"/>
        <v>0</v>
      </c>
      <c r="BJ38" s="37">
        <f t="shared" si="94"/>
        <v>0</v>
      </c>
      <c r="BK38" s="37">
        <f t="shared" si="95"/>
        <v>0</v>
      </c>
      <c r="BL38" s="36" t="s">
        <v>2067</v>
      </c>
      <c r="BM38" s="36" t="s">
        <v>2067</v>
      </c>
      <c r="BN38" s="36" t="s">
        <v>2067</v>
      </c>
      <c r="BO38" s="37">
        <f t="shared" si="96"/>
        <v>0</v>
      </c>
      <c r="BP38" s="37">
        <f t="shared" si="97"/>
        <v>0</v>
      </c>
      <c r="BQ38" s="37">
        <f t="shared" si="98"/>
        <v>0</v>
      </c>
      <c r="BR38" s="37">
        <f t="shared" si="99"/>
        <v>0</v>
      </c>
      <c r="BS38" s="37">
        <f t="shared" si="100"/>
        <v>0</v>
      </c>
      <c r="BT38" s="37">
        <f t="shared" si="101"/>
        <v>0</v>
      </c>
      <c r="BU38" s="36"/>
      <c r="BV38" s="36"/>
      <c r="BW38" s="37"/>
      <c r="BX38" s="37"/>
      <c r="BY38" s="37"/>
      <c r="BZ38" s="37"/>
      <c r="CA38" s="36"/>
      <c r="CB38" s="36"/>
      <c r="CC38" s="37"/>
      <c r="CD38" s="37"/>
      <c r="CE38" s="37"/>
      <c r="CF38" s="37"/>
      <c r="CG38" s="36"/>
      <c r="CH38" s="36"/>
      <c r="CI38" s="37">
        <f t="shared" si="102"/>
        <v>1</v>
      </c>
      <c r="CJ38" s="37">
        <f t="shared" si="103"/>
        <v>0.75</v>
      </c>
      <c r="CK38" s="37">
        <f t="shared" si="104"/>
        <v>0.75</v>
      </c>
      <c r="CL38" s="37">
        <f t="shared" si="105"/>
        <v>0</v>
      </c>
      <c r="CM38" s="37">
        <f t="shared" si="106"/>
        <v>0</v>
      </c>
      <c r="CN38" s="36" t="s">
        <v>2166</v>
      </c>
      <c r="CO38" s="36" t="s">
        <v>2166</v>
      </c>
      <c r="CP38" s="36" t="s">
        <v>2166</v>
      </c>
      <c r="CQ38" s="37">
        <f t="shared" si="107"/>
        <v>1</v>
      </c>
      <c r="CR38" s="37">
        <f t="shared" si="108"/>
        <v>1</v>
      </c>
      <c r="CS38" s="37">
        <f t="shared" si="109"/>
        <v>1</v>
      </c>
      <c r="CT38" s="37">
        <f t="shared" si="110"/>
        <v>0</v>
      </c>
      <c r="CU38" s="37">
        <f t="shared" si="111"/>
        <v>0</v>
      </c>
      <c r="CV38" s="36"/>
      <c r="CW38" s="37">
        <f t="shared" si="112"/>
        <v>0</v>
      </c>
      <c r="CX38" s="37">
        <f t="shared" si="113"/>
        <v>0</v>
      </c>
      <c r="CY38" s="37">
        <f t="shared" si="114"/>
        <v>3.3333333333333339</v>
      </c>
      <c r="CZ38" s="37">
        <f t="shared" si="115"/>
        <v>5</v>
      </c>
      <c r="DA38" s="37">
        <f t="shared" si="116"/>
        <v>0</v>
      </c>
      <c r="DB38" s="37">
        <f t="shared" si="117"/>
        <v>0</v>
      </c>
      <c r="DC38" s="37">
        <f t="shared" si="118"/>
        <v>0</v>
      </c>
      <c r="DD38" s="37">
        <f t="shared" si="119"/>
        <v>0</v>
      </c>
      <c r="DE38" s="37">
        <f t="shared" si="120"/>
        <v>0</v>
      </c>
      <c r="DF38" s="37">
        <f t="shared" ref="DF38:DF69" si="123">BK38*DF$3</f>
        <v>0</v>
      </c>
      <c r="DG38" s="37">
        <f t="shared" si="121"/>
        <v>0</v>
      </c>
      <c r="DH38" s="37">
        <f t="shared" si="122"/>
        <v>8.3333333333333339</v>
      </c>
    </row>
    <row r="39" spans="1:112" ht="24.75" hidden="1" x14ac:dyDescent="0.25">
      <c r="A39" s="37">
        <v>35</v>
      </c>
      <c r="B39" s="156" t="s">
        <v>2201</v>
      </c>
      <c r="C39" s="37"/>
      <c r="D39" s="37"/>
      <c r="E39" s="37"/>
      <c r="F39" s="37"/>
      <c r="G39" s="37"/>
      <c r="H39" s="37"/>
      <c r="I39" s="37"/>
      <c r="J39" s="53" t="s">
        <v>1947</v>
      </c>
      <c r="K39" s="53" t="s">
        <v>1948</v>
      </c>
      <c r="L39" s="53" t="s">
        <v>1947</v>
      </c>
      <c r="M39" s="61">
        <f t="shared" si="62"/>
        <v>0</v>
      </c>
      <c r="N39" s="61">
        <f t="shared" si="63"/>
        <v>1</v>
      </c>
      <c r="O39" s="61">
        <f t="shared" si="64"/>
        <v>0</v>
      </c>
      <c r="P39" s="61">
        <f t="shared" si="65"/>
        <v>1</v>
      </c>
      <c r="Q39" s="53" t="s">
        <v>2165</v>
      </c>
      <c r="R39" s="53" t="s">
        <v>2165</v>
      </c>
      <c r="S39" s="53" t="s">
        <v>1948</v>
      </c>
      <c r="T39" s="61">
        <f t="shared" si="66"/>
        <v>0</v>
      </c>
      <c r="U39" s="61">
        <f t="shared" si="67"/>
        <v>0</v>
      </c>
      <c r="V39" s="61">
        <f t="shared" si="68"/>
        <v>1</v>
      </c>
      <c r="W39" s="61">
        <f t="shared" si="69"/>
        <v>1</v>
      </c>
      <c r="X39" s="61">
        <f t="shared" si="70"/>
        <v>33.333333333333336</v>
      </c>
      <c r="Y39" s="53" t="s">
        <v>1948</v>
      </c>
      <c r="Z39" s="53" t="s">
        <v>1947</v>
      </c>
      <c r="AA39" s="61">
        <f t="shared" si="71"/>
        <v>1</v>
      </c>
      <c r="AB39" s="61">
        <f t="shared" si="72"/>
        <v>0</v>
      </c>
      <c r="AC39" s="61">
        <f t="shared" si="73"/>
        <v>1</v>
      </c>
      <c r="AD39" s="61">
        <f t="shared" si="74"/>
        <v>50</v>
      </c>
      <c r="AE39" s="53" t="s">
        <v>1947</v>
      </c>
      <c r="AF39" s="53" t="s">
        <v>1947</v>
      </c>
      <c r="AG39" s="53" t="s">
        <v>1947</v>
      </c>
      <c r="AH39" s="53" t="s">
        <v>1947</v>
      </c>
      <c r="AI39" s="53" t="s">
        <v>1947</v>
      </c>
      <c r="AJ39" s="50">
        <f t="shared" si="75"/>
        <v>0</v>
      </c>
      <c r="AK39" s="50">
        <f t="shared" si="76"/>
        <v>0</v>
      </c>
      <c r="AL39" s="50">
        <f t="shared" si="77"/>
        <v>0</v>
      </c>
      <c r="AM39" s="50">
        <f t="shared" si="78"/>
        <v>0</v>
      </c>
      <c r="AN39" s="50">
        <f t="shared" si="79"/>
        <v>0</v>
      </c>
      <c r="AO39" s="50">
        <f t="shared" si="80"/>
        <v>0</v>
      </c>
      <c r="AP39" s="51">
        <f t="shared" si="81"/>
        <v>0</v>
      </c>
      <c r="AQ39" s="51">
        <f t="shared" si="82"/>
        <v>83.333333333333343</v>
      </c>
      <c r="AR39" s="53"/>
      <c r="AS39" s="53"/>
      <c r="AT39" s="53"/>
      <c r="AU39" s="50">
        <f t="shared" si="83"/>
        <v>0</v>
      </c>
      <c r="AV39" s="50">
        <f t="shared" si="84"/>
        <v>0</v>
      </c>
      <c r="AW39" s="50">
        <f t="shared" si="85"/>
        <v>0</v>
      </c>
      <c r="AX39" s="50">
        <f t="shared" si="86"/>
        <v>0</v>
      </c>
      <c r="AY39" s="50">
        <f t="shared" si="87"/>
        <v>0</v>
      </c>
      <c r="AZ39" s="36"/>
      <c r="BA39" s="36"/>
      <c r="BB39" s="36"/>
      <c r="BC39" s="36"/>
      <c r="BD39" s="37">
        <f t="shared" si="88"/>
        <v>0</v>
      </c>
      <c r="BE39" s="37">
        <f t="shared" si="89"/>
        <v>0</v>
      </c>
      <c r="BF39" s="37">
        <f t="shared" si="90"/>
        <v>0</v>
      </c>
      <c r="BG39" s="37">
        <f t="shared" si="91"/>
        <v>0</v>
      </c>
      <c r="BH39" s="37">
        <f t="shared" si="92"/>
        <v>0</v>
      </c>
      <c r="BI39" s="37">
        <f t="shared" si="93"/>
        <v>0</v>
      </c>
      <c r="BJ39" s="37">
        <f t="shared" si="94"/>
        <v>0</v>
      </c>
      <c r="BK39" s="37">
        <f t="shared" si="95"/>
        <v>0</v>
      </c>
      <c r="BL39" s="36" t="s">
        <v>2067</v>
      </c>
      <c r="BM39" s="36" t="s">
        <v>2067</v>
      </c>
      <c r="BN39" s="36" t="s">
        <v>2067</v>
      </c>
      <c r="BO39" s="37">
        <f t="shared" si="96"/>
        <v>0</v>
      </c>
      <c r="BP39" s="37">
        <f t="shared" si="97"/>
        <v>0</v>
      </c>
      <c r="BQ39" s="37">
        <f t="shared" si="98"/>
        <v>0</v>
      </c>
      <c r="BR39" s="37">
        <f t="shared" si="99"/>
        <v>0</v>
      </c>
      <c r="BS39" s="37">
        <f t="shared" si="100"/>
        <v>0</v>
      </c>
      <c r="BT39" s="37">
        <f t="shared" si="101"/>
        <v>0</v>
      </c>
      <c r="BU39" s="36"/>
      <c r="BV39" s="36"/>
      <c r="BW39" s="37"/>
      <c r="BX39" s="37"/>
      <c r="BY39" s="37"/>
      <c r="BZ39" s="37"/>
      <c r="CA39" s="36"/>
      <c r="CB39" s="36"/>
      <c r="CC39" s="37"/>
      <c r="CD39" s="37"/>
      <c r="CE39" s="37"/>
      <c r="CF39" s="37"/>
      <c r="CG39" s="36"/>
      <c r="CH39" s="36"/>
      <c r="CI39" s="37">
        <f t="shared" si="102"/>
        <v>1</v>
      </c>
      <c r="CJ39" s="37">
        <f t="shared" si="103"/>
        <v>0.75</v>
      </c>
      <c r="CK39" s="37">
        <f t="shared" si="104"/>
        <v>0.75</v>
      </c>
      <c r="CL39" s="37">
        <f t="shared" si="105"/>
        <v>0</v>
      </c>
      <c r="CM39" s="37">
        <f t="shared" si="106"/>
        <v>0</v>
      </c>
      <c r="CN39" s="36" t="s">
        <v>2166</v>
      </c>
      <c r="CO39" s="36" t="s">
        <v>2166</v>
      </c>
      <c r="CP39" s="36" t="s">
        <v>2166</v>
      </c>
      <c r="CQ39" s="37">
        <f t="shared" si="107"/>
        <v>1</v>
      </c>
      <c r="CR39" s="37">
        <f t="shared" si="108"/>
        <v>1</v>
      </c>
      <c r="CS39" s="37">
        <f t="shared" si="109"/>
        <v>1</v>
      </c>
      <c r="CT39" s="37">
        <f t="shared" si="110"/>
        <v>0</v>
      </c>
      <c r="CU39" s="37">
        <f t="shared" si="111"/>
        <v>0</v>
      </c>
      <c r="CV39" s="36"/>
      <c r="CW39" s="37">
        <f t="shared" si="112"/>
        <v>0</v>
      </c>
      <c r="CX39" s="37">
        <f t="shared" si="113"/>
        <v>0</v>
      </c>
      <c r="CY39" s="37">
        <f t="shared" si="114"/>
        <v>3.3333333333333339</v>
      </c>
      <c r="CZ39" s="37">
        <f t="shared" si="115"/>
        <v>5</v>
      </c>
      <c r="DA39" s="37">
        <f t="shared" si="116"/>
        <v>0</v>
      </c>
      <c r="DB39" s="37">
        <f t="shared" si="117"/>
        <v>0</v>
      </c>
      <c r="DC39" s="37">
        <f t="shared" si="118"/>
        <v>0</v>
      </c>
      <c r="DD39" s="37">
        <f t="shared" si="119"/>
        <v>0</v>
      </c>
      <c r="DE39" s="37">
        <f t="shared" si="120"/>
        <v>0</v>
      </c>
      <c r="DF39" s="37">
        <f t="shared" si="123"/>
        <v>0</v>
      </c>
      <c r="DG39" s="37">
        <f t="shared" si="121"/>
        <v>0</v>
      </c>
      <c r="DH39" s="37">
        <f t="shared" si="122"/>
        <v>8.3333333333333339</v>
      </c>
    </row>
    <row r="40" spans="1:112" ht="24.75" hidden="1" x14ac:dyDescent="0.25">
      <c r="A40" s="37">
        <v>36</v>
      </c>
      <c r="B40" s="156" t="s">
        <v>2202</v>
      </c>
      <c r="C40" s="37"/>
      <c r="D40" s="37"/>
      <c r="E40" s="37"/>
      <c r="F40" s="37"/>
      <c r="G40" s="37"/>
      <c r="H40" s="37"/>
      <c r="I40" s="37"/>
      <c r="J40" s="53" t="s">
        <v>1947</v>
      </c>
      <c r="K40" s="53" t="s">
        <v>1948</v>
      </c>
      <c r="L40" s="53" t="s">
        <v>1947</v>
      </c>
      <c r="M40" s="61">
        <f t="shared" si="62"/>
        <v>0</v>
      </c>
      <c r="N40" s="61">
        <f t="shared" si="63"/>
        <v>1</v>
      </c>
      <c r="O40" s="61">
        <f t="shared" si="64"/>
        <v>0</v>
      </c>
      <c r="P40" s="61">
        <f t="shared" si="65"/>
        <v>1</v>
      </c>
      <c r="Q40" s="53" t="s">
        <v>2165</v>
      </c>
      <c r="R40" s="53" t="s">
        <v>2165</v>
      </c>
      <c r="S40" s="53" t="s">
        <v>1948</v>
      </c>
      <c r="T40" s="61">
        <f t="shared" si="66"/>
        <v>0</v>
      </c>
      <c r="U40" s="61">
        <f t="shared" si="67"/>
        <v>0</v>
      </c>
      <c r="V40" s="61">
        <f t="shared" si="68"/>
        <v>1</v>
      </c>
      <c r="W40" s="61">
        <f t="shared" si="69"/>
        <v>1</v>
      </c>
      <c r="X40" s="61">
        <f t="shared" si="70"/>
        <v>33.333333333333336</v>
      </c>
      <c r="Y40" s="53" t="s">
        <v>1948</v>
      </c>
      <c r="Z40" s="53" t="s">
        <v>1947</v>
      </c>
      <c r="AA40" s="61">
        <f t="shared" si="71"/>
        <v>1</v>
      </c>
      <c r="AB40" s="61">
        <f t="shared" si="72"/>
        <v>0</v>
      </c>
      <c r="AC40" s="61">
        <f t="shared" si="73"/>
        <v>1</v>
      </c>
      <c r="AD40" s="61">
        <f t="shared" si="74"/>
        <v>50</v>
      </c>
      <c r="AE40" s="53" t="s">
        <v>1947</v>
      </c>
      <c r="AF40" s="53" t="s">
        <v>1947</v>
      </c>
      <c r="AG40" s="53" t="s">
        <v>1947</v>
      </c>
      <c r="AH40" s="53" t="s">
        <v>1947</v>
      </c>
      <c r="AI40" s="53" t="s">
        <v>1947</v>
      </c>
      <c r="AJ40" s="50">
        <f t="shared" si="75"/>
        <v>0</v>
      </c>
      <c r="AK40" s="50">
        <f t="shared" si="76"/>
        <v>0</v>
      </c>
      <c r="AL40" s="50">
        <f t="shared" si="77"/>
        <v>0</v>
      </c>
      <c r="AM40" s="50">
        <f t="shared" si="78"/>
        <v>0</v>
      </c>
      <c r="AN40" s="50">
        <f t="shared" si="79"/>
        <v>0</v>
      </c>
      <c r="AO40" s="50">
        <f t="shared" si="80"/>
        <v>0</v>
      </c>
      <c r="AP40" s="51">
        <f t="shared" si="81"/>
        <v>0</v>
      </c>
      <c r="AQ40" s="51">
        <f t="shared" si="82"/>
        <v>83.333333333333343</v>
      </c>
      <c r="AR40" s="53"/>
      <c r="AS40" s="53"/>
      <c r="AT40" s="53"/>
      <c r="AU40" s="50">
        <f t="shared" si="83"/>
        <v>0</v>
      </c>
      <c r="AV40" s="50">
        <f t="shared" si="84"/>
        <v>0</v>
      </c>
      <c r="AW40" s="50">
        <f t="shared" si="85"/>
        <v>0</v>
      </c>
      <c r="AX40" s="50">
        <f t="shared" si="86"/>
        <v>0</v>
      </c>
      <c r="AY40" s="50">
        <f t="shared" si="87"/>
        <v>0</v>
      </c>
      <c r="AZ40" s="36"/>
      <c r="BA40" s="36"/>
      <c r="BB40" s="36"/>
      <c r="BC40" s="36"/>
      <c r="BD40" s="37">
        <f t="shared" si="88"/>
        <v>0</v>
      </c>
      <c r="BE40" s="37">
        <f t="shared" si="89"/>
        <v>0</v>
      </c>
      <c r="BF40" s="37">
        <f t="shared" si="90"/>
        <v>0</v>
      </c>
      <c r="BG40" s="37">
        <f t="shared" si="91"/>
        <v>0</v>
      </c>
      <c r="BH40" s="37">
        <f t="shared" si="92"/>
        <v>0</v>
      </c>
      <c r="BI40" s="37">
        <f t="shared" si="93"/>
        <v>0</v>
      </c>
      <c r="BJ40" s="37">
        <f t="shared" si="94"/>
        <v>0</v>
      </c>
      <c r="BK40" s="37">
        <f t="shared" si="95"/>
        <v>0</v>
      </c>
      <c r="BL40" s="36" t="s">
        <v>2067</v>
      </c>
      <c r="BM40" s="36" t="s">
        <v>2067</v>
      </c>
      <c r="BN40" s="36" t="s">
        <v>2067</v>
      </c>
      <c r="BO40" s="37">
        <f t="shared" si="96"/>
        <v>0</v>
      </c>
      <c r="BP40" s="37">
        <f t="shared" si="97"/>
        <v>0</v>
      </c>
      <c r="BQ40" s="37">
        <f t="shared" si="98"/>
        <v>0</v>
      </c>
      <c r="BR40" s="37">
        <f t="shared" si="99"/>
        <v>0</v>
      </c>
      <c r="BS40" s="37">
        <f t="shared" si="100"/>
        <v>0</v>
      </c>
      <c r="BT40" s="37">
        <f t="shared" si="101"/>
        <v>0</v>
      </c>
      <c r="BU40" s="36"/>
      <c r="BV40" s="36"/>
      <c r="BW40" s="37"/>
      <c r="BX40" s="37"/>
      <c r="BY40" s="37"/>
      <c r="BZ40" s="37"/>
      <c r="CA40" s="36"/>
      <c r="CB40" s="36"/>
      <c r="CC40" s="37"/>
      <c r="CD40" s="37"/>
      <c r="CE40" s="37"/>
      <c r="CF40" s="37"/>
      <c r="CG40" s="36"/>
      <c r="CH40" s="36"/>
      <c r="CI40" s="37">
        <f t="shared" si="102"/>
        <v>1</v>
      </c>
      <c r="CJ40" s="37">
        <f t="shared" si="103"/>
        <v>0.75</v>
      </c>
      <c r="CK40" s="37">
        <f t="shared" si="104"/>
        <v>0.75</v>
      </c>
      <c r="CL40" s="37">
        <f t="shared" si="105"/>
        <v>0</v>
      </c>
      <c r="CM40" s="37">
        <f t="shared" si="106"/>
        <v>0</v>
      </c>
      <c r="CN40" s="36" t="s">
        <v>2166</v>
      </c>
      <c r="CO40" s="36" t="s">
        <v>2166</v>
      </c>
      <c r="CP40" s="36" t="s">
        <v>2166</v>
      </c>
      <c r="CQ40" s="37">
        <f t="shared" si="107"/>
        <v>1</v>
      </c>
      <c r="CR40" s="37">
        <f t="shared" si="108"/>
        <v>1</v>
      </c>
      <c r="CS40" s="37">
        <f t="shared" si="109"/>
        <v>1</v>
      </c>
      <c r="CT40" s="37">
        <f t="shared" si="110"/>
        <v>0</v>
      </c>
      <c r="CU40" s="37">
        <f t="shared" si="111"/>
        <v>0</v>
      </c>
      <c r="CV40" s="36"/>
      <c r="CW40" s="37">
        <f t="shared" si="112"/>
        <v>0</v>
      </c>
      <c r="CX40" s="37">
        <f t="shared" si="113"/>
        <v>0</v>
      </c>
      <c r="CY40" s="37">
        <f t="shared" si="114"/>
        <v>3.3333333333333339</v>
      </c>
      <c r="CZ40" s="37">
        <f t="shared" si="115"/>
        <v>5</v>
      </c>
      <c r="DA40" s="37">
        <f t="shared" si="116"/>
        <v>0</v>
      </c>
      <c r="DB40" s="37">
        <f t="shared" si="117"/>
        <v>0</v>
      </c>
      <c r="DC40" s="37">
        <f t="shared" si="118"/>
        <v>0</v>
      </c>
      <c r="DD40" s="37">
        <f t="shared" si="119"/>
        <v>0</v>
      </c>
      <c r="DE40" s="37">
        <f t="shared" si="120"/>
        <v>0</v>
      </c>
      <c r="DF40" s="37">
        <f t="shared" si="123"/>
        <v>0</v>
      </c>
      <c r="DG40" s="37">
        <f t="shared" si="121"/>
        <v>0</v>
      </c>
      <c r="DH40" s="37">
        <f t="shared" si="122"/>
        <v>8.3333333333333339</v>
      </c>
    </row>
    <row r="41" spans="1:112" ht="24.75" hidden="1" x14ac:dyDescent="0.25">
      <c r="A41" s="37">
        <v>37</v>
      </c>
      <c r="B41" s="156" t="s">
        <v>2203</v>
      </c>
      <c r="C41" s="37"/>
      <c r="D41" s="37"/>
      <c r="E41" s="37"/>
      <c r="F41" s="37"/>
      <c r="G41" s="37"/>
      <c r="H41" s="37"/>
      <c r="I41" s="37"/>
      <c r="J41" s="53" t="s">
        <v>1947</v>
      </c>
      <c r="K41" s="53" t="s">
        <v>1948</v>
      </c>
      <c r="L41" s="53" t="s">
        <v>1947</v>
      </c>
      <c r="M41" s="61">
        <f t="shared" si="62"/>
        <v>0</v>
      </c>
      <c r="N41" s="61">
        <f t="shared" si="63"/>
        <v>1</v>
      </c>
      <c r="O41" s="61">
        <f t="shared" si="64"/>
        <v>0</v>
      </c>
      <c r="P41" s="61">
        <f t="shared" si="65"/>
        <v>1</v>
      </c>
      <c r="Q41" s="53" t="s">
        <v>2165</v>
      </c>
      <c r="R41" s="53" t="s">
        <v>2165</v>
      </c>
      <c r="S41" s="53" t="s">
        <v>1948</v>
      </c>
      <c r="T41" s="61">
        <f t="shared" si="66"/>
        <v>0</v>
      </c>
      <c r="U41" s="61">
        <f t="shared" si="67"/>
        <v>0</v>
      </c>
      <c r="V41" s="61">
        <f t="shared" si="68"/>
        <v>1</v>
      </c>
      <c r="W41" s="61">
        <f t="shared" si="69"/>
        <v>1</v>
      </c>
      <c r="X41" s="61">
        <f t="shared" si="70"/>
        <v>33.333333333333336</v>
      </c>
      <c r="Y41" s="53" t="s">
        <v>1948</v>
      </c>
      <c r="Z41" s="53" t="s">
        <v>1947</v>
      </c>
      <c r="AA41" s="61">
        <f t="shared" si="71"/>
        <v>1</v>
      </c>
      <c r="AB41" s="61">
        <f t="shared" si="72"/>
        <v>0</v>
      </c>
      <c r="AC41" s="61">
        <f t="shared" si="73"/>
        <v>1</v>
      </c>
      <c r="AD41" s="61">
        <f t="shared" si="74"/>
        <v>50</v>
      </c>
      <c r="AE41" s="53" t="s">
        <v>1947</v>
      </c>
      <c r="AF41" s="53" t="s">
        <v>1947</v>
      </c>
      <c r="AG41" s="53" t="s">
        <v>1947</v>
      </c>
      <c r="AH41" s="53" t="s">
        <v>1947</v>
      </c>
      <c r="AI41" s="53" t="s">
        <v>1947</v>
      </c>
      <c r="AJ41" s="50">
        <f t="shared" si="75"/>
        <v>0</v>
      </c>
      <c r="AK41" s="50">
        <f t="shared" si="76"/>
        <v>0</v>
      </c>
      <c r="AL41" s="50">
        <f t="shared" si="77"/>
        <v>0</v>
      </c>
      <c r="AM41" s="50">
        <f t="shared" si="78"/>
        <v>0</v>
      </c>
      <c r="AN41" s="50">
        <f t="shared" si="79"/>
        <v>0</v>
      </c>
      <c r="AO41" s="50">
        <f t="shared" si="80"/>
        <v>0</v>
      </c>
      <c r="AP41" s="51">
        <f t="shared" si="81"/>
        <v>0</v>
      </c>
      <c r="AQ41" s="51">
        <f t="shared" si="82"/>
        <v>83.333333333333343</v>
      </c>
      <c r="AR41" s="53"/>
      <c r="AS41" s="53"/>
      <c r="AT41" s="53"/>
      <c r="AU41" s="50">
        <f t="shared" si="83"/>
        <v>0</v>
      </c>
      <c r="AV41" s="50">
        <f t="shared" si="84"/>
        <v>0</v>
      </c>
      <c r="AW41" s="50">
        <f t="shared" si="85"/>
        <v>0</v>
      </c>
      <c r="AX41" s="50">
        <f t="shared" si="86"/>
        <v>0</v>
      </c>
      <c r="AY41" s="50">
        <f t="shared" si="87"/>
        <v>0</v>
      </c>
      <c r="AZ41" s="36"/>
      <c r="BA41" s="36"/>
      <c r="BB41" s="36"/>
      <c r="BC41" s="36"/>
      <c r="BD41" s="37">
        <f t="shared" si="88"/>
        <v>0</v>
      </c>
      <c r="BE41" s="37">
        <f t="shared" si="89"/>
        <v>0</v>
      </c>
      <c r="BF41" s="37">
        <f t="shared" si="90"/>
        <v>0</v>
      </c>
      <c r="BG41" s="37">
        <f t="shared" si="91"/>
        <v>0</v>
      </c>
      <c r="BH41" s="37">
        <f t="shared" si="92"/>
        <v>0</v>
      </c>
      <c r="BI41" s="37">
        <f t="shared" si="93"/>
        <v>0</v>
      </c>
      <c r="BJ41" s="37">
        <f t="shared" si="94"/>
        <v>0</v>
      </c>
      <c r="BK41" s="37">
        <f t="shared" si="95"/>
        <v>0</v>
      </c>
      <c r="BL41" s="36" t="s">
        <v>2067</v>
      </c>
      <c r="BM41" s="36" t="s">
        <v>2067</v>
      </c>
      <c r="BN41" s="36" t="s">
        <v>2067</v>
      </c>
      <c r="BO41" s="37">
        <f t="shared" si="96"/>
        <v>0</v>
      </c>
      <c r="BP41" s="37">
        <f t="shared" si="97"/>
        <v>0</v>
      </c>
      <c r="BQ41" s="37">
        <f t="shared" si="98"/>
        <v>0</v>
      </c>
      <c r="BR41" s="37">
        <f t="shared" si="99"/>
        <v>0</v>
      </c>
      <c r="BS41" s="37">
        <f t="shared" si="100"/>
        <v>0</v>
      </c>
      <c r="BT41" s="37">
        <f t="shared" si="101"/>
        <v>0</v>
      </c>
      <c r="BU41" s="36"/>
      <c r="BV41" s="36"/>
      <c r="BW41" s="37"/>
      <c r="BX41" s="37"/>
      <c r="BY41" s="37"/>
      <c r="BZ41" s="37"/>
      <c r="CA41" s="36"/>
      <c r="CB41" s="36"/>
      <c r="CC41" s="37"/>
      <c r="CD41" s="37"/>
      <c r="CE41" s="37"/>
      <c r="CF41" s="37"/>
      <c r="CG41" s="36"/>
      <c r="CH41" s="36"/>
      <c r="CI41" s="37">
        <f t="shared" si="102"/>
        <v>1</v>
      </c>
      <c r="CJ41" s="37">
        <f t="shared" si="103"/>
        <v>0.75</v>
      </c>
      <c r="CK41" s="37">
        <f t="shared" si="104"/>
        <v>0.75</v>
      </c>
      <c r="CL41" s="37">
        <f t="shared" si="105"/>
        <v>0</v>
      </c>
      <c r="CM41" s="37">
        <f t="shared" si="106"/>
        <v>0</v>
      </c>
      <c r="CN41" s="36" t="s">
        <v>2166</v>
      </c>
      <c r="CO41" s="36" t="s">
        <v>2166</v>
      </c>
      <c r="CP41" s="36" t="s">
        <v>2166</v>
      </c>
      <c r="CQ41" s="37">
        <f t="shared" si="107"/>
        <v>1</v>
      </c>
      <c r="CR41" s="37">
        <f t="shared" si="108"/>
        <v>1</v>
      </c>
      <c r="CS41" s="37">
        <f t="shared" si="109"/>
        <v>1</v>
      </c>
      <c r="CT41" s="37">
        <f t="shared" si="110"/>
        <v>0</v>
      </c>
      <c r="CU41" s="37">
        <f t="shared" si="111"/>
        <v>0</v>
      </c>
      <c r="CV41" s="36"/>
      <c r="CW41" s="37">
        <f t="shared" si="112"/>
        <v>0</v>
      </c>
      <c r="CX41" s="37">
        <f t="shared" si="113"/>
        <v>0</v>
      </c>
      <c r="CY41" s="37">
        <f t="shared" si="114"/>
        <v>3.3333333333333339</v>
      </c>
      <c r="CZ41" s="37">
        <f t="shared" si="115"/>
        <v>5</v>
      </c>
      <c r="DA41" s="37">
        <f t="shared" si="116"/>
        <v>0</v>
      </c>
      <c r="DB41" s="37">
        <f t="shared" si="117"/>
        <v>0</v>
      </c>
      <c r="DC41" s="37">
        <f t="shared" si="118"/>
        <v>0</v>
      </c>
      <c r="DD41" s="37">
        <f t="shared" si="119"/>
        <v>0</v>
      </c>
      <c r="DE41" s="37">
        <f t="shared" si="120"/>
        <v>0</v>
      </c>
      <c r="DF41" s="37">
        <f t="shared" si="123"/>
        <v>0</v>
      </c>
      <c r="DG41" s="37">
        <f t="shared" si="121"/>
        <v>0</v>
      </c>
      <c r="DH41" s="37">
        <f t="shared" si="122"/>
        <v>8.3333333333333339</v>
      </c>
    </row>
    <row r="42" spans="1:112" ht="24.75" hidden="1" x14ac:dyDescent="0.25">
      <c r="A42" s="37">
        <v>38</v>
      </c>
      <c r="B42" s="156" t="s">
        <v>2204</v>
      </c>
      <c r="C42" s="37"/>
      <c r="D42" s="37"/>
      <c r="E42" s="37"/>
      <c r="F42" s="37"/>
      <c r="G42" s="37"/>
      <c r="H42" s="37"/>
      <c r="I42" s="37"/>
      <c r="J42" s="53" t="s">
        <v>1947</v>
      </c>
      <c r="K42" s="53" t="s">
        <v>1948</v>
      </c>
      <c r="L42" s="53" t="s">
        <v>1947</v>
      </c>
      <c r="M42" s="61">
        <f t="shared" si="62"/>
        <v>0</v>
      </c>
      <c r="N42" s="61">
        <f t="shared" si="63"/>
        <v>1</v>
      </c>
      <c r="O42" s="61">
        <f t="shared" si="64"/>
        <v>0</v>
      </c>
      <c r="P42" s="61">
        <f t="shared" si="65"/>
        <v>1</v>
      </c>
      <c r="Q42" s="53" t="s">
        <v>2165</v>
      </c>
      <c r="R42" s="53" t="s">
        <v>2165</v>
      </c>
      <c r="S42" s="53" t="s">
        <v>1948</v>
      </c>
      <c r="T42" s="61">
        <f t="shared" si="66"/>
        <v>0</v>
      </c>
      <c r="U42" s="61">
        <f t="shared" si="67"/>
        <v>0</v>
      </c>
      <c r="V42" s="61">
        <f t="shared" si="68"/>
        <v>1</v>
      </c>
      <c r="W42" s="61">
        <f t="shared" si="69"/>
        <v>1</v>
      </c>
      <c r="X42" s="61">
        <f t="shared" si="70"/>
        <v>33.333333333333336</v>
      </c>
      <c r="Y42" s="53" t="s">
        <v>1948</v>
      </c>
      <c r="Z42" s="53" t="s">
        <v>1947</v>
      </c>
      <c r="AA42" s="61">
        <f t="shared" si="71"/>
        <v>1</v>
      </c>
      <c r="AB42" s="61">
        <f t="shared" si="72"/>
        <v>0</v>
      </c>
      <c r="AC42" s="61">
        <f t="shared" si="73"/>
        <v>1</v>
      </c>
      <c r="AD42" s="61">
        <f t="shared" si="74"/>
        <v>50</v>
      </c>
      <c r="AE42" s="53" t="s">
        <v>1947</v>
      </c>
      <c r="AF42" s="53" t="s">
        <v>1947</v>
      </c>
      <c r="AG42" s="53" t="s">
        <v>1947</v>
      </c>
      <c r="AH42" s="53" t="s">
        <v>1947</v>
      </c>
      <c r="AI42" s="53" t="s">
        <v>1947</v>
      </c>
      <c r="AJ42" s="50">
        <f t="shared" si="75"/>
        <v>0</v>
      </c>
      <c r="AK42" s="50">
        <f t="shared" si="76"/>
        <v>0</v>
      </c>
      <c r="AL42" s="50">
        <f t="shared" si="77"/>
        <v>0</v>
      </c>
      <c r="AM42" s="50">
        <f t="shared" si="78"/>
        <v>0</v>
      </c>
      <c r="AN42" s="50">
        <f t="shared" si="79"/>
        <v>0</v>
      </c>
      <c r="AO42" s="50">
        <f t="shared" si="80"/>
        <v>0</v>
      </c>
      <c r="AP42" s="51">
        <f t="shared" si="81"/>
        <v>0</v>
      </c>
      <c r="AQ42" s="51">
        <f t="shared" si="82"/>
        <v>83.333333333333343</v>
      </c>
      <c r="AR42" s="53"/>
      <c r="AS42" s="53"/>
      <c r="AT42" s="53"/>
      <c r="AU42" s="50">
        <f t="shared" si="83"/>
        <v>0</v>
      </c>
      <c r="AV42" s="50">
        <f t="shared" si="84"/>
        <v>0</v>
      </c>
      <c r="AW42" s="50">
        <f t="shared" si="85"/>
        <v>0</v>
      </c>
      <c r="AX42" s="50">
        <f t="shared" si="86"/>
        <v>0</v>
      </c>
      <c r="AY42" s="50">
        <f t="shared" si="87"/>
        <v>0</v>
      </c>
      <c r="AZ42" s="36"/>
      <c r="BA42" s="36"/>
      <c r="BB42" s="36"/>
      <c r="BC42" s="36"/>
      <c r="BD42" s="37">
        <f t="shared" si="88"/>
        <v>0</v>
      </c>
      <c r="BE42" s="37">
        <f t="shared" si="89"/>
        <v>0</v>
      </c>
      <c r="BF42" s="37">
        <f t="shared" si="90"/>
        <v>0</v>
      </c>
      <c r="BG42" s="37">
        <f t="shared" si="91"/>
        <v>0</v>
      </c>
      <c r="BH42" s="37">
        <f t="shared" si="92"/>
        <v>0</v>
      </c>
      <c r="BI42" s="37">
        <f t="shared" si="93"/>
        <v>0</v>
      </c>
      <c r="BJ42" s="37">
        <f t="shared" si="94"/>
        <v>0</v>
      </c>
      <c r="BK42" s="37">
        <f t="shared" si="95"/>
        <v>0</v>
      </c>
      <c r="BL42" s="36" t="s">
        <v>2067</v>
      </c>
      <c r="BM42" s="36" t="s">
        <v>2067</v>
      </c>
      <c r="BN42" s="36" t="s">
        <v>2067</v>
      </c>
      <c r="BO42" s="37">
        <f t="shared" si="96"/>
        <v>0</v>
      </c>
      <c r="BP42" s="37">
        <f t="shared" si="97"/>
        <v>0</v>
      </c>
      <c r="BQ42" s="37">
        <f t="shared" si="98"/>
        <v>0</v>
      </c>
      <c r="BR42" s="37">
        <f t="shared" si="99"/>
        <v>0</v>
      </c>
      <c r="BS42" s="37">
        <f t="shared" si="100"/>
        <v>0</v>
      </c>
      <c r="BT42" s="37">
        <f t="shared" si="101"/>
        <v>0</v>
      </c>
      <c r="BU42" s="36"/>
      <c r="BV42" s="36"/>
      <c r="BW42" s="37"/>
      <c r="BX42" s="37"/>
      <c r="BY42" s="37"/>
      <c r="BZ42" s="37"/>
      <c r="CA42" s="36"/>
      <c r="CB42" s="36"/>
      <c r="CC42" s="37"/>
      <c r="CD42" s="37"/>
      <c r="CE42" s="37"/>
      <c r="CF42" s="37"/>
      <c r="CG42" s="36"/>
      <c r="CH42" s="36"/>
      <c r="CI42" s="37">
        <f t="shared" si="102"/>
        <v>1</v>
      </c>
      <c r="CJ42" s="37">
        <f t="shared" si="103"/>
        <v>0.75</v>
      </c>
      <c r="CK42" s="37">
        <f t="shared" si="104"/>
        <v>0.75</v>
      </c>
      <c r="CL42" s="37">
        <f t="shared" si="105"/>
        <v>0</v>
      </c>
      <c r="CM42" s="37">
        <f t="shared" si="106"/>
        <v>0</v>
      </c>
      <c r="CN42" s="36" t="s">
        <v>2166</v>
      </c>
      <c r="CO42" s="36" t="s">
        <v>2166</v>
      </c>
      <c r="CP42" s="36" t="s">
        <v>2166</v>
      </c>
      <c r="CQ42" s="37">
        <f t="shared" si="107"/>
        <v>1</v>
      </c>
      <c r="CR42" s="37">
        <f t="shared" si="108"/>
        <v>1</v>
      </c>
      <c r="CS42" s="37">
        <f t="shared" si="109"/>
        <v>1</v>
      </c>
      <c r="CT42" s="37">
        <f t="shared" si="110"/>
        <v>0</v>
      </c>
      <c r="CU42" s="37">
        <f t="shared" si="111"/>
        <v>0</v>
      </c>
      <c r="CV42" s="36"/>
      <c r="CW42" s="37">
        <f t="shared" si="112"/>
        <v>0</v>
      </c>
      <c r="CX42" s="37">
        <f t="shared" si="113"/>
        <v>0</v>
      </c>
      <c r="CY42" s="37">
        <f t="shared" si="114"/>
        <v>3.3333333333333339</v>
      </c>
      <c r="CZ42" s="37">
        <f t="shared" si="115"/>
        <v>5</v>
      </c>
      <c r="DA42" s="37">
        <f t="shared" si="116"/>
        <v>0</v>
      </c>
      <c r="DB42" s="37">
        <f t="shared" si="117"/>
        <v>0</v>
      </c>
      <c r="DC42" s="37">
        <f t="shared" si="118"/>
        <v>0</v>
      </c>
      <c r="DD42" s="37">
        <f t="shared" si="119"/>
        <v>0</v>
      </c>
      <c r="DE42" s="37">
        <f t="shared" si="120"/>
        <v>0</v>
      </c>
      <c r="DF42" s="37">
        <f t="shared" si="123"/>
        <v>0</v>
      </c>
      <c r="DG42" s="37">
        <f t="shared" si="121"/>
        <v>0</v>
      </c>
      <c r="DH42" s="37">
        <f t="shared" si="122"/>
        <v>8.3333333333333339</v>
      </c>
    </row>
    <row r="43" spans="1:112" ht="24.75" hidden="1" x14ac:dyDescent="0.25">
      <c r="A43" s="37">
        <v>39</v>
      </c>
      <c r="B43" s="156" t="s">
        <v>2205</v>
      </c>
      <c r="C43" s="37"/>
      <c r="D43" s="37"/>
      <c r="E43" s="37"/>
      <c r="F43" s="37"/>
      <c r="G43" s="37"/>
      <c r="H43" s="37"/>
      <c r="I43" s="37"/>
      <c r="J43" s="53" t="s">
        <v>1947</v>
      </c>
      <c r="K43" s="53" t="s">
        <v>1948</v>
      </c>
      <c r="L43" s="53" t="s">
        <v>1947</v>
      </c>
      <c r="M43" s="61">
        <f t="shared" si="62"/>
        <v>0</v>
      </c>
      <c r="N43" s="61">
        <f t="shared" si="63"/>
        <v>1</v>
      </c>
      <c r="O43" s="61">
        <f t="shared" si="64"/>
        <v>0</v>
      </c>
      <c r="P43" s="61">
        <f t="shared" si="65"/>
        <v>1</v>
      </c>
      <c r="Q43" s="53" t="s">
        <v>2165</v>
      </c>
      <c r="R43" s="53" t="s">
        <v>2165</v>
      </c>
      <c r="S43" s="53" t="s">
        <v>1948</v>
      </c>
      <c r="T43" s="61">
        <f t="shared" si="66"/>
        <v>0</v>
      </c>
      <c r="U43" s="61">
        <f t="shared" si="67"/>
        <v>0</v>
      </c>
      <c r="V43" s="61">
        <f t="shared" si="68"/>
        <v>1</v>
      </c>
      <c r="W43" s="61">
        <f t="shared" si="69"/>
        <v>1</v>
      </c>
      <c r="X43" s="61">
        <f t="shared" si="70"/>
        <v>33.333333333333336</v>
      </c>
      <c r="Y43" s="53" t="s">
        <v>1948</v>
      </c>
      <c r="Z43" s="53" t="s">
        <v>1947</v>
      </c>
      <c r="AA43" s="61">
        <f t="shared" si="71"/>
        <v>1</v>
      </c>
      <c r="AB43" s="61">
        <f t="shared" si="72"/>
        <v>0</v>
      </c>
      <c r="AC43" s="61">
        <f t="shared" si="73"/>
        <v>1</v>
      </c>
      <c r="AD43" s="61">
        <f t="shared" si="74"/>
        <v>50</v>
      </c>
      <c r="AE43" s="53" t="s">
        <v>1947</v>
      </c>
      <c r="AF43" s="53" t="s">
        <v>1947</v>
      </c>
      <c r="AG43" s="53" t="s">
        <v>1947</v>
      </c>
      <c r="AH43" s="53" t="s">
        <v>1947</v>
      </c>
      <c r="AI43" s="53" t="s">
        <v>1947</v>
      </c>
      <c r="AJ43" s="50">
        <f t="shared" si="75"/>
        <v>0</v>
      </c>
      <c r="AK43" s="50">
        <f t="shared" si="76"/>
        <v>0</v>
      </c>
      <c r="AL43" s="50">
        <f t="shared" si="77"/>
        <v>0</v>
      </c>
      <c r="AM43" s="50">
        <f t="shared" si="78"/>
        <v>0</v>
      </c>
      <c r="AN43" s="50">
        <f t="shared" si="79"/>
        <v>0</v>
      </c>
      <c r="AO43" s="50">
        <f t="shared" si="80"/>
        <v>0</v>
      </c>
      <c r="AP43" s="51">
        <f t="shared" si="81"/>
        <v>0</v>
      </c>
      <c r="AQ43" s="51">
        <f t="shared" si="82"/>
        <v>83.333333333333343</v>
      </c>
      <c r="AR43" s="53"/>
      <c r="AS43" s="53"/>
      <c r="AT43" s="53"/>
      <c r="AU43" s="50">
        <f t="shared" si="83"/>
        <v>0</v>
      </c>
      <c r="AV43" s="50">
        <f t="shared" si="84"/>
        <v>0</v>
      </c>
      <c r="AW43" s="50">
        <f t="shared" si="85"/>
        <v>0</v>
      </c>
      <c r="AX43" s="50">
        <f t="shared" si="86"/>
        <v>0</v>
      </c>
      <c r="AY43" s="50">
        <f t="shared" si="87"/>
        <v>0</v>
      </c>
      <c r="AZ43" s="36"/>
      <c r="BA43" s="36"/>
      <c r="BB43" s="36"/>
      <c r="BC43" s="36"/>
      <c r="BD43" s="37">
        <f t="shared" si="88"/>
        <v>0</v>
      </c>
      <c r="BE43" s="37">
        <f t="shared" si="89"/>
        <v>0</v>
      </c>
      <c r="BF43" s="37">
        <f t="shared" si="90"/>
        <v>0</v>
      </c>
      <c r="BG43" s="37">
        <f t="shared" si="91"/>
        <v>0</v>
      </c>
      <c r="BH43" s="37">
        <f t="shared" si="92"/>
        <v>0</v>
      </c>
      <c r="BI43" s="37">
        <f t="shared" si="93"/>
        <v>0</v>
      </c>
      <c r="BJ43" s="37">
        <f t="shared" si="94"/>
        <v>0</v>
      </c>
      <c r="BK43" s="37">
        <f t="shared" si="95"/>
        <v>0</v>
      </c>
      <c r="BL43" s="36" t="s">
        <v>2067</v>
      </c>
      <c r="BM43" s="36" t="s">
        <v>2067</v>
      </c>
      <c r="BN43" s="36" t="s">
        <v>2067</v>
      </c>
      <c r="BO43" s="37">
        <f t="shared" si="96"/>
        <v>0</v>
      </c>
      <c r="BP43" s="37">
        <f t="shared" si="97"/>
        <v>0</v>
      </c>
      <c r="BQ43" s="37">
        <f t="shared" si="98"/>
        <v>0</v>
      </c>
      <c r="BR43" s="37">
        <f t="shared" si="99"/>
        <v>0</v>
      </c>
      <c r="BS43" s="37">
        <f t="shared" si="100"/>
        <v>0</v>
      </c>
      <c r="BT43" s="37">
        <f t="shared" si="101"/>
        <v>0</v>
      </c>
      <c r="BU43" s="36"/>
      <c r="BV43" s="36"/>
      <c r="BW43" s="37"/>
      <c r="BX43" s="37"/>
      <c r="BY43" s="37"/>
      <c r="BZ43" s="37"/>
      <c r="CA43" s="36"/>
      <c r="CB43" s="36"/>
      <c r="CC43" s="37"/>
      <c r="CD43" s="37"/>
      <c r="CE43" s="37"/>
      <c r="CF43" s="37"/>
      <c r="CG43" s="36"/>
      <c r="CH43" s="36"/>
      <c r="CI43" s="37">
        <f t="shared" si="102"/>
        <v>1</v>
      </c>
      <c r="CJ43" s="37">
        <f t="shared" si="103"/>
        <v>0.75</v>
      </c>
      <c r="CK43" s="37">
        <f t="shared" si="104"/>
        <v>0.75</v>
      </c>
      <c r="CL43" s="37">
        <f t="shared" si="105"/>
        <v>0</v>
      </c>
      <c r="CM43" s="37">
        <f t="shared" si="106"/>
        <v>0</v>
      </c>
      <c r="CN43" s="36" t="s">
        <v>2166</v>
      </c>
      <c r="CO43" s="36" t="s">
        <v>2166</v>
      </c>
      <c r="CP43" s="36" t="s">
        <v>2166</v>
      </c>
      <c r="CQ43" s="37">
        <f t="shared" si="107"/>
        <v>1</v>
      </c>
      <c r="CR43" s="37">
        <f t="shared" si="108"/>
        <v>1</v>
      </c>
      <c r="CS43" s="37">
        <f t="shared" si="109"/>
        <v>1</v>
      </c>
      <c r="CT43" s="37">
        <f t="shared" si="110"/>
        <v>0</v>
      </c>
      <c r="CU43" s="37">
        <f t="shared" si="111"/>
        <v>0</v>
      </c>
      <c r="CV43" s="36"/>
      <c r="CW43" s="37">
        <f t="shared" si="112"/>
        <v>0</v>
      </c>
      <c r="CX43" s="37">
        <f t="shared" si="113"/>
        <v>0</v>
      </c>
      <c r="CY43" s="37">
        <f t="shared" si="114"/>
        <v>3.3333333333333339</v>
      </c>
      <c r="CZ43" s="37">
        <f t="shared" si="115"/>
        <v>5</v>
      </c>
      <c r="DA43" s="37">
        <f t="shared" si="116"/>
        <v>0</v>
      </c>
      <c r="DB43" s="37">
        <f t="shared" si="117"/>
        <v>0</v>
      </c>
      <c r="DC43" s="37">
        <f t="shared" si="118"/>
        <v>0</v>
      </c>
      <c r="DD43" s="37">
        <f t="shared" si="119"/>
        <v>0</v>
      </c>
      <c r="DE43" s="37">
        <f t="shared" si="120"/>
        <v>0</v>
      </c>
      <c r="DF43" s="37">
        <f t="shared" si="123"/>
        <v>0</v>
      </c>
      <c r="DG43" s="37">
        <f t="shared" si="121"/>
        <v>0</v>
      </c>
      <c r="DH43" s="37">
        <f t="shared" si="122"/>
        <v>8.3333333333333339</v>
      </c>
    </row>
    <row r="44" spans="1:112" ht="36.75" hidden="1" x14ac:dyDescent="0.25">
      <c r="A44" s="37">
        <v>40</v>
      </c>
      <c r="B44" s="156" t="s">
        <v>2206</v>
      </c>
      <c r="C44" s="37"/>
      <c r="D44" s="37"/>
      <c r="E44" s="37"/>
      <c r="F44" s="37"/>
      <c r="G44" s="37"/>
      <c r="H44" s="37"/>
      <c r="I44" s="37"/>
      <c r="J44" s="53" t="s">
        <v>1947</v>
      </c>
      <c r="K44" s="53" t="s">
        <v>1948</v>
      </c>
      <c r="L44" s="53" t="s">
        <v>1947</v>
      </c>
      <c r="M44" s="61">
        <f t="shared" si="62"/>
        <v>0</v>
      </c>
      <c r="N44" s="61">
        <f t="shared" si="63"/>
        <v>1</v>
      </c>
      <c r="O44" s="61">
        <f t="shared" si="64"/>
        <v>0</v>
      </c>
      <c r="P44" s="61">
        <f t="shared" si="65"/>
        <v>1</v>
      </c>
      <c r="Q44" s="53" t="s">
        <v>2165</v>
      </c>
      <c r="R44" s="53" t="s">
        <v>2165</v>
      </c>
      <c r="S44" s="53" t="s">
        <v>1948</v>
      </c>
      <c r="T44" s="61">
        <f t="shared" si="66"/>
        <v>0</v>
      </c>
      <c r="U44" s="61">
        <f t="shared" si="67"/>
        <v>0</v>
      </c>
      <c r="V44" s="61">
        <f t="shared" si="68"/>
        <v>1</v>
      </c>
      <c r="W44" s="61">
        <f t="shared" si="69"/>
        <v>1</v>
      </c>
      <c r="X44" s="61">
        <f t="shared" si="70"/>
        <v>33.333333333333336</v>
      </c>
      <c r="Y44" s="53" t="s">
        <v>1948</v>
      </c>
      <c r="Z44" s="53" t="s">
        <v>1947</v>
      </c>
      <c r="AA44" s="61">
        <f t="shared" si="71"/>
        <v>1</v>
      </c>
      <c r="AB44" s="61">
        <f t="shared" si="72"/>
        <v>0</v>
      </c>
      <c r="AC44" s="61">
        <f t="shared" si="73"/>
        <v>1</v>
      </c>
      <c r="AD44" s="61">
        <f t="shared" si="74"/>
        <v>50</v>
      </c>
      <c r="AE44" s="53" t="s">
        <v>1947</v>
      </c>
      <c r="AF44" s="53" t="s">
        <v>1947</v>
      </c>
      <c r="AG44" s="53" t="s">
        <v>1947</v>
      </c>
      <c r="AH44" s="53" t="s">
        <v>1947</v>
      </c>
      <c r="AI44" s="53" t="s">
        <v>1947</v>
      </c>
      <c r="AJ44" s="50">
        <f t="shared" si="75"/>
        <v>0</v>
      </c>
      <c r="AK44" s="50">
        <f t="shared" si="76"/>
        <v>0</v>
      </c>
      <c r="AL44" s="50">
        <f t="shared" si="77"/>
        <v>0</v>
      </c>
      <c r="AM44" s="50">
        <f t="shared" si="78"/>
        <v>0</v>
      </c>
      <c r="AN44" s="50">
        <f t="shared" si="79"/>
        <v>0</v>
      </c>
      <c r="AO44" s="50">
        <f t="shared" si="80"/>
        <v>0</v>
      </c>
      <c r="AP44" s="51">
        <f t="shared" si="81"/>
        <v>0</v>
      </c>
      <c r="AQ44" s="51">
        <f t="shared" si="82"/>
        <v>83.333333333333343</v>
      </c>
      <c r="AR44" s="53"/>
      <c r="AS44" s="53"/>
      <c r="AT44" s="53"/>
      <c r="AU44" s="50">
        <f t="shared" si="83"/>
        <v>0</v>
      </c>
      <c r="AV44" s="50">
        <f t="shared" si="84"/>
        <v>0</v>
      </c>
      <c r="AW44" s="50">
        <f t="shared" si="85"/>
        <v>0</v>
      </c>
      <c r="AX44" s="50">
        <f t="shared" si="86"/>
        <v>0</v>
      </c>
      <c r="AY44" s="50">
        <f t="shared" si="87"/>
        <v>0</v>
      </c>
      <c r="AZ44" s="36"/>
      <c r="BA44" s="36"/>
      <c r="BB44" s="36"/>
      <c r="BC44" s="36"/>
      <c r="BD44" s="37">
        <f t="shared" si="88"/>
        <v>0</v>
      </c>
      <c r="BE44" s="37">
        <f t="shared" si="89"/>
        <v>0</v>
      </c>
      <c r="BF44" s="37">
        <f t="shared" si="90"/>
        <v>0</v>
      </c>
      <c r="BG44" s="37">
        <f t="shared" si="91"/>
        <v>0</v>
      </c>
      <c r="BH44" s="37">
        <f t="shared" si="92"/>
        <v>0</v>
      </c>
      <c r="BI44" s="37">
        <f t="shared" si="93"/>
        <v>0</v>
      </c>
      <c r="BJ44" s="37">
        <f t="shared" si="94"/>
        <v>0</v>
      </c>
      <c r="BK44" s="37">
        <f t="shared" si="95"/>
        <v>0</v>
      </c>
      <c r="BL44" s="36" t="s">
        <v>2067</v>
      </c>
      <c r="BM44" s="36" t="s">
        <v>2067</v>
      </c>
      <c r="BN44" s="36" t="s">
        <v>2067</v>
      </c>
      <c r="BO44" s="37">
        <f t="shared" si="96"/>
        <v>0</v>
      </c>
      <c r="BP44" s="37">
        <f t="shared" si="97"/>
        <v>0</v>
      </c>
      <c r="BQ44" s="37">
        <f t="shared" si="98"/>
        <v>0</v>
      </c>
      <c r="BR44" s="37">
        <f t="shared" si="99"/>
        <v>0</v>
      </c>
      <c r="BS44" s="37">
        <f t="shared" si="100"/>
        <v>0</v>
      </c>
      <c r="BT44" s="37">
        <f t="shared" si="101"/>
        <v>0</v>
      </c>
      <c r="BU44" s="36"/>
      <c r="BV44" s="36"/>
      <c r="BW44" s="37"/>
      <c r="BX44" s="37"/>
      <c r="BY44" s="37"/>
      <c r="BZ44" s="37"/>
      <c r="CA44" s="36"/>
      <c r="CB44" s="36"/>
      <c r="CC44" s="37"/>
      <c r="CD44" s="37"/>
      <c r="CE44" s="37"/>
      <c r="CF44" s="37"/>
      <c r="CG44" s="36"/>
      <c r="CH44" s="36"/>
      <c r="CI44" s="37">
        <f t="shared" si="102"/>
        <v>1</v>
      </c>
      <c r="CJ44" s="37">
        <f t="shared" si="103"/>
        <v>0.75</v>
      </c>
      <c r="CK44" s="37">
        <f t="shared" si="104"/>
        <v>0.75</v>
      </c>
      <c r="CL44" s="37">
        <f t="shared" si="105"/>
        <v>0</v>
      </c>
      <c r="CM44" s="37">
        <f t="shared" si="106"/>
        <v>0</v>
      </c>
      <c r="CN44" s="36" t="s">
        <v>2166</v>
      </c>
      <c r="CO44" s="36" t="s">
        <v>2166</v>
      </c>
      <c r="CP44" s="36" t="s">
        <v>2166</v>
      </c>
      <c r="CQ44" s="37">
        <f t="shared" si="107"/>
        <v>1</v>
      </c>
      <c r="CR44" s="37">
        <f t="shared" si="108"/>
        <v>1</v>
      </c>
      <c r="CS44" s="37">
        <f t="shared" si="109"/>
        <v>1</v>
      </c>
      <c r="CT44" s="37">
        <f t="shared" si="110"/>
        <v>0</v>
      </c>
      <c r="CU44" s="37">
        <f t="shared" si="111"/>
        <v>0</v>
      </c>
      <c r="CV44" s="36"/>
      <c r="CW44" s="37">
        <f t="shared" si="112"/>
        <v>0</v>
      </c>
      <c r="CX44" s="37">
        <f t="shared" si="113"/>
        <v>0</v>
      </c>
      <c r="CY44" s="37">
        <f t="shared" si="114"/>
        <v>3.3333333333333339</v>
      </c>
      <c r="CZ44" s="37">
        <f t="shared" si="115"/>
        <v>5</v>
      </c>
      <c r="DA44" s="37">
        <f t="shared" si="116"/>
        <v>0</v>
      </c>
      <c r="DB44" s="37">
        <f t="shared" si="117"/>
        <v>0</v>
      </c>
      <c r="DC44" s="37">
        <f t="shared" si="118"/>
        <v>0</v>
      </c>
      <c r="DD44" s="37">
        <f t="shared" si="119"/>
        <v>0</v>
      </c>
      <c r="DE44" s="37">
        <f t="shared" si="120"/>
        <v>0</v>
      </c>
      <c r="DF44" s="37">
        <f t="shared" si="123"/>
        <v>0</v>
      </c>
      <c r="DG44" s="37">
        <f t="shared" si="121"/>
        <v>0</v>
      </c>
      <c r="DH44" s="37">
        <f t="shared" si="122"/>
        <v>8.3333333333333339</v>
      </c>
    </row>
    <row r="45" spans="1:112" ht="24.75" hidden="1" x14ac:dyDescent="0.25">
      <c r="A45" s="37">
        <v>41</v>
      </c>
      <c r="B45" s="156" t="s">
        <v>2207</v>
      </c>
      <c r="C45" s="37"/>
      <c r="D45" s="37"/>
      <c r="E45" s="37"/>
      <c r="F45" s="37"/>
      <c r="G45" s="37"/>
      <c r="H45" s="37"/>
      <c r="I45" s="37"/>
      <c r="J45" s="53" t="s">
        <v>1947</v>
      </c>
      <c r="K45" s="53" t="s">
        <v>1948</v>
      </c>
      <c r="L45" s="53" t="s">
        <v>1947</v>
      </c>
      <c r="M45" s="61">
        <f t="shared" si="62"/>
        <v>0</v>
      </c>
      <c r="N45" s="61">
        <f t="shared" si="63"/>
        <v>1</v>
      </c>
      <c r="O45" s="61">
        <f t="shared" si="64"/>
        <v>0</v>
      </c>
      <c r="P45" s="61">
        <f t="shared" si="65"/>
        <v>1</v>
      </c>
      <c r="Q45" s="53" t="s">
        <v>2165</v>
      </c>
      <c r="R45" s="53" t="s">
        <v>2165</v>
      </c>
      <c r="S45" s="53" t="s">
        <v>1948</v>
      </c>
      <c r="T45" s="61">
        <f t="shared" si="66"/>
        <v>0</v>
      </c>
      <c r="U45" s="61">
        <f t="shared" si="67"/>
        <v>0</v>
      </c>
      <c r="V45" s="61">
        <f t="shared" si="68"/>
        <v>1</v>
      </c>
      <c r="W45" s="61">
        <f t="shared" si="69"/>
        <v>1</v>
      </c>
      <c r="X45" s="61">
        <f t="shared" si="70"/>
        <v>33.333333333333336</v>
      </c>
      <c r="Y45" s="53" t="s">
        <v>1948</v>
      </c>
      <c r="Z45" s="53" t="s">
        <v>1947</v>
      </c>
      <c r="AA45" s="61">
        <f t="shared" si="71"/>
        <v>1</v>
      </c>
      <c r="AB45" s="61">
        <f t="shared" si="72"/>
        <v>0</v>
      </c>
      <c r="AC45" s="61">
        <f t="shared" si="73"/>
        <v>1</v>
      </c>
      <c r="AD45" s="61">
        <f t="shared" si="74"/>
        <v>50</v>
      </c>
      <c r="AE45" s="53" t="s">
        <v>1947</v>
      </c>
      <c r="AF45" s="53" t="s">
        <v>1947</v>
      </c>
      <c r="AG45" s="53" t="s">
        <v>1947</v>
      </c>
      <c r="AH45" s="53" t="s">
        <v>1947</v>
      </c>
      <c r="AI45" s="53" t="s">
        <v>1947</v>
      </c>
      <c r="AJ45" s="50">
        <f t="shared" si="75"/>
        <v>0</v>
      </c>
      <c r="AK45" s="50">
        <f t="shared" si="76"/>
        <v>0</v>
      </c>
      <c r="AL45" s="50">
        <f t="shared" si="77"/>
        <v>0</v>
      </c>
      <c r="AM45" s="50">
        <f t="shared" si="78"/>
        <v>0</v>
      </c>
      <c r="AN45" s="50">
        <f t="shared" si="79"/>
        <v>0</v>
      </c>
      <c r="AO45" s="50">
        <f t="shared" si="80"/>
        <v>0</v>
      </c>
      <c r="AP45" s="51">
        <f t="shared" si="81"/>
        <v>0</v>
      </c>
      <c r="AQ45" s="51">
        <f t="shared" si="82"/>
        <v>83.333333333333343</v>
      </c>
      <c r="AR45" s="53"/>
      <c r="AS45" s="53"/>
      <c r="AT45" s="53"/>
      <c r="AU45" s="50">
        <f t="shared" si="83"/>
        <v>0</v>
      </c>
      <c r="AV45" s="50">
        <f t="shared" si="84"/>
        <v>0</v>
      </c>
      <c r="AW45" s="50">
        <f t="shared" si="85"/>
        <v>0</v>
      </c>
      <c r="AX45" s="50">
        <f t="shared" si="86"/>
        <v>0</v>
      </c>
      <c r="AY45" s="50">
        <f t="shared" si="87"/>
        <v>0</v>
      </c>
      <c r="AZ45" s="36"/>
      <c r="BA45" s="36"/>
      <c r="BB45" s="36"/>
      <c r="BC45" s="36"/>
      <c r="BD45" s="37">
        <f t="shared" si="88"/>
        <v>0</v>
      </c>
      <c r="BE45" s="37">
        <f t="shared" si="89"/>
        <v>0</v>
      </c>
      <c r="BF45" s="37">
        <f t="shared" si="90"/>
        <v>0</v>
      </c>
      <c r="BG45" s="37">
        <f t="shared" si="91"/>
        <v>0</v>
      </c>
      <c r="BH45" s="37">
        <f t="shared" si="92"/>
        <v>0</v>
      </c>
      <c r="BI45" s="37">
        <f t="shared" si="93"/>
        <v>0</v>
      </c>
      <c r="BJ45" s="37">
        <f t="shared" si="94"/>
        <v>0</v>
      </c>
      <c r="BK45" s="37">
        <f t="shared" si="95"/>
        <v>0</v>
      </c>
      <c r="BL45" s="36" t="s">
        <v>2067</v>
      </c>
      <c r="BM45" s="36" t="s">
        <v>2067</v>
      </c>
      <c r="BN45" s="36" t="s">
        <v>2067</v>
      </c>
      <c r="BO45" s="37">
        <f t="shared" si="96"/>
        <v>0</v>
      </c>
      <c r="BP45" s="37">
        <f t="shared" si="97"/>
        <v>0</v>
      </c>
      <c r="BQ45" s="37">
        <f t="shared" si="98"/>
        <v>0</v>
      </c>
      <c r="BR45" s="37">
        <f t="shared" si="99"/>
        <v>0</v>
      </c>
      <c r="BS45" s="37">
        <f t="shared" si="100"/>
        <v>0</v>
      </c>
      <c r="BT45" s="37">
        <f t="shared" si="101"/>
        <v>0</v>
      </c>
      <c r="BU45" s="36"/>
      <c r="BV45" s="36"/>
      <c r="BW45" s="37"/>
      <c r="BX45" s="37"/>
      <c r="BY45" s="37"/>
      <c r="BZ45" s="37"/>
      <c r="CA45" s="36"/>
      <c r="CB45" s="36"/>
      <c r="CC45" s="37"/>
      <c r="CD45" s="37"/>
      <c r="CE45" s="37"/>
      <c r="CF45" s="37"/>
      <c r="CG45" s="36"/>
      <c r="CH45" s="36"/>
      <c r="CI45" s="37">
        <f t="shared" si="102"/>
        <v>1</v>
      </c>
      <c r="CJ45" s="37">
        <f t="shared" si="103"/>
        <v>0.75</v>
      </c>
      <c r="CK45" s="37">
        <f t="shared" si="104"/>
        <v>0.75</v>
      </c>
      <c r="CL45" s="37">
        <f t="shared" si="105"/>
        <v>0</v>
      </c>
      <c r="CM45" s="37">
        <f t="shared" si="106"/>
        <v>0</v>
      </c>
      <c r="CN45" s="36" t="s">
        <v>2166</v>
      </c>
      <c r="CO45" s="36" t="s">
        <v>2166</v>
      </c>
      <c r="CP45" s="36" t="s">
        <v>2166</v>
      </c>
      <c r="CQ45" s="37">
        <f t="shared" si="107"/>
        <v>1</v>
      </c>
      <c r="CR45" s="37">
        <f t="shared" si="108"/>
        <v>1</v>
      </c>
      <c r="CS45" s="37">
        <f t="shared" si="109"/>
        <v>1</v>
      </c>
      <c r="CT45" s="37">
        <f t="shared" si="110"/>
        <v>0</v>
      </c>
      <c r="CU45" s="37">
        <f t="shared" si="111"/>
        <v>0</v>
      </c>
      <c r="CV45" s="36"/>
      <c r="CW45" s="37">
        <f t="shared" si="112"/>
        <v>0</v>
      </c>
      <c r="CX45" s="37">
        <f t="shared" si="113"/>
        <v>0</v>
      </c>
      <c r="CY45" s="37">
        <f t="shared" si="114"/>
        <v>3.3333333333333339</v>
      </c>
      <c r="CZ45" s="37">
        <f t="shared" si="115"/>
        <v>5</v>
      </c>
      <c r="DA45" s="37">
        <f t="shared" si="116"/>
        <v>0</v>
      </c>
      <c r="DB45" s="37">
        <f t="shared" si="117"/>
        <v>0</v>
      </c>
      <c r="DC45" s="37">
        <f t="shared" si="118"/>
        <v>0</v>
      </c>
      <c r="DD45" s="37">
        <f t="shared" si="119"/>
        <v>0</v>
      </c>
      <c r="DE45" s="37">
        <f t="shared" si="120"/>
        <v>0</v>
      </c>
      <c r="DF45" s="37">
        <f t="shared" si="123"/>
        <v>0</v>
      </c>
      <c r="DG45" s="37">
        <f t="shared" si="121"/>
        <v>0</v>
      </c>
      <c r="DH45" s="37">
        <f t="shared" si="122"/>
        <v>8.3333333333333339</v>
      </c>
    </row>
    <row r="46" spans="1:112" ht="24.75" hidden="1" x14ac:dyDescent="0.25">
      <c r="A46" s="37">
        <v>42</v>
      </c>
      <c r="B46" s="156" t="s">
        <v>2208</v>
      </c>
      <c r="C46" s="37"/>
      <c r="D46" s="37"/>
      <c r="E46" s="37"/>
      <c r="F46" s="37"/>
      <c r="G46" s="37"/>
      <c r="H46" s="37"/>
      <c r="I46" s="37"/>
      <c r="J46" s="53" t="s">
        <v>1947</v>
      </c>
      <c r="K46" s="53" t="s">
        <v>1948</v>
      </c>
      <c r="L46" s="53" t="s">
        <v>1947</v>
      </c>
      <c r="M46" s="61">
        <f t="shared" si="62"/>
        <v>0</v>
      </c>
      <c r="N46" s="61">
        <f t="shared" si="63"/>
        <v>1</v>
      </c>
      <c r="O46" s="61">
        <f t="shared" si="64"/>
        <v>0</v>
      </c>
      <c r="P46" s="61">
        <f t="shared" si="65"/>
        <v>1</v>
      </c>
      <c r="Q46" s="53" t="s">
        <v>2165</v>
      </c>
      <c r="R46" s="53" t="s">
        <v>2165</v>
      </c>
      <c r="S46" s="53" t="s">
        <v>1948</v>
      </c>
      <c r="T46" s="61">
        <f t="shared" si="66"/>
        <v>0</v>
      </c>
      <c r="U46" s="61">
        <f t="shared" si="67"/>
        <v>0</v>
      </c>
      <c r="V46" s="61">
        <f t="shared" si="68"/>
        <v>1</v>
      </c>
      <c r="W46" s="61">
        <f t="shared" si="69"/>
        <v>1</v>
      </c>
      <c r="X46" s="61">
        <f t="shared" si="70"/>
        <v>33.333333333333336</v>
      </c>
      <c r="Y46" s="53" t="s">
        <v>1948</v>
      </c>
      <c r="Z46" s="53" t="s">
        <v>1947</v>
      </c>
      <c r="AA46" s="61">
        <f t="shared" si="71"/>
        <v>1</v>
      </c>
      <c r="AB46" s="61">
        <f t="shared" si="72"/>
        <v>0</v>
      </c>
      <c r="AC46" s="61">
        <f t="shared" si="73"/>
        <v>1</v>
      </c>
      <c r="AD46" s="61">
        <f t="shared" si="74"/>
        <v>50</v>
      </c>
      <c r="AE46" s="53" t="s">
        <v>1947</v>
      </c>
      <c r="AF46" s="53" t="s">
        <v>1947</v>
      </c>
      <c r="AG46" s="53" t="s">
        <v>1947</v>
      </c>
      <c r="AH46" s="53" t="s">
        <v>1947</v>
      </c>
      <c r="AI46" s="53" t="s">
        <v>1947</v>
      </c>
      <c r="AJ46" s="50">
        <f t="shared" si="75"/>
        <v>0</v>
      </c>
      <c r="AK46" s="50">
        <f t="shared" si="76"/>
        <v>0</v>
      </c>
      <c r="AL46" s="50">
        <f t="shared" si="77"/>
        <v>0</v>
      </c>
      <c r="AM46" s="50">
        <f t="shared" si="78"/>
        <v>0</v>
      </c>
      <c r="AN46" s="50">
        <f t="shared" si="79"/>
        <v>0</v>
      </c>
      <c r="AO46" s="50">
        <f t="shared" si="80"/>
        <v>0</v>
      </c>
      <c r="AP46" s="51">
        <f t="shared" si="81"/>
        <v>0</v>
      </c>
      <c r="AQ46" s="51">
        <f t="shared" si="82"/>
        <v>83.333333333333343</v>
      </c>
      <c r="AR46" s="53"/>
      <c r="AS46" s="53"/>
      <c r="AT46" s="53"/>
      <c r="AU46" s="50">
        <f t="shared" si="83"/>
        <v>0</v>
      </c>
      <c r="AV46" s="50">
        <f t="shared" si="84"/>
        <v>0</v>
      </c>
      <c r="AW46" s="50">
        <f t="shared" si="85"/>
        <v>0</v>
      </c>
      <c r="AX46" s="50">
        <f t="shared" si="86"/>
        <v>0</v>
      </c>
      <c r="AY46" s="50">
        <f t="shared" si="87"/>
        <v>0</v>
      </c>
      <c r="AZ46" s="36"/>
      <c r="BA46" s="36"/>
      <c r="BB46" s="36"/>
      <c r="BC46" s="36"/>
      <c r="BD46" s="37">
        <f t="shared" si="88"/>
        <v>0</v>
      </c>
      <c r="BE46" s="37">
        <f t="shared" si="89"/>
        <v>0</v>
      </c>
      <c r="BF46" s="37">
        <f t="shared" si="90"/>
        <v>0</v>
      </c>
      <c r="BG46" s="37">
        <f t="shared" si="91"/>
        <v>0</v>
      </c>
      <c r="BH46" s="37">
        <f t="shared" si="92"/>
        <v>0</v>
      </c>
      <c r="BI46" s="37">
        <f t="shared" si="93"/>
        <v>0</v>
      </c>
      <c r="BJ46" s="37">
        <f t="shared" si="94"/>
        <v>0</v>
      </c>
      <c r="BK46" s="37">
        <f t="shared" si="95"/>
        <v>0</v>
      </c>
      <c r="BL46" s="36" t="s">
        <v>2067</v>
      </c>
      <c r="BM46" s="36" t="s">
        <v>2067</v>
      </c>
      <c r="BN46" s="36" t="s">
        <v>2067</v>
      </c>
      <c r="BO46" s="37">
        <f t="shared" si="96"/>
        <v>0</v>
      </c>
      <c r="BP46" s="37">
        <f t="shared" si="97"/>
        <v>0</v>
      </c>
      <c r="BQ46" s="37">
        <f t="shared" si="98"/>
        <v>0</v>
      </c>
      <c r="BR46" s="37">
        <f t="shared" si="99"/>
        <v>0</v>
      </c>
      <c r="BS46" s="37">
        <f t="shared" si="100"/>
        <v>0</v>
      </c>
      <c r="BT46" s="37">
        <f t="shared" si="101"/>
        <v>0</v>
      </c>
      <c r="BU46" s="36"/>
      <c r="BV46" s="36"/>
      <c r="BW46" s="37"/>
      <c r="BX46" s="37"/>
      <c r="BY46" s="37"/>
      <c r="BZ46" s="37"/>
      <c r="CA46" s="36"/>
      <c r="CB46" s="36"/>
      <c r="CC46" s="37"/>
      <c r="CD46" s="37"/>
      <c r="CE46" s="37"/>
      <c r="CF46" s="37"/>
      <c r="CG46" s="36"/>
      <c r="CH46" s="36"/>
      <c r="CI46" s="37">
        <f t="shared" si="102"/>
        <v>1</v>
      </c>
      <c r="CJ46" s="37">
        <f t="shared" si="103"/>
        <v>0.75</v>
      </c>
      <c r="CK46" s="37">
        <f t="shared" si="104"/>
        <v>0.75</v>
      </c>
      <c r="CL46" s="37">
        <f t="shared" si="105"/>
        <v>0</v>
      </c>
      <c r="CM46" s="37">
        <f t="shared" si="106"/>
        <v>0</v>
      </c>
      <c r="CN46" s="36" t="s">
        <v>2166</v>
      </c>
      <c r="CO46" s="36" t="s">
        <v>2166</v>
      </c>
      <c r="CP46" s="36" t="s">
        <v>2166</v>
      </c>
      <c r="CQ46" s="37">
        <f t="shared" si="107"/>
        <v>1</v>
      </c>
      <c r="CR46" s="37">
        <f t="shared" si="108"/>
        <v>1</v>
      </c>
      <c r="CS46" s="37">
        <f t="shared" si="109"/>
        <v>1</v>
      </c>
      <c r="CT46" s="37">
        <f t="shared" si="110"/>
        <v>0</v>
      </c>
      <c r="CU46" s="37">
        <f t="shared" si="111"/>
        <v>0</v>
      </c>
      <c r="CV46" s="36"/>
      <c r="CW46" s="37">
        <f t="shared" si="112"/>
        <v>0</v>
      </c>
      <c r="CX46" s="37">
        <f t="shared" si="113"/>
        <v>0</v>
      </c>
      <c r="CY46" s="37">
        <f t="shared" si="114"/>
        <v>3.3333333333333339</v>
      </c>
      <c r="CZ46" s="37">
        <f t="shared" si="115"/>
        <v>5</v>
      </c>
      <c r="DA46" s="37">
        <f t="shared" si="116"/>
        <v>0</v>
      </c>
      <c r="DB46" s="37">
        <f t="shared" si="117"/>
        <v>0</v>
      </c>
      <c r="DC46" s="37">
        <f t="shared" si="118"/>
        <v>0</v>
      </c>
      <c r="DD46" s="37">
        <f t="shared" si="119"/>
        <v>0</v>
      </c>
      <c r="DE46" s="37">
        <f t="shared" si="120"/>
        <v>0</v>
      </c>
      <c r="DF46" s="37">
        <f t="shared" si="123"/>
        <v>0</v>
      </c>
      <c r="DG46" s="37">
        <f t="shared" si="121"/>
        <v>0</v>
      </c>
      <c r="DH46" s="37">
        <f t="shared" si="122"/>
        <v>8.3333333333333339</v>
      </c>
    </row>
    <row r="47" spans="1:112" ht="24.75" hidden="1" x14ac:dyDescent="0.25">
      <c r="A47" s="37">
        <v>43</v>
      </c>
      <c r="B47" s="156" t="s">
        <v>2209</v>
      </c>
      <c r="C47" s="37"/>
      <c r="D47" s="37"/>
      <c r="E47" s="37"/>
      <c r="F47" s="37"/>
      <c r="G47" s="37"/>
      <c r="H47" s="37"/>
      <c r="I47" s="37"/>
      <c r="J47" s="53" t="s">
        <v>1947</v>
      </c>
      <c r="K47" s="53" t="s">
        <v>1948</v>
      </c>
      <c r="L47" s="53" t="s">
        <v>1947</v>
      </c>
      <c r="M47" s="61">
        <f t="shared" si="62"/>
        <v>0</v>
      </c>
      <c r="N47" s="61">
        <f t="shared" si="63"/>
        <v>1</v>
      </c>
      <c r="O47" s="61">
        <f t="shared" si="64"/>
        <v>0</v>
      </c>
      <c r="P47" s="61">
        <f t="shared" si="65"/>
        <v>1</v>
      </c>
      <c r="Q47" s="53" t="s">
        <v>2165</v>
      </c>
      <c r="R47" s="53" t="s">
        <v>2165</v>
      </c>
      <c r="S47" s="53" t="s">
        <v>1948</v>
      </c>
      <c r="T47" s="61">
        <f t="shared" si="66"/>
        <v>0</v>
      </c>
      <c r="U47" s="61">
        <f t="shared" si="67"/>
        <v>0</v>
      </c>
      <c r="V47" s="61">
        <f t="shared" si="68"/>
        <v>1</v>
      </c>
      <c r="W47" s="61">
        <f t="shared" si="69"/>
        <v>1</v>
      </c>
      <c r="X47" s="61">
        <f t="shared" si="70"/>
        <v>33.333333333333336</v>
      </c>
      <c r="Y47" s="53" t="s">
        <v>1948</v>
      </c>
      <c r="Z47" s="53" t="s">
        <v>1947</v>
      </c>
      <c r="AA47" s="61">
        <f t="shared" si="71"/>
        <v>1</v>
      </c>
      <c r="AB47" s="61">
        <f t="shared" si="72"/>
        <v>0</v>
      </c>
      <c r="AC47" s="61">
        <f t="shared" si="73"/>
        <v>1</v>
      </c>
      <c r="AD47" s="61">
        <f t="shared" si="74"/>
        <v>50</v>
      </c>
      <c r="AE47" s="53" t="s">
        <v>1947</v>
      </c>
      <c r="AF47" s="53" t="s">
        <v>1947</v>
      </c>
      <c r="AG47" s="53" t="s">
        <v>1947</v>
      </c>
      <c r="AH47" s="53" t="s">
        <v>1947</v>
      </c>
      <c r="AI47" s="53" t="s">
        <v>1947</v>
      </c>
      <c r="AJ47" s="50">
        <f t="shared" si="75"/>
        <v>0</v>
      </c>
      <c r="AK47" s="50">
        <f t="shared" si="76"/>
        <v>0</v>
      </c>
      <c r="AL47" s="50">
        <f t="shared" si="77"/>
        <v>0</v>
      </c>
      <c r="AM47" s="50">
        <f t="shared" si="78"/>
        <v>0</v>
      </c>
      <c r="AN47" s="50">
        <f t="shared" si="79"/>
        <v>0</v>
      </c>
      <c r="AO47" s="50">
        <f t="shared" si="80"/>
        <v>0</v>
      </c>
      <c r="AP47" s="51">
        <f t="shared" si="81"/>
        <v>0</v>
      </c>
      <c r="AQ47" s="51">
        <f t="shared" si="82"/>
        <v>83.333333333333343</v>
      </c>
      <c r="AR47" s="53"/>
      <c r="AS47" s="53"/>
      <c r="AT47" s="53"/>
      <c r="AU47" s="50">
        <f t="shared" si="83"/>
        <v>0</v>
      </c>
      <c r="AV47" s="50">
        <f t="shared" si="84"/>
        <v>0</v>
      </c>
      <c r="AW47" s="50">
        <f t="shared" si="85"/>
        <v>0</v>
      </c>
      <c r="AX47" s="50">
        <f t="shared" si="86"/>
        <v>0</v>
      </c>
      <c r="AY47" s="50">
        <f t="shared" si="87"/>
        <v>0</v>
      </c>
      <c r="AZ47" s="36"/>
      <c r="BA47" s="36"/>
      <c r="BB47" s="36"/>
      <c r="BC47" s="36"/>
      <c r="BD47" s="37">
        <f t="shared" si="88"/>
        <v>0</v>
      </c>
      <c r="BE47" s="37">
        <f t="shared" si="89"/>
        <v>0</v>
      </c>
      <c r="BF47" s="37">
        <f t="shared" si="90"/>
        <v>0</v>
      </c>
      <c r="BG47" s="37">
        <f t="shared" si="91"/>
        <v>0</v>
      </c>
      <c r="BH47" s="37">
        <f t="shared" si="92"/>
        <v>0</v>
      </c>
      <c r="BI47" s="37">
        <f t="shared" si="93"/>
        <v>0</v>
      </c>
      <c r="BJ47" s="37">
        <f t="shared" si="94"/>
        <v>0</v>
      </c>
      <c r="BK47" s="37">
        <f t="shared" si="95"/>
        <v>0</v>
      </c>
      <c r="BL47" s="36" t="s">
        <v>2067</v>
      </c>
      <c r="BM47" s="36" t="s">
        <v>2067</v>
      </c>
      <c r="BN47" s="36" t="s">
        <v>2067</v>
      </c>
      <c r="BO47" s="37">
        <f t="shared" si="96"/>
        <v>0</v>
      </c>
      <c r="BP47" s="37">
        <f t="shared" si="97"/>
        <v>0</v>
      </c>
      <c r="BQ47" s="37">
        <f t="shared" si="98"/>
        <v>0</v>
      </c>
      <c r="BR47" s="37">
        <f t="shared" si="99"/>
        <v>0</v>
      </c>
      <c r="BS47" s="37">
        <f t="shared" si="100"/>
        <v>0</v>
      </c>
      <c r="BT47" s="37">
        <f t="shared" si="101"/>
        <v>0</v>
      </c>
      <c r="BU47" s="36"/>
      <c r="BV47" s="36"/>
      <c r="BW47" s="37"/>
      <c r="BX47" s="37"/>
      <c r="BY47" s="37"/>
      <c r="BZ47" s="37"/>
      <c r="CA47" s="36"/>
      <c r="CB47" s="36"/>
      <c r="CC47" s="37"/>
      <c r="CD47" s="37"/>
      <c r="CE47" s="37"/>
      <c r="CF47" s="37"/>
      <c r="CG47" s="36"/>
      <c r="CH47" s="36"/>
      <c r="CI47" s="37">
        <f t="shared" si="102"/>
        <v>1</v>
      </c>
      <c r="CJ47" s="37">
        <f t="shared" si="103"/>
        <v>0.75</v>
      </c>
      <c r="CK47" s="37">
        <f t="shared" si="104"/>
        <v>0.75</v>
      </c>
      <c r="CL47" s="37">
        <f t="shared" si="105"/>
        <v>0</v>
      </c>
      <c r="CM47" s="37">
        <f t="shared" si="106"/>
        <v>0</v>
      </c>
      <c r="CN47" s="36" t="s">
        <v>2166</v>
      </c>
      <c r="CO47" s="36" t="s">
        <v>2166</v>
      </c>
      <c r="CP47" s="36" t="s">
        <v>2166</v>
      </c>
      <c r="CQ47" s="37">
        <f t="shared" si="107"/>
        <v>1</v>
      </c>
      <c r="CR47" s="37">
        <f t="shared" si="108"/>
        <v>1</v>
      </c>
      <c r="CS47" s="37">
        <f t="shared" si="109"/>
        <v>1</v>
      </c>
      <c r="CT47" s="37">
        <f t="shared" si="110"/>
        <v>0</v>
      </c>
      <c r="CU47" s="37">
        <f t="shared" si="111"/>
        <v>0</v>
      </c>
      <c r="CV47" s="36"/>
      <c r="CW47" s="37">
        <f t="shared" si="112"/>
        <v>0</v>
      </c>
      <c r="CX47" s="37">
        <f t="shared" si="113"/>
        <v>0</v>
      </c>
      <c r="CY47" s="37">
        <f t="shared" si="114"/>
        <v>3.3333333333333339</v>
      </c>
      <c r="CZ47" s="37">
        <f t="shared" si="115"/>
        <v>5</v>
      </c>
      <c r="DA47" s="37">
        <f t="shared" si="116"/>
        <v>0</v>
      </c>
      <c r="DB47" s="37">
        <f t="shared" si="117"/>
        <v>0</v>
      </c>
      <c r="DC47" s="37">
        <f t="shared" si="118"/>
        <v>0</v>
      </c>
      <c r="DD47" s="37">
        <f t="shared" si="119"/>
        <v>0</v>
      </c>
      <c r="DE47" s="37">
        <f t="shared" si="120"/>
        <v>0</v>
      </c>
      <c r="DF47" s="37">
        <f t="shared" si="123"/>
        <v>0</v>
      </c>
      <c r="DG47" s="37">
        <f t="shared" si="121"/>
        <v>0</v>
      </c>
      <c r="DH47" s="37">
        <f t="shared" si="122"/>
        <v>8.3333333333333339</v>
      </c>
    </row>
    <row r="48" spans="1:112" ht="24.75" hidden="1" x14ac:dyDescent="0.25">
      <c r="A48" s="37">
        <v>44</v>
      </c>
      <c r="B48" s="156" t="s">
        <v>2210</v>
      </c>
      <c r="C48" s="37"/>
      <c r="D48" s="37"/>
      <c r="E48" s="37"/>
      <c r="F48" s="37"/>
      <c r="G48" s="37"/>
      <c r="H48" s="37"/>
      <c r="I48" s="37"/>
      <c r="J48" s="53" t="s">
        <v>1947</v>
      </c>
      <c r="K48" s="53" t="s">
        <v>1948</v>
      </c>
      <c r="L48" s="53" t="s">
        <v>1947</v>
      </c>
      <c r="M48" s="61">
        <f t="shared" si="62"/>
        <v>0</v>
      </c>
      <c r="N48" s="61">
        <f t="shared" si="63"/>
        <v>1</v>
      </c>
      <c r="O48" s="61">
        <f t="shared" si="64"/>
        <v>0</v>
      </c>
      <c r="P48" s="61">
        <f t="shared" si="65"/>
        <v>1</v>
      </c>
      <c r="Q48" s="53" t="s">
        <v>2165</v>
      </c>
      <c r="R48" s="53" t="s">
        <v>2165</v>
      </c>
      <c r="S48" s="53" t="s">
        <v>1948</v>
      </c>
      <c r="T48" s="61">
        <f t="shared" si="66"/>
        <v>0</v>
      </c>
      <c r="U48" s="61">
        <f t="shared" si="67"/>
        <v>0</v>
      </c>
      <c r="V48" s="61">
        <f t="shared" si="68"/>
        <v>1</v>
      </c>
      <c r="W48" s="61">
        <f t="shared" si="69"/>
        <v>1</v>
      </c>
      <c r="X48" s="61">
        <f t="shared" si="70"/>
        <v>33.333333333333336</v>
      </c>
      <c r="Y48" s="53" t="s">
        <v>1948</v>
      </c>
      <c r="Z48" s="53" t="s">
        <v>1947</v>
      </c>
      <c r="AA48" s="61">
        <f t="shared" si="71"/>
        <v>1</v>
      </c>
      <c r="AB48" s="61">
        <f t="shared" si="72"/>
        <v>0</v>
      </c>
      <c r="AC48" s="61">
        <f t="shared" si="73"/>
        <v>1</v>
      </c>
      <c r="AD48" s="61">
        <f t="shared" si="74"/>
        <v>50</v>
      </c>
      <c r="AE48" s="53" t="s">
        <v>1947</v>
      </c>
      <c r="AF48" s="53" t="s">
        <v>1947</v>
      </c>
      <c r="AG48" s="53" t="s">
        <v>1947</v>
      </c>
      <c r="AH48" s="53" t="s">
        <v>1947</v>
      </c>
      <c r="AI48" s="53" t="s">
        <v>1947</v>
      </c>
      <c r="AJ48" s="50">
        <f t="shared" si="75"/>
        <v>0</v>
      </c>
      <c r="AK48" s="50">
        <f t="shared" si="76"/>
        <v>0</v>
      </c>
      <c r="AL48" s="50">
        <f t="shared" si="77"/>
        <v>0</v>
      </c>
      <c r="AM48" s="50">
        <f t="shared" si="78"/>
        <v>0</v>
      </c>
      <c r="AN48" s="50">
        <f t="shared" si="79"/>
        <v>0</v>
      </c>
      <c r="AO48" s="50">
        <f t="shared" si="80"/>
        <v>0</v>
      </c>
      <c r="AP48" s="51">
        <f t="shared" si="81"/>
        <v>0</v>
      </c>
      <c r="AQ48" s="51">
        <f t="shared" si="82"/>
        <v>83.333333333333343</v>
      </c>
      <c r="AR48" s="53"/>
      <c r="AS48" s="53"/>
      <c r="AT48" s="53"/>
      <c r="AU48" s="50">
        <f t="shared" si="83"/>
        <v>0</v>
      </c>
      <c r="AV48" s="50">
        <f t="shared" si="84"/>
        <v>0</v>
      </c>
      <c r="AW48" s="50">
        <f t="shared" si="85"/>
        <v>0</v>
      </c>
      <c r="AX48" s="50">
        <f t="shared" si="86"/>
        <v>0</v>
      </c>
      <c r="AY48" s="50">
        <f t="shared" si="87"/>
        <v>0</v>
      </c>
      <c r="AZ48" s="36"/>
      <c r="BA48" s="36"/>
      <c r="BB48" s="36"/>
      <c r="BC48" s="36"/>
      <c r="BD48" s="37">
        <f t="shared" si="88"/>
        <v>0</v>
      </c>
      <c r="BE48" s="37">
        <f t="shared" si="89"/>
        <v>0</v>
      </c>
      <c r="BF48" s="37">
        <f t="shared" si="90"/>
        <v>0</v>
      </c>
      <c r="BG48" s="37">
        <f t="shared" si="91"/>
        <v>0</v>
      </c>
      <c r="BH48" s="37">
        <f t="shared" si="92"/>
        <v>0</v>
      </c>
      <c r="BI48" s="37">
        <f t="shared" si="93"/>
        <v>0</v>
      </c>
      <c r="BJ48" s="37">
        <f t="shared" si="94"/>
        <v>0</v>
      </c>
      <c r="BK48" s="37">
        <f t="shared" si="95"/>
        <v>0</v>
      </c>
      <c r="BL48" s="36" t="s">
        <v>2067</v>
      </c>
      <c r="BM48" s="36" t="s">
        <v>2067</v>
      </c>
      <c r="BN48" s="36" t="s">
        <v>2067</v>
      </c>
      <c r="BO48" s="37">
        <f t="shared" si="96"/>
        <v>0</v>
      </c>
      <c r="BP48" s="37">
        <f t="shared" si="97"/>
        <v>0</v>
      </c>
      <c r="BQ48" s="37">
        <f t="shared" si="98"/>
        <v>0</v>
      </c>
      <c r="BR48" s="37">
        <f t="shared" si="99"/>
        <v>0</v>
      </c>
      <c r="BS48" s="37">
        <f t="shared" si="100"/>
        <v>0</v>
      </c>
      <c r="BT48" s="37">
        <f t="shared" si="101"/>
        <v>0</v>
      </c>
      <c r="BU48" s="36"/>
      <c r="BV48" s="36"/>
      <c r="BW48" s="37"/>
      <c r="BX48" s="37"/>
      <c r="BY48" s="37"/>
      <c r="BZ48" s="37"/>
      <c r="CA48" s="36"/>
      <c r="CB48" s="36"/>
      <c r="CC48" s="37"/>
      <c r="CD48" s="37"/>
      <c r="CE48" s="37"/>
      <c r="CF48" s="37"/>
      <c r="CG48" s="36"/>
      <c r="CH48" s="36"/>
      <c r="CI48" s="37">
        <f t="shared" si="102"/>
        <v>1</v>
      </c>
      <c r="CJ48" s="37">
        <f t="shared" si="103"/>
        <v>0.75</v>
      </c>
      <c r="CK48" s="37">
        <f t="shared" si="104"/>
        <v>0.75</v>
      </c>
      <c r="CL48" s="37">
        <f t="shared" si="105"/>
        <v>0</v>
      </c>
      <c r="CM48" s="37">
        <f t="shared" si="106"/>
        <v>0</v>
      </c>
      <c r="CN48" s="36" t="s">
        <v>2166</v>
      </c>
      <c r="CO48" s="36" t="s">
        <v>2166</v>
      </c>
      <c r="CP48" s="36" t="s">
        <v>2166</v>
      </c>
      <c r="CQ48" s="37">
        <f t="shared" si="107"/>
        <v>1</v>
      </c>
      <c r="CR48" s="37">
        <f t="shared" si="108"/>
        <v>1</v>
      </c>
      <c r="CS48" s="37">
        <f t="shared" si="109"/>
        <v>1</v>
      </c>
      <c r="CT48" s="37">
        <f t="shared" si="110"/>
        <v>0</v>
      </c>
      <c r="CU48" s="37">
        <f t="shared" si="111"/>
        <v>0</v>
      </c>
      <c r="CV48" s="36"/>
      <c r="CW48" s="37">
        <f t="shared" si="112"/>
        <v>0</v>
      </c>
      <c r="CX48" s="37">
        <f t="shared" si="113"/>
        <v>0</v>
      </c>
      <c r="CY48" s="37">
        <f t="shared" si="114"/>
        <v>3.3333333333333339</v>
      </c>
      <c r="CZ48" s="37">
        <f t="shared" si="115"/>
        <v>5</v>
      </c>
      <c r="DA48" s="37">
        <f t="shared" si="116"/>
        <v>0</v>
      </c>
      <c r="DB48" s="37">
        <f t="shared" si="117"/>
        <v>0</v>
      </c>
      <c r="DC48" s="37">
        <f t="shared" si="118"/>
        <v>0</v>
      </c>
      <c r="DD48" s="37">
        <f t="shared" si="119"/>
        <v>0</v>
      </c>
      <c r="DE48" s="37">
        <f t="shared" si="120"/>
        <v>0</v>
      </c>
      <c r="DF48" s="37">
        <f t="shared" si="123"/>
        <v>0</v>
      </c>
      <c r="DG48" s="37">
        <f t="shared" si="121"/>
        <v>0</v>
      </c>
      <c r="DH48" s="37">
        <f t="shared" si="122"/>
        <v>8.3333333333333339</v>
      </c>
    </row>
    <row r="49" spans="1:112" ht="24.75" hidden="1" x14ac:dyDescent="0.25">
      <c r="A49" s="37">
        <v>45</v>
      </c>
      <c r="B49" s="156" t="s">
        <v>2211</v>
      </c>
      <c r="C49" s="37"/>
      <c r="D49" s="37"/>
      <c r="E49" s="37"/>
      <c r="F49" s="37"/>
      <c r="G49" s="37"/>
      <c r="H49" s="37"/>
      <c r="I49" s="37"/>
      <c r="J49" s="53" t="s">
        <v>1947</v>
      </c>
      <c r="K49" s="53" t="s">
        <v>1948</v>
      </c>
      <c r="L49" s="53" t="s">
        <v>1947</v>
      </c>
      <c r="M49" s="61">
        <f t="shared" si="62"/>
        <v>0</v>
      </c>
      <c r="N49" s="61">
        <f t="shared" si="63"/>
        <v>1</v>
      </c>
      <c r="O49" s="61">
        <f t="shared" si="64"/>
        <v>0</v>
      </c>
      <c r="P49" s="61">
        <f t="shared" si="65"/>
        <v>1</v>
      </c>
      <c r="Q49" s="53" t="s">
        <v>2165</v>
      </c>
      <c r="R49" s="53" t="s">
        <v>2165</v>
      </c>
      <c r="S49" s="53" t="s">
        <v>1948</v>
      </c>
      <c r="T49" s="61">
        <f t="shared" si="66"/>
        <v>0</v>
      </c>
      <c r="U49" s="61">
        <f t="shared" si="67"/>
        <v>0</v>
      </c>
      <c r="V49" s="61">
        <f t="shared" si="68"/>
        <v>1</v>
      </c>
      <c r="W49" s="61">
        <f t="shared" si="69"/>
        <v>1</v>
      </c>
      <c r="X49" s="61">
        <f t="shared" si="70"/>
        <v>33.333333333333336</v>
      </c>
      <c r="Y49" s="53" t="s">
        <v>1948</v>
      </c>
      <c r="Z49" s="53" t="s">
        <v>1947</v>
      </c>
      <c r="AA49" s="61">
        <f t="shared" si="71"/>
        <v>1</v>
      </c>
      <c r="AB49" s="61">
        <f t="shared" si="72"/>
        <v>0</v>
      </c>
      <c r="AC49" s="61">
        <f t="shared" si="73"/>
        <v>1</v>
      </c>
      <c r="AD49" s="61">
        <f t="shared" si="74"/>
        <v>50</v>
      </c>
      <c r="AE49" s="53" t="s">
        <v>1947</v>
      </c>
      <c r="AF49" s="53" t="s">
        <v>1947</v>
      </c>
      <c r="AG49" s="53" t="s">
        <v>1947</v>
      </c>
      <c r="AH49" s="53" t="s">
        <v>1947</v>
      </c>
      <c r="AI49" s="53" t="s">
        <v>1947</v>
      </c>
      <c r="AJ49" s="50">
        <f t="shared" si="75"/>
        <v>0</v>
      </c>
      <c r="AK49" s="50">
        <f t="shared" si="76"/>
        <v>0</v>
      </c>
      <c r="AL49" s="50">
        <f t="shared" si="77"/>
        <v>0</v>
      </c>
      <c r="AM49" s="50">
        <f t="shared" si="78"/>
        <v>0</v>
      </c>
      <c r="AN49" s="50">
        <f t="shared" si="79"/>
        <v>0</v>
      </c>
      <c r="AO49" s="50">
        <f t="shared" si="80"/>
        <v>0</v>
      </c>
      <c r="AP49" s="51">
        <f t="shared" si="81"/>
        <v>0</v>
      </c>
      <c r="AQ49" s="51">
        <f t="shared" si="82"/>
        <v>83.333333333333343</v>
      </c>
      <c r="AR49" s="53"/>
      <c r="AS49" s="53"/>
      <c r="AT49" s="53"/>
      <c r="AU49" s="50">
        <f t="shared" si="83"/>
        <v>0</v>
      </c>
      <c r="AV49" s="50">
        <f t="shared" si="84"/>
        <v>0</v>
      </c>
      <c r="AW49" s="50">
        <f t="shared" si="85"/>
        <v>0</v>
      </c>
      <c r="AX49" s="50">
        <f t="shared" si="86"/>
        <v>0</v>
      </c>
      <c r="AY49" s="50">
        <f t="shared" si="87"/>
        <v>0</v>
      </c>
      <c r="AZ49" s="36"/>
      <c r="BA49" s="36"/>
      <c r="BB49" s="36"/>
      <c r="BC49" s="36"/>
      <c r="BD49" s="37">
        <f t="shared" si="88"/>
        <v>0</v>
      </c>
      <c r="BE49" s="37">
        <f t="shared" si="89"/>
        <v>0</v>
      </c>
      <c r="BF49" s="37">
        <f t="shared" si="90"/>
        <v>0</v>
      </c>
      <c r="BG49" s="37">
        <f t="shared" si="91"/>
        <v>0</v>
      </c>
      <c r="BH49" s="37">
        <f t="shared" si="92"/>
        <v>0</v>
      </c>
      <c r="BI49" s="37">
        <f t="shared" si="93"/>
        <v>0</v>
      </c>
      <c r="BJ49" s="37">
        <f t="shared" si="94"/>
        <v>0</v>
      </c>
      <c r="BK49" s="37">
        <f t="shared" si="95"/>
        <v>0</v>
      </c>
      <c r="BL49" s="36" t="s">
        <v>2067</v>
      </c>
      <c r="BM49" s="36" t="s">
        <v>2067</v>
      </c>
      <c r="BN49" s="36" t="s">
        <v>2067</v>
      </c>
      <c r="BO49" s="37">
        <f t="shared" si="96"/>
        <v>0</v>
      </c>
      <c r="BP49" s="37">
        <f t="shared" si="97"/>
        <v>0</v>
      </c>
      <c r="BQ49" s="37">
        <f t="shared" si="98"/>
        <v>0</v>
      </c>
      <c r="BR49" s="37">
        <f t="shared" si="99"/>
        <v>0</v>
      </c>
      <c r="BS49" s="37">
        <f t="shared" si="100"/>
        <v>0</v>
      </c>
      <c r="BT49" s="37">
        <f t="shared" si="101"/>
        <v>0</v>
      </c>
      <c r="BU49" s="36"/>
      <c r="BV49" s="36"/>
      <c r="BW49" s="37"/>
      <c r="BX49" s="37"/>
      <c r="BY49" s="37"/>
      <c r="BZ49" s="37"/>
      <c r="CA49" s="36"/>
      <c r="CB49" s="36"/>
      <c r="CC49" s="37"/>
      <c r="CD49" s="37"/>
      <c r="CE49" s="37"/>
      <c r="CF49" s="37"/>
      <c r="CG49" s="36"/>
      <c r="CH49" s="36"/>
      <c r="CI49" s="37">
        <f t="shared" si="102"/>
        <v>1</v>
      </c>
      <c r="CJ49" s="37">
        <f t="shared" si="103"/>
        <v>0.75</v>
      </c>
      <c r="CK49" s="37">
        <f t="shared" si="104"/>
        <v>0.75</v>
      </c>
      <c r="CL49" s="37">
        <f t="shared" si="105"/>
        <v>0</v>
      </c>
      <c r="CM49" s="37">
        <f t="shared" si="106"/>
        <v>0</v>
      </c>
      <c r="CN49" s="36" t="s">
        <v>2166</v>
      </c>
      <c r="CO49" s="36" t="s">
        <v>2166</v>
      </c>
      <c r="CP49" s="36" t="s">
        <v>2166</v>
      </c>
      <c r="CQ49" s="37">
        <f t="shared" si="107"/>
        <v>1</v>
      </c>
      <c r="CR49" s="37">
        <f t="shared" si="108"/>
        <v>1</v>
      </c>
      <c r="CS49" s="37">
        <f t="shared" si="109"/>
        <v>1</v>
      </c>
      <c r="CT49" s="37">
        <f t="shared" si="110"/>
        <v>0</v>
      </c>
      <c r="CU49" s="37">
        <f t="shared" si="111"/>
        <v>0</v>
      </c>
      <c r="CV49" s="36"/>
      <c r="CW49" s="37">
        <f t="shared" si="112"/>
        <v>0</v>
      </c>
      <c r="CX49" s="37">
        <f t="shared" si="113"/>
        <v>0</v>
      </c>
      <c r="CY49" s="37">
        <f t="shared" si="114"/>
        <v>3.3333333333333339</v>
      </c>
      <c r="CZ49" s="37">
        <f t="shared" si="115"/>
        <v>5</v>
      </c>
      <c r="DA49" s="37">
        <f t="shared" si="116"/>
        <v>0</v>
      </c>
      <c r="DB49" s="37">
        <f t="shared" si="117"/>
        <v>0</v>
      </c>
      <c r="DC49" s="37">
        <f t="shared" si="118"/>
        <v>0</v>
      </c>
      <c r="DD49" s="37">
        <f t="shared" si="119"/>
        <v>0</v>
      </c>
      <c r="DE49" s="37">
        <f t="shared" si="120"/>
        <v>0</v>
      </c>
      <c r="DF49" s="37">
        <f t="shared" si="123"/>
        <v>0</v>
      </c>
      <c r="DG49" s="37">
        <f t="shared" si="121"/>
        <v>0</v>
      </c>
      <c r="DH49" s="37">
        <f t="shared" si="122"/>
        <v>8.3333333333333339</v>
      </c>
    </row>
    <row r="50" spans="1:112" ht="36.75" hidden="1" x14ac:dyDescent="0.25">
      <c r="A50" s="37">
        <v>46</v>
      </c>
      <c r="B50" s="156" t="s">
        <v>2212</v>
      </c>
      <c r="C50" s="37"/>
      <c r="D50" s="37"/>
      <c r="E50" s="37"/>
      <c r="F50" s="37"/>
      <c r="G50" s="37"/>
      <c r="H50" s="37"/>
      <c r="I50" s="37"/>
      <c r="J50" s="53" t="s">
        <v>1947</v>
      </c>
      <c r="K50" s="53" t="s">
        <v>1948</v>
      </c>
      <c r="L50" s="53" t="s">
        <v>1947</v>
      </c>
      <c r="M50" s="61">
        <f t="shared" si="62"/>
        <v>0</v>
      </c>
      <c r="N50" s="61">
        <f t="shared" si="63"/>
        <v>1</v>
      </c>
      <c r="O50" s="61">
        <f t="shared" si="64"/>
        <v>0</v>
      </c>
      <c r="P50" s="61">
        <f t="shared" si="65"/>
        <v>1</v>
      </c>
      <c r="Q50" s="53" t="s">
        <v>2165</v>
      </c>
      <c r="R50" s="53" t="s">
        <v>2165</v>
      </c>
      <c r="S50" s="53" t="s">
        <v>1948</v>
      </c>
      <c r="T50" s="61">
        <f t="shared" si="66"/>
        <v>0</v>
      </c>
      <c r="U50" s="61">
        <f t="shared" si="67"/>
        <v>0</v>
      </c>
      <c r="V50" s="61">
        <f t="shared" si="68"/>
        <v>1</v>
      </c>
      <c r="W50" s="61">
        <f t="shared" si="69"/>
        <v>1</v>
      </c>
      <c r="X50" s="61">
        <f t="shared" si="70"/>
        <v>33.333333333333336</v>
      </c>
      <c r="Y50" s="53" t="s">
        <v>1948</v>
      </c>
      <c r="Z50" s="53" t="s">
        <v>1947</v>
      </c>
      <c r="AA50" s="61">
        <f t="shared" si="71"/>
        <v>1</v>
      </c>
      <c r="AB50" s="61">
        <f t="shared" si="72"/>
        <v>0</v>
      </c>
      <c r="AC50" s="61">
        <f t="shared" si="73"/>
        <v>1</v>
      </c>
      <c r="AD50" s="61">
        <f t="shared" si="74"/>
        <v>50</v>
      </c>
      <c r="AE50" s="53" t="s">
        <v>1947</v>
      </c>
      <c r="AF50" s="53" t="s">
        <v>1947</v>
      </c>
      <c r="AG50" s="53" t="s">
        <v>1947</v>
      </c>
      <c r="AH50" s="53" t="s">
        <v>1947</v>
      </c>
      <c r="AI50" s="53" t="s">
        <v>1947</v>
      </c>
      <c r="AJ50" s="50">
        <f t="shared" si="75"/>
        <v>0</v>
      </c>
      <c r="AK50" s="50">
        <f t="shared" si="76"/>
        <v>0</v>
      </c>
      <c r="AL50" s="50">
        <f t="shared" si="77"/>
        <v>0</v>
      </c>
      <c r="AM50" s="50">
        <f t="shared" si="78"/>
        <v>0</v>
      </c>
      <c r="AN50" s="50">
        <f t="shared" si="79"/>
        <v>0</v>
      </c>
      <c r="AO50" s="50">
        <f t="shared" si="80"/>
        <v>0</v>
      </c>
      <c r="AP50" s="51">
        <f t="shared" si="81"/>
        <v>0</v>
      </c>
      <c r="AQ50" s="51">
        <f t="shared" si="82"/>
        <v>83.333333333333343</v>
      </c>
      <c r="AR50" s="53"/>
      <c r="AS50" s="53"/>
      <c r="AT50" s="53"/>
      <c r="AU50" s="50">
        <f t="shared" si="83"/>
        <v>0</v>
      </c>
      <c r="AV50" s="50">
        <f t="shared" si="84"/>
        <v>0</v>
      </c>
      <c r="AW50" s="50">
        <f t="shared" si="85"/>
        <v>0</v>
      </c>
      <c r="AX50" s="50">
        <f t="shared" si="86"/>
        <v>0</v>
      </c>
      <c r="AY50" s="50">
        <f t="shared" si="87"/>
        <v>0</v>
      </c>
      <c r="AZ50" s="36"/>
      <c r="BA50" s="36"/>
      <c r="BB50" s="36"/>
      <c r="BC50" s="36"/>
      <c r="BD50" s="37">
        <f t="shared" si="88"/>
        <v>0</v>
      </c>
      <c r="BE50" s="37">
        <f t="shared" si="89"/>
        <v>0</v>
      </c>
      <c r="BF50" s="37">
        <f t="shared" si="90"/>
        <v>0</v>
      </c>
      <c r="BG50" s="37">
        <f t="shared" si="91"/>
        <v>0</v>
      </c>
      <c r="BH50" s="37">
        <f t="shared" si="92"/>
        <v>0</v>
      </c>
      <c r="BI50" s="37">
        <f t="shared" si="93"/>
        <v>0</v>
      </c>
      <c r="BJ50" s="37">
        <f t="shared" si="94"/>
        <v>0</v>
      </c>
      <c r="BK50" s="37">
        <f t="shared" si="95"/>
        <v>0</v>
      </c>
      <c r="BL50" s="36" t="s">
        <v>2067</v>
      </c>
      <c r="BM50" s="36" t="s">
        <v>2067</v>
      </c>
      <c r="BN50" s="36" t="s">
        <v>2067</v>
      </c>
      <c r="BO50" s="37">
        <f t="shared" si="96"/>
        <v>0</v>
      </c>
      <c r="BP50" s="37">
        <f t="shared" si="97"/>
        <v>0</v>
      </c>
      <c r="BQ50" s="37">
        <f t="shared" si="98"/>
        <v>0</v>
      </c>
      <c r="BR50" s="37">
        <f t="shared" si="99"/>
        <v>0</v>
      </c>
      <c r="BS50" s="37">
        <f t="shared" si="100"/>
        <v>0</v>
      </c>
      <c r="BT50" s="37">
        <f t="shared" si="101"/>
        <v>0</v>
      </c>
      <c r="BU50" s="36"/>
      <c r="BV50" s="36"/>
      <c r="BW50" s="37"/>
      <c r="BX50" s="37"/>
      <c r="BY50" s="37"/>
      <c r="BZ50" s="37"/>
      <c r="CA50" s="36"/>
      <c r="CB50" s="36"/>
      <c r="CC50" s="37"/>
      <c r="CD50" s="37"/>
      <c r="CE50" s="37"/>
      <c r="CF50" s="37"/>
      <c r="CG50" s="36"/>
      <c r="CH50" s="36"/>
      <c r="CI50" s="37">
        <f t="shared" si="102"/>
        <v>1</v>
      </c>
      <c r="CJ50" s="37">
        <f t="shared" si="103"/>
        <v>0.75</v>
      </c>
      <c r="CK50" s="37">
        <f t="shared" si="104"/>
        <v>0.75</v>
      </c>
      <c r="CL50" s="37">
        <f t="shared" si="105"/>
        <v>0</v>
      </c>
      <c r="CM50" s="37">
        <f t="shared" si="106"/>
        <v>0</v>
      </c>
      <c r="CN50" s="36" t="s">
        <v>2166</v>
      </c>
      <c r="CO50" s="36" t="s">
        <v>2166</v>
      </c>
      <c r="CP50" s="36" t="s">
        <v>2166</v>
      </c>
      <c r="CQ50" s="37">
        <f t="shared" si="107"/>
        <v>1</v>
      </c>
      <c r="CR50" s="37">
        <f t="shared" si="108"/>
        <v>1</v>
      </c>
      <c r="CS50" s="37">
        <f t="shared" si="109"/>
        <v>1</v>
      </c>
      <c r="CT50" s="37">
        <f t="shared" si="110"/>
        <v>0</v>
      </c>
      <c r="CU50" s="37">
        <f t="shared" si="111"/>
        <v>0</v>
      </c>
      <c r="CV50" s="36"/>
      <c r="CW50" s="37">
        <f t="shared" si="112"/>
        <v>0</v>
      </c>
      <c r="CX50" s="37">
        <f t="shared" si="113"/>
        <v>0</v>
      </c>
      <c r="CY50" s="37">
        <f t="shared" si="114"/>
        <v>3.3333333333333339</v>
      </c>
      <c r="CZ50" s="37">
        <f t="shared" si="115"/>
        <v>5</v>
      </c>
      <c r="DA50" s="37">
        <f t="shared" si="116"/>
        <v>0</v>
      </c>
      <c r="DB50" s="37">
        <f t="shared" si="117"/>
        <v>0</v>
      </c>
      <c r="DC50" s="37">
        <f t="shared" si="118"/>
        <v>0</v>
      </c>
      <c r="DD50" s="37">
        <f t="shared" si="119"/>
        <v>0</v>
      </c>
      <c r="DE50" s="37">
        <f t="shared" si="120"/>
        <v>0</v>
      </c>
      <c r="DF50" s="37">
        <f t="shared" si="123"/>
        <v>0</v>
      </c>
      <c r="DG50" s="37">
        <f t="shared" si="121"/>
        <v>0</v>
      </c>
      <c r="DH50" s="37">
        <f t="shared" si="122"/>
        <v>8.3333333333333339</v>
      </c>
    </row>
    <row r="51" spans="1:112" ht="36.75" hidden="1" x14ac:dyDescent="0.25">
      <c r="A51" s="37">
        <v>47</v>
      </c>
      <c r="B51" s="156" t="s">
        <v>2213</v>
      </c>
      <c r="C51" s="37"/>
      <c r="D51" s="37"/>
      <c r="E51" s="37"/>
      <c r="F51" s="37"/>
      <c r="G51" s="37"/>
      <c r="H51" s="37"/>
      <c r="I51" s="37"/>
      <c r="J51" s="53" t="s">
        <v>1947</v>
      </c>
      <c r="K51" s="53" t="s">
        <v>1948</v>
      </c>
      <c r="L51" s="53" t="s">
        <v>1947</v>
      </c>
      <c r="M51" s="61">
        <f t="shared" si="62"/>
        <v>0</v>
      </c>
      <c r="N51" s="61">
        <f t="shared" si="63"/>
        <v>1</v>
      </c>
      <c r="O51" s="61">
        <f t="shared" si="64"/>
        <v>0</v>
      </c>
      <c r="P51" s="61">
        <f t="shared" si="65"/>
        <v>1</v>
      </c>
      <c r="Q51" s="53" t="s">
        <v>2165</v>
      </c>
      <c r="R51" s="53" t="s">
        <v>2165</v>
      </c>
      <c r="S51" s="53" t="s">
        <v>1948</v>
      </c>
      <c r="T51" s="61">
        <f t="shared" si="66"/>
        <v>0</v>
      </c>
      <c r="U51" s="61">
        <f t="shared" si="67"/>
        <v>0</v>
      </c>
      <c r="V51" s="61">
        <f t="shared" si="68"/>
        <v>1</v>
      </c>
      <c r="W51" s="61">
        <f t="shared" si="69"/>
        <v>1</v>
      </c>
      <c r="X51" s="61">
        <f t="shared" si="70"/>
        <v>33.333333333333336</v>
      </c>
      <c r="Y51" s="53" t="s">
        <v>1948</v>
      </c>
      <c r="Z51" s="53" t="s">
        <v>1947</v>
      </c>
      <c r="AA51" s="61">
        <f t="shared" si="71"/>
        <v>1</v>
      </c>
      <c r="AB51" s="61">
        <f t="shared" si="72"/>
        <v>0</v>
      </c>
      <c r="AC51" s="61">
        <f t="shared" si="73"/>
        <v>1</v>
      </c>
      <c r="AD51" s="61">
        <f t="shared" si="74"/>
        <v>50</v>
      </c>
      <c r="AE51" s="53" t="s">
        <v>1947</v>
      </c>
      <c r="AF51" s="53" t="s">
        <v>1947</v>
      </c>
      <c r="AG51" s="53" t="s">
        <v>1947</v>
      </c>
      <c r="AH51" s="53" t="s">
        <v>1947</v>
      </c>
      <c r="AI51" s="53" t="s">
        <v>1947</v>
      </c>
      <c r="AJ51" s="50">
        <f t="shared" si="75"/>
        <v>0</v>
      </c>
      <c r="AK51" s="50">
        <f t="shared" si="76"/>
        <v>0</v>
      </c>
      <c r="AL51" s="50">
        <f t="shared" si="77"/>
        <v>0</v>
      </c>
      <c r="AM51" s="50">
        <f t="shared" si="78"/>
        <v>0</v>
      </c>
      <c r="AN51" s="50">
        <f t="shared" si="79"/>
        <v>0</v>
      </c>
      <c r="AO51" s="50">
        <f t="shared" si="80"/>
        <v>0</v>
      </c>
      <c r="AP51" s="51">
        <f t="shared" si="81"/>
        <v>0</v>
      </c>
      <c r="AQ51" s="51">
        <f t="shared" si="82"/>
        <v>83.333333333333343</v>
      </c>
      <c r="AR51" s="53"/>
      <c r="AS51" s="53"/>
      <c r="AT51" s="53"/>
      <c r="AU51" s="50">
        <f t="shared" si="83"/>
        <v>0</v>
      </c>
      <c r="AV51" s="50">
        <f t="shared" si="84"/>
        <v>0</v>
      </c>
      <c r="AW51" s="50">
        <f t="shared" si="85"/>
        <v>0</v>
      </c>
      <c r="AX51" s="50">
        <f t="shared" si="86"/>
        <v>0</v>
      </c>
      <c r="AY51" s="50">
        <f t="shared" si="87"/>
        <v>0</v>
      </c>
      <c r="AZ51" s="36"/>
      <c r="BA51" s="36"/>
      <c r="BB51" s="36"/>
      <c r="BC51" s="36"/>
      <c r="BD51" s="37">
        <f t="shared" si="88"/>
        <v>0</v>
      </c>
      <c r="BE51" s="37">
        <f t="shared" si="89"/>
        <v>0</v>
      </c>
      <c r="BF51" s="37">
        <f t="shared" si="90"/>
        <v>0</v>
      </c>
      <c r="BG51" s="37">
        <f t="shared" si="91"/>
        <v>0</v>
      </c>
      <c r="BH51" s="37">
        <f t="shared" si="92"/>
        <v>0</v>
      </c>
      <c r="BI51" s="37">
        <f t="shared" si="93"/>
        <v>0</v>
      </c>
      <c r="BJ51" s="37">
        <f t="shared" si="94"/>
        <v>0</v>
      </c>
      <c r="BK51" s="37">
        <f t="shared" si="95"/>
        <v>0</v>
      </c>
      <c r="BL51" s="36" t="s">
        <v>2067</v>
      </c>
      <c r="BM51" s="36" t="s">
        <v>2067</v>
      </c>
      <c r="BN51" s="36" t="s">
        <v>2067</v>
      </c>
      <c r="BO51" s="37">
        <f t="shared" si="96"/>
        <v>0</v>
      </c>
      <c r="BP51" s="37">
        <f t="shared" si="97"/>
        <v>0</v>
      </c>
      <c r="BQ51" s="37">
        <f t="shared" si="98"/>
        <v>0</v>
      </c>
      <c r="BR51" s="37">
        <f t="shared" si="99"/>
        <v>0</v>
      </c>
      <c r="BS51" s="37">
        <f t="shared" si="100"/>
        <v>0</v>
      </c>
      <c r="BT51" s="37">
        <f t="shared" si="101"/>
        <v>0</v>
      </c>
      <c r="BU51" s="36"/>
      <c r="BV51" s="36"/>
      <c r="BW51" s="37"/>
      <c r="BX51" s="37"/>
      <c r="BY51" s="37"/>
      <c r="BZ51" s="37"/>
      <c r="CA51" s="36"/>
      <c r="CB51" s="36"/>
      <c r="CC51" s="37"/>
      <c r="CD51" s="37"/>
      <c r="CE51" s="37"/>
      <c r="CF51" s="37"/>
      <c r="CG51" s="36"/>
      <c r="CH51" s="36"/>
      <c r="CI51" s="37">
        <f t="shared" si="102"/>
        <v>1</v>
      </c>
      <c r="CJ51" s="37">
        <f t="shared" si="103"/>
        <v>0.75</v>
      </c>
      <c r="CK51" s="37">
        <f t="shared" si="104"/>
        <v>0.75</v>
      </c>
      <c r="CL51" s="37">
        <f t="shared" si="105"/>
        <v>0</v>
      </c>
      <c r="CM51" s="37">
        <f t="shared" si="106"/>
        <v>0</v>
      </c>
      <c r="CN51" s="36" t="s">
        <v>2166</v>
      </c>
      <c r="CO51" s="36" t="s">
        <v>2166</v>
      </c>
      <c r="CP51" s="36" t="s">
        <v>2166</v>
      </c>
      <c r="CQ51" s="37">
        <f t="shared" si="107"/>
        <v>1</v>
      </c>
      <c r="CR51" s="37">
        <f t="shared" si="108"/>
        <v>1</v>
      </c>
      <c r="CS51" s="37">
        <f t="shared" si="109"/>
        <v>1</v>
      </c>
      <c r="CT51" s="37">
        <f t="shared" si="110"/>
        <v>0</v>
      </c>
      <c r="CU51" s="37">
        <f t="shared" si="111"/>
        <v>0</v>
      </c>
      <c r="CV51" s="36"/>
      <c r="CW51" s="37">
        <f t="shared" si="112"/>
        <v>0</v>
      </c>
      <c r="CX51" s="37">
        <f t="shared" si="113"/>
        <v>0</v>
      </c>
      <c r="CY51" s="37">
        <f t="shared" si="114"/>
        <v>3.3333333333333339</v>
      </c>
      <c r="CZ51" s="37">
        <f t="shared" si="115"/>
        <v>5</v>
      </c>
      <c r="DA51" s="37">
        <f t="shared" si="116"/>
        <v>0</v>
      </c>
      <c r="DB51" s="37">
        <f t="shared" si="117"/>
        <v>0</v>
      </c>
      <c r="DC51" s="37">
        <f t="shared" si="118"/>
        <v>0</v>
      </c>
      <c r="DD51" s="37">
        <f t="shared" si="119"/>
        <v>0</v>
      </c>
      <c r="DE51" s="37">
        <f t="shared" si="120"/>
        <v>0</v>
      </c>
      <c r="DF51" s="37">
        <f t="shared" si="123"/>
        <v>0</v>
      </c>
      <c r="DG51" s="37">
        <f t="shared" si="121"/>
        <v>0</v>
      </c>
      <c r="DH51" s="37">
        <f t="shared" si="122"/>
        <v>8.3333333333333339</v>
      </c>
    </row>
    <row r="52" spans="1:112" ht="36.75" hidden="1" x14ac:dyDescent="0.25">
      <c r="A52" s="37">
        <v>48</v>
      </c>
      <c r="B52" s="156" t="s">
        <v>2214</v>
      </c>
      <c r="C52" s="37"/>
      <c r="D52" s="37"/>
      <c r="E52" s="37"/>
      <c r="F52" s="37"/>
      <c r="G52" s="37"/>
      <c r="H52" s="37"/>
      <c r="I52" s="37"/>
      <c r="J52" s="53" t="s">
        <v>1947</v>
      </c>
      <c r="K52" s="53" t="s">
        <v>1948</v>
      </c>
      <c r="L52" s="53" t="s">
        <v>1947</v>
      </c>
      <c r="M52" s="61">
        <f t="shared" si="62"/>
        <v>0</v>
      </c>
      <c r="N52" s="61">
        <f t="shared" si="63"/>
        <v>1</v>
      </c>
      <c r="O52" s="61">
        <f t="shared" si="64"/>
        <v>0</v>
      </c>
      <c r="P52" s="61">
        <f t="shared" si="65"/>
        <v>1</v>
      </c>
      <c r="Q52" s="53" t="s">
        <v>2165</v>
      </c>
      <c r="R52" s="53" t="s">
        <v>2165</v>
      </c>
      <c r="S52" s="53" t="s">
        <v>1948</v>
      </c>
      <c r="T52" s="61">
        <f t="shared" si="66"/>
        <v>0</v>
      </c>
      <c r="U52" s="61">
        <f t="shared" si="67"/>
        <v>0</v>
      </c>
      <c r="V52" s="61">
        <f t="shared" si="68"/>
        <v>1</v>
      </c>
      <c r="W52" s="61">
        <f t="shared" si="69"/>
        <v>1</v>
      </c>
      <c r="X52" s="61">
        <f t="shared" si="70"/>
        <v>33.333333333333336</v>
      </c>
      <c r="Y52" s="53" t="s">
        <v>1948</v>
      </c>
      <c r="Z52" s="53" t="s">
        <v>1947</v>
      </c>
      <c r="AA52" s="61">
        <f t="shared" si="71"/>
        <v>1</v>
      </c>
      <c r="AB52" s="61">
        <f t="shared" si="72"/>
        <v>0</v>
      </c>
      <c r="AC52" s="61">
        <f t="shared" si="73"/>
        <v>1</v>
      </c>
      <c r="AD52" s="61">
        <f t="shared" si="74"/>
        <v>50</v>
      </c>
      <c r="AE52" s="53" t="s">
        <v>1947</v>
      </c>
      <c r="AF52" s="53" t="s">
        <v>1947</v>
      </c>
      <c r="AG52" s="53" t="s">
        <v>1947</v>
      </c>
      <c r="AH52" s="53" t="s">
        <v>1947</v>
      </c>
      <c r="AI52" s="53" t="s">
        <v>1947</v>
      </c>
      <c r="AJ52" s="50">
        <f t="shared" si="75"/>
        <v>0</v>
      </c>
      <c r="AK52" s="50">
        <f t="shared" si="76"/>
        <v>0</v>
      </c>
      <c r="AL52" s="50">
        <f t="shared" si="77"/>
        <v>0</v>
      </c>
      <c r="AM52" s="50">
        <f t="shared" si="78"/>
        <v>0</v>
      </c>
      <c r="AN52" s="50">
        <f t="shared" si="79"/>
        <v>0</v>
      </c>
      <c r="AO52" s="50">
        <f t="shared" si="80"/>
        <v>0</v>
      </c>
      <c r="AP52" s="51">
        <f t="shared" si="81"/>
        <v>0</v>
      </c>
      <c r="AQ52" s="51">
        <f t="shared" si="82"/>
        <v>83.333333333333343</v>
      </c>
      <c r="AR52" s="53"/>
      <c r="AS52" s="53"/>
      <c r="AT52" s="53"/>
      <c r="AU52" s="50">
        <f t="shared" si="83"/>
        <v>0</v>
      </c>
      <c r="AV52" s="50">
        <f t="shared" si="84"/>
        <v>0</v>
      </c>
      <c r="AW52" s="50">
        <f t="shared" si="85"/>
        <v>0</v>
      </c>
      <c r="AX52" s="50">
        <f t="shared" si="86"/>
        <v>0</v>
      </c>
      <c r="AY52" s="50">
        <f t="shared" si="87"/>
        <v>0</v>
      </c>
      <c r="AZ52" s="36"/>
      <c r="BA52" s="36"/>
      <c r="BB52" s="36"/>
      <c r="BC52" s="36"/>
      <c r="BD52" s="37">
        <f t="shared" si="88"/>
        <v>0</v>
      </c>
      <c r="BE52" s="37">
        <f t="shared" si="89"/>
        <v>0</v>
      </c>
      <c r="BF52" s="37">
        <f t="shared" si="90"/>
        <v>0</v>
      </c>
      <c r="BG52" s="37">
        <f t="shared" si="91"/>
        <v>0</v>
      </c>
      <c r="BH52" s="37">
        <f t="shared" si="92"/>
        <v>0</v>
      </c>
      <c r="BI52" s="37">
        <f t="shared" si="93"/>
        <v>0</v>
      </c>
      <c r="BJ52" s="37">
        <f t="shared" si="94"/>
        <v>0</v>
      </c>
      <c r="BK52" s="37">
        <f t="shared" si="95"/>
        <v>0</v>
      </c>
      <c r="BL52" s="36" t="s">
        <v>2067</v>
      </c>
      <c r="BM52" s="36" t="s">
        <v>2067</v>
      </c>
      <c r="BN52" s="36" t="s">
        <v>2067</v>
      </c>
      <c r="BO52" s="37">
        <f t="shared" si="96"/>
        <v>0</v>
      </c>
      <c r="BP52" s="37">
        <f t="shared" si="97"/>
        <v>0</v>
      </c>
      <c r="BQ52" s="37">
        <f t="shared" si="98"/>
        <v>0</v>
      </c>
      <c r="BR52" s="37">
        <f t="shared" si="99"/>
        <v>0</v>
      </c>
      <c r="BS52" s="37">
        <f t="shared" si="100"/>
        <v>0</v>
      </c>
      <c r="BT52" s="37">
        <f t="shared" si="101"/>
        <v>0</v>
      </c>
      <c r="BU52" s="36"/>
      <c r="BV52" s="36"/>
      <c r="BW52" s="37"/>
      <c r="BX52" s="37"/>
      <c r="BY52" s="37"/>
      <c r="BZ52" s="37"/>
      <c r="CA52" s="36"/>
      <c r="CB52" s="36"/>
      <c r="CC52" s="37"/>
      <c r="CD52" s="37"/>
      <c r="CE52" s="37"/>
      <c r="CF52" s="37"/>
      <c r="CG52" s="36"/>
      <c r="CH52" s="36"/>
      <c r="CI52" s="37">
        <f t="shared" si="102"/>
        <v>1</v>
      </c>
      <c r="CJ52" s="37">
        <f t="shared" si="103"/>
        <v>0.75</v>
      </c>
      <c r="CK52" s="37">
        <f t="shared" si="104"/>
        <v>0.75</v>
      </c>
      <c r="CL52" s="37">
        <f t="shared" si="105"/>
        <v>0</v>
      </c>
      <c r="CM52" s="37">
        <f t="shared" si="106"/>
        <v>0</v>
      </c>
      <c r="CN52" s="36" t="s">
        <v>2166</v>
      </c>
      <c r="CO52" s="36" t="s">
        <v>2166</v>
      </c>
      <c r="CP52" s="36" t="s">
        <v>2166</v>
      </c>
      <c r="CQ52" s="37">
        <f t="shared" si="107"/>
        <v>1</v>
      </c>
      <c r="CR52" s="37">
        <f t="shared" si="108"/>
        <v>1</v>
      </c>
      <c r="CS52" s="37">
        <f t="shared" si="109"/>
        <v>1</v>
      </c>
      <c r="CT52" s="37">
        <f t="shared" si="110"/>
        <v>0</v>
      </c>
      <c r="CU52" s="37">
        <f t="shared" si="111"/>
        <v>0</v>
      </c>
      <c r="CV52" s="36"/>
      <c r="CW52" s="37">
        <f t="shared" si="112"/>
        <v>0</v>
      </c>
      <c r="CX52" s="37">
        <f t="shared" si="113"/>
        <v>0</v>
      </c>
      <c r="CY52" s="37">
        <f t="shared" si="114"/>
        <v>3.3333333333333339</v>
      </c>
      <c r="CZ52" s="37">
        <f t="shared" si="115"/>
        <v>5</v>
      </c>
      <c r="DA52" s="37">
        <f t="shared" si="116"/>
        <v>0</v>
      </c>
      <c r="DB52" s="37">
        <f t="shared" si="117"/>
        <v>0</v>
      </c>
      <c r="DC52" s="37">
        <f t="shared" si="118"/>
        <v>0</v>
      </c>
      <c r="DD52" s="37">
        <f t="shared" si="119"/>
        <v>0</v>
      </c>
      <c r="DE52" s="37">
        <f t="shared" si="120"/>
        <v>0</v>
      </c>
      <c r="DF52" s="37">
        <f t="shared" si="123"/>
        <v>0</v>
      </c>
      <c r="DG52" s="37">
        <f t="shared" si="121"/>
        <v>0</v>
      </c>
      <c r="DH52" s="37">
        <f t="shared" si="122"/>
        <v>8.3333333333333339</v>
      </c>
    </row>
    <row r="53" spans="1:112" ht="24.75" hidden="1" x14ac:dyDescent="0.25">
      <c r="A53" s="37">
        <v>49</v>
      </c>
      <c r="B53" s="156" t="s">
        <v>2215</v>
      </c>
      <c r="C53" s="37"/>
      <c r="D53" s="37"/>
      <c r="E53" s="37"/>
      <c r="F53" s="37"/>
      <c r="G53" s="37"/>
      <c r="H53" s="37"/>
      <c r="I53" s="37"/>
      <c r="J53" s="53" t="s">
        <v>1947</v>
      </c>
      <c r="K53" s="53" t="s">
        <v>1948</v>
      </c>
      <c r="L53" s="53" t="s">
        <v>1947</v>
      </c>
      <c r="M53" s="61">
        <f t="shared" si="62"/>
        <v>0</v>
      </c>
      <c r="N53" s="61">
        <f t="shared" si="63"/>
        <v>1</v>
      </c>
      <c r="O53" s="61">
        <f t="shared" si="64"/>
        <v>0</v>
      </c>
      <c r="P53" s="61">
        <f t="shared" si="65"/>
        <v>1</v>
      </c>
      <c r="Q53" s="53" t="s">
        <v>2165</v>
      </c>
      <c r="R53" s="53" t="s">
        <v>2165</v>
      </c>
      <c r="S53" s="53" t="s">
        <v>1948</v>
      </c>
      <c r="T53" s="61">
        <f t="shared" si="66"/>
        <v>0</v>
      </c>
      <c r="U53" s="61">
        <f t="shared" si="67"/>
        <v>0</v>
      </c>
      <c r="V53" s="61">
        <f t="shared" si="68"/>
        <v>1</v>
      </c>
      <c r="W53" s="61">
        <f t="shared" si="69"/>
        <v>1</v>
      </c>
      <c r="X53" s="61">
        <f t="shared" si="70"/>
        <v>33.333333333333336</v>
      </c>
      <c r="Y53" s="53" t="s">
        <v>1948</v>
      </c>
      <c r="Z53" s="53" t="s">
        <v>1948</v>
      </c>
      <c r="AA53" s="61">
        <f t="shared" si="71"/>
        <v>1</v>
      </c>
      <c r="AB53" s="61">
        <f t="shared" si="72"/>
        <v>1</v>
      </c>
      <c r="AC53" s="61">
        <f t="shared" si="73"/>
        <v>2</v>
      </c>
      <c r="AD53" s="61">
        <f t="shared" si="74"/>
        <v>100</v>
      </c>
      <c r="AE53" s="53" t="s">
        <v>1947</v>
      </c>
      <c r="AF53" s="53" t="s">
        <v>1947</v>
      </c>
      <c r="AG53" s="53" t="s">
        <v>1947</v>
      </c>
      <c r="AH53" s="53" t="s">
        <v>1947</v>
      </c>
      <c r="AI53" s="53" t="s">
        <v>1948</v>
      </c>
      <c r="AJ53" s="50">
        <f t="shared" si="75"/>
        <v>0</v>
      </c>
      <c r="AK53" s="50">
        <f t="shared" si="76"/>
        <v>0</v>
      </c>
      <c r="AL53" s="50">
        <f t="shared" si="77"/>
        <v>0</v>
      </c>
      <c r="AM53" s="50">
        <f t="shared" si="78"/>
        <v>0</v>
      </c>
      <c r="AN53" s="50">
        <f t="shared" si="79"/>
        <v>1</v>
      </c>
      <c r="AO53" s="50">
        <f t="shared" si="80"/>
        <v>1</v>
      </c>
      <c r="AP53" s="51">
        <f t="shared" si="81"/>
        <v>20</v>
      </c>
      <c r="AQ53" s="51">
        <f t="shared" si="82"/>
        <v>153.33333333333334</v>
      </c>
      <c r="AR53" s="53"/>
      <c r="AS53" s="53"/>
      <c r="AT53" s="53"/>
      <c r="AU53" s="50">
        <f t="shared" si="83"/>
        <v>0</v>
      </c>
      <c r="AV53" s="50">
        <f t="shared" si="84"/>
        <v>0</v>
      </c>
      <c r="AW53" s="50">
        <f t="shared" si="85"/>
        <v>0</v>
      </c>
      <c r="AX53" s="50">
        <f t="shared" si="86"/>
        <v>0</v>
      </c>
      <c r="AY53" s="50">
        <f t="shared" si="87"/>
        <v>0</v>
      </c>
      <c r="AZ53" s="36"/>
      <c r="BA53" s="36"/>
      <c r="BB53" s="36"/>
      <c r="BC53" s="36"/>
      <c r="BD53" s="37">
        <f t="shared" si="88"/>
        <v>0</v>
      </c>
      <c r="BE53" s="37">
        <f t="shared" si="89"/>
        <v>0</v>
      </c>
      <c r="BF53" s="37">
        <f t="shared" si="90"/>
        <v>0</v>
      </c>
      <c r="BG53" s="37">
        <f t="shared" si="91"/>
        <v>0</v>
      </c>
      <c r="BH53" s="37">
        <f t="shared" si="92"/>
        <v>0</v>
      </c>
      <c r="BI53" s="37">
        <f t="shared" si="93"/>
        <v>0</v>
      </c>
      <c r="BJ53" s="37">
        <f t="shared" si="94"/>
        <v>0</v>
      </c>
      <c r="BK53" s="37">
        <f t="shared" si="95"/>
        <v>0</v>
      </c>
      <c r="BL53" s="36" t="s">
        <v>2067</v>
      </c>
      <c r="BM53" s="36" t="s">
        <v>2067</v>
      </c>
      <c r="BN53" s="36" t="s">
        <v>2067</v>
      </c>
      <c r="BO53" s="37">
        <f t="shared" si="96"/>
        <v>0</v>
      </c>
      <c r="BP53" s="37">
        <f t="shared" si="97"/>
        <v>0</v>
      </c>
      <c r="BQ53" s="37">
        <f t="shared" si="98"/>
        <v>0</v>
      </c>
      <c r="BR53" s="37">
        <f t="shared" si="99"/>
        <v>0</v>
      </c>
      <c r="BS53" s="37">
        <f t="shared" si="100"/>
        <v>0</v>
      </c>
      <c r="BT53" s="37">
        <f t="shared" si="101"/>
        <v>0</v>
      </c>
      <c r="BU53" s="36"/>
      <c r="BV53" s="36"/>
      <c r="BW53" s="37"/>
      <c r="BX53" s="37"/>
      <c r="BY53" s="37"/>
      <c r="BZ53" s="37"/>
      <c r="CA53" s="36"/>
      <c r="CB53" s="36"/>
      <c r="CC53" s="37"/>
      <c r="CD53" s="37"/>
      <c r="CE53" s="37"/>
      <c r="CF53" s="37"/>
      <c r="CG53" s="36"/>
      <c r="CH53" s="36"/>
      <c r="CI53" s="37">
        <f t="shared" si="102"/>
        <v>1</v>
      </c>
      <c r="CJ53" s="37">
        <f t="shared" si="103"/>
        <v>0.75</v>
      </c>
      <c r="CK53" s="37">
        <f t="shared" si="104"/>
        <v>0.75</v>
      </c>
      <c r="CL53" s="37">
        <f t="shared" si="105"/>
        <v>0</v>
      </c>
      <c r="CM53" s="37">
        <f t="shared" si="106"/>
        <v>0</v>
      </c>
      <c r="CN53" s="36" t="s">
        <v>2166</v>
      </c>
      <c r="CO53" s="36" t="s">
        <v>2166</v>
      </c>
      <c r="CP53" s="36" t="s">
        <v>2166</v>
      </c>
      <c r="CQ53" s="37">
        <f t="shared" si="107"/>
        <v>1</v>
      </c>
      <c r="CR53" s="37">
        <f t="shared" si="108"/>
        <v>1</v>
      </c>
      <c r="CS53" s="37">
        <f t="shared" si="109"/>
        <v>1</v>
      </c>
      <c r="CT53" s="37">
        <f t="shared" si="110"/>
        <v>0</v>
      </c>
      <c r="CU53" s="37">
        <f t="shared" si="111"/>
        <v>0</v>
      </c>
      <c r="CV53" s="36"/>
      <c r="CW53" s="37">
        <f t="shared" si="112"/>
        <v>0</v>
      </c>
      <c r="CX53" s="37">
        <f t="shared" si="113"/>
        <v>0</v>
      </c>
      <c r="CY53" s="37">
        <f t="shared" si="114"/>
        <v>3.3333333333333339</v>
      </c>
      <c r="CZ53" s="37">
        <f t="shared" si="115"/>
        <v>10</v>
      </c>
      <c r="DA53" s="37">
        <f t="shared" si="116"/>
        <v>2</v>
      </c>
      <c r="DB53" s="37">
        <f t="shared" si="117"/>
        <v>0</v>
      </c>
      <c r="DC53" s="37">
        <f t="shared" si="118"/>
        <v>0</v>
      </c>
      <c r="DD53" s="37">
        <f t="shared" si="119"/>
        <v>0</v>
      </c>
      <c r="DE53" s="37">
        <f t="shared" si="120"/>
        <v>0</v>
      </c>
      <c r="DF53" s="37">
        <f t="shared" si="123"/>
        <v>0</v>
      </c>
      <c r="DG53" s="37">
        <f t="shared" si="121"/>
        <v>0</v>
      </c>
      <c r="DH53" s="37">
        <f t="shared" si="122"/>
        <v>15.333333333333334</v>
      </c>
    </row>
    <row r="54" spans="1:112" ht="81" hidden="1" customHeight="1" x14ac:dyDescent="0.25">
      <c r="A54" s="37">
        <v>50</v>
      </c>
      <c r="B54" s="156" t="s">
        <v>2216</v>
      </c>
      <c r="C54" s="154" t="s">
        <v>2286</v>
      </c>
      <c r="D54" s="156" t="s">
        <v>2287</v>
      </c>
      <c r="E54" s="156" t="s">
        <v>2274</v>
      </c>
      <c r="F54" s="156"/>
      <c r="G54" s="156"/>
      <c r="H54" s="156"/>
      <c r="I54" s="156"/>
      <c r="J54" s="53" t="s">
        <v>1948</v>
      </c>
      <c r="K54" s="53" t="s">
        <v>1948</v>
      </c>
      <c r="L54" s="53" t="s">
        <v>1947</v>
      </c>
      <c r="M54" s="61">
        <f t="shared" si="62"/>
        <v>1</v>
      </c>
      <c r="N54" s="61">
        <f t="shared" si="63"/>
        <v>1</v>
      </c>
      <c r="O54" s="61">
        <f t="shared" si="64"/>
        <v>0</v>
      </c>
      <c r="P54" s="61">
        <f t="shared" si="65"/>
        <v>2</v>
      </c>
      <c r="Q54" s="53" t="s">
        <v>2165</v>
      </c>
      <c r="R54" s="53" t="s">
        <v>2165</v>
      </c>
      <c r="S54" s="53" t="s">
        <v>1947</v>
      </c>
      <c r="T54" s="61">
        <f t="shared" si="66"/>
        <v>0</v>
      </c>
      <c r="U54" s="61">
        <f t="shared" si="67"/>
        <v>0</v>
      </c>
      <c r="V54" s="61">
        <f t="shared" si="68"/>
        <v>0</v>
      </c>
      <c r="W54" s="61">
        <f t="shared" si="69"/>
        <v>0</v>
      </c>
      <c r="X54" s="61">
        <f t="shared" si="70"/>
        <v>33.333333333333336</v>
      </c>
      <c r="Y54" s="53" t="s">
        <v>1948</v>
      </c>
      <c r="Z54" s="53" t="s">
        <v>1948</v>
      </c>
      <c r="AA54" s="61">
        <f t="shared" si="71"/>
        <v>1</v>
      </c>
      <c r="AB54" s="61">
        <f t="shared" si="72"/>
        <v>1</v>
      </c>
      <c r="AC54" s="61">
        <f t="shared" si="73"/>
        <v>2</v>
      </c>
      <c r="AD54" s="61">
        <f t="shared" si="74"/>
        <v>100</v>
      </c>
      <c r="AE54" s="53" t="s">
        <v>1947</v>
      </c>
      <c r="AF54" s="53" t="s">
        <v>1947</v>
      </c>
      <c r="AG54" s="53" t="s">
        <v>1947</v>
      </c>
      <c r="AH54" s="53" t="s">
        <v>1947</v>
      </c>
      <c r="AI54" s="53" t="s">
        <v>1948</v>
      </c>
      <c r="AJ54" s="50">
        <f t="shared" si="75"/>
        <v>0</v>
      </c>
      <c r="AK54" s="50">
        <f t="shared" si="76"/>
        <v>0</v>
      </c>
      <c r="AL54" s="50">
        <f t="shared" si="77"/>
        <v>0</v>
      </c>
      <c r="AM54" s="50">
        <f t="shared" si="78"/>
        <v>0</v>
      </c>
      <c r="AN54" s="50">
        <f t="shared" si="79"/>
        <v>1</v>
      </c>
      <c r="AO54" s="50">
        <f t="shared" si="80"/>
        <v>1</v>
      </c>
      <c r="AP54" s="51">
        <f t="shared" si="81"/>
        <v>20</v>
      </c>
      <c r="AQ54" s="51">
        <f t="shared" si="82"/>
        <v>153.33333333333334</v>
      </c>
      <c r="AR54" s="53" t="s">
        <v>1948</v>
      </c>
      <c r="AS54" s="53" t="s">
        <v>1948</v>
      </c>
      <c r="AT54" s="53" t="s">
        <v>1948</v>
      </c>
      <c r="AU54" s="50">
        <f t="shared" si="83"/>
        <v>1</v>
      </c>
      <c r="AV54" s="50">
        <f t="shared" si="84"/>
        <v>1</v>
      </c>
      <c r="AW54" s="50">
        <f t="shared" si="85"/>
        <v>1</v>
      </c>
      <c r="AX54" s="50">
        <f t="shared" si="86"/>
        <v>3</v>
      </c>
      <c r="AY54" s="50">
        <f t="shared" si="87"/>
        <v>100</v>
      </c>
      <c r="AZ54" s="36" t="s">
        <v>2080</v>
      </c>
      <c r="BA54" s="36" t="s">
        <v>2080</v>
      </c>
      <c r="BB54" s="36" t="s">
        <v>2080</v>
      </c>
      <c r="BC54" s="36" t="s">
        <v>2080</v>
      </c>
      <c r="BD54" s="37">
        <f t="shared" si="88"/>
        <v>0</v>
      </c>
      <c r="BE54" s="37">
        <f t="shared" si="89"/>
        <v>0</v>
      </c>
      <c r="BF54" s="37">
        <f t="shared" si="90"/>
        <v>0</v>
      </c>
      <c r="BG54" s="37">
        <f t="shared" si="91"/>
        <v>0</v>
      </c>
      <c r="BH54" s="37">
        <f t="shared" si="92"/>
        <v>0</v>
      </c>
      <c r="BI54" s="37">
        <f t="shared" si="93"/>
        <v>0</v>
      </c>
      <c r="BJ54" s="37">
        <f t="shared" si="94"/>
        <v>0</v>
      </c>
      <c r="BK54" s="37">
        <f t="shared" si="95"/>
        <v>0</v>
      </c>
      <c r="BL54" s="36" t="s">
        <v>2067</v>
      </c>
      <c r="BM54" s="36" t="s">
        <v>2067</v>
      </c>
      <c r="BN54" s="36" t="s">
        <v>2067</v>
      </c>
      <c r="BO54" s="37">
        <f t="shared" si="96"/>
        <v>0</v>
      </c>
      <c r="BP54" s="37">
        <f t="shared" si="97"/>
        <v>0</v>
      </c>
      <c r="BQ54" s="37">
        <f t="shared" si="98"/>
        <v>0</v>
      </c>
      <c r="BR54" s="37">
        <f t="shared" si="99"/>
        <v>0</v>
      </c>
      <c r="BS54" s="37">
        <f t="shared" si="100"/>
        <v>0</v>
      </c>
      <c r="BT54" s="37">
        <f t="shared" si="101"/>
        <v>0</v>
      </c>
      <c r="BU54" s="36" t="s">
        <v>2167</v>
      </c>
      <c r="BV54" s="36" t="s">
        <v>2167</v>
      </c>
      <c r="BW54" s="37">
        <f>IF(BU54="ALTO",3,IF(BU54="MEDIO",2,1))</f>
        <v>1</v>
      </c>
      <c r="BX54" s="37">
        <f>IF(BV54="ALTO",2.25,IF(BV54="MEDIO",1.5,0.75))</f>
        <v>0.75</v>
      </c>
      <c r="BY54" s="37">
        <f>IF(BW54=1,BX54,BW54)</f>
        <v>0.75</v>
      </c>
      <c r="BZ54" s="37">
        <f>IF(BY54&gt;=2,BY54,0)</f>
        <v>0</v>
      </c>
      <c r="CA54" s="36" t="s">
        <v>2167</v>
      </c>
      <c r="CB54" s="36" t="s">
        <v>2167</v>
      </c>
      <c r="CC54" s="37">
        <f>IF(CA54="ALTO",3,IF(CA54="MEDIO",2,1))</f>
        <v>1</v>
      </c>
      <c r="CD54" s="37">
        <f>IF(CB54="ALTO",2.25,IF(CB54="MEDIO",1.5,0.75))</f>
        <v>0.75</v>
      </c>
      <c r="CE54" s="37">
        <f>IF(CC54=1,CD54,CC54)</f>
        <v>0.75</v>
      </c>
      <c r="CF54" s="37">
        <f>IF(CE54&gt;=2,CE54,0)</f>
        <v>0</v>
      </c>
      <c r="CG54" s="36" t="s">
        <v>2167</v>
      </c>
      <c r="CH54" s="36" t="s">
        <v>2167</v>
      </c>
      <c r="CI54" s="37">
        <f t="shared" si="102"/>
        <v>1</v>
      </c>
      <c r="CJ54" s="37">
        <f t="shared" si="103"/>
        <v>0.75</v>
      </c>
      <c r="CK54" s="37">
        <f t="shared" si="104"/>
        <v>0.75</v>
      </c>
      <c r="CL54" s="37">
        <f t="shared" si="105"/>
        <v>0</v>
      </c>
      <c r="CM54" s="37">
        <f t="shared" si="106"/>
        <v>0</v>
      </c>
      <c r="CN54" s="36" t="s">
        <v>2166</v>
      </c>
      <c r="CO54" s="36" t="s">
        <v>2166</v>
      </c>
      <c r="CP54" s="36" t="s">
        <v>2166</v>
      </c>
      <c r="CQ54" s="37">
        <f t="shared" si="107"/>
        <v>1</v>
      </c>
      <c r="CR54" s="37">
        <f t="shared" si="108"/>
        <v>1</v>
      </c>
      <c r="CS54" s="37">
        <f t="shared" si="109"/>
        <v>1</v>
      </c>
      <c r="CT54" s="37">
        <f t="shared" si="110"/>
        <v>0</v>
      </c>
      <c r="CU54" s="37">
        <f t="shared" si="111"/>
        <v>0</v>
      </c>
      <c r="CV54" s="36"/>
      <c r="CW54" s="37">
        <f t="shared" si="112"/>
        <v>0</v>
      </c>
      <c r="CX54" s="37">
        <f t="shared" si="113"/>
        <v>0</v>
      </c>
      <c r="CY54" s="37">
        <f t="shared" si="114"/>
        <v>3.3333333333333339</v>
      </c>
      <c r="CZ54" s="37">
        <f t="shared" si="115"/>
        <v>10</v>
      </c>
      <c r="DA54" s="37">
        <f t="shared" si="116"/>
        <v>2</v>
      </c>
      <c r="DB54" s="37">
        <f t="shared" si="117"/>
        <v>10</v>
      </c>
      <c r="DC54" s="37">
        <f t="shared" si="118"/>
        <v>0</v>
      </c>
      <c r="DD54" s="37">
        <f t="shared" si="119"/>
        <v>0</v>
      </c>
      <c r="DE54" s="37">
        <f t="shared" si="120"/>
        <v>0</v>
      </c>
      <c r="DF54" s="37">
        <f t="shared" si="123"/>
        <v>0</v>
      </c>
      <c r="DG54" s="37">
        <f t="shared" si="121"/>
        <v>0</v>
      </c>
      <c r="DH54" s="37">
        <f t="shared" si="122"/>
        <v>25.333333333333336</v>
      </c>
    </row>
    <row r="55" spans="1:112" ht="36.75" hidden="1" x14ac:dyDescent="0.25">
      <c r="A55" s="37">
        <v>51</v>
      </c>
      <c r="B55" s="156" t="s">
        <v>2217</v>
      </c>
      <c r="C55" s="37"/>
      <c r="D55" s="37"/>
      <c r="E55" s="37"/>
      <c r="F55" s="37"/>
      <c r="G55" s="37"/>
      <c r="H55" s="37"/>
      <c r="I55" s="37"/>
      <c r="J55" s="53" t="s">
        <v>1947</v>
      </c>
      <c r="K55" s="53" t="s">
        <v>1948</v>
      </c>
      <c r="L55" s="53" t="s">
        <v>1947</v>
      </c>
      <c r="M55" s="61">
        <f t="shared" si="62"/>
        <v>0</v>
      </c>
      <c r="N55" s="61">
        <f t="shared" si="63"/>
        <v>1</v>
      </c>
      <c r="O55" s="61">
        <f t="shared" si="64"/>
        <v>0</v>
      </c>
      <c r="P55" s="61">
        <f t="shared" si="65"/>
        <v>1</v>
      </c>
      <c r="Q55" s="53" t="s">
        <v>2165</v>
      </c>
      <c r="R55" s="53" t="s">
        <v>2165</v>
      </c>
      <c r="S55" s="53" t="s">
        <v>1948</v>
      </c>
      <c r="T55" s="61">
        <f t="shared" si="66"/>
        <v>0</v>
      </c>
      <c r="U55" s="61">
        <f t="shared" si="67"/>
        <v>0</v>
      </c>
      <c r="V55" s="61">
        <f t="shared" si="68"/>
        <v>1</v>
      </c>
      <c r="W55" s="61">
        <f t="shared" si="69"/>
        <v>1</v>
      </c>
      <c r="X55" s="61">
        <f t="shared" si="70"/>
        <v>33.333333333333336</v>
      </c>
      <c r="Y55" s="53" t="s">
        <v>1948</v>
      </c>
      <c r="Z55" s="53" t="s">
        <v>1947</v>
      </c>
      <c r="AA55" s="61">
        <f t="shared" si="71"/>
        <v>1</v>
      </c>
      <c r="AB55" s="61">
        <f t="shared" si="72"/>
        <v>0</v>
      </c>
      <c r="AC55" s="61">
        <f t="shared" si="73"/>
        <v>1</v>
      </c>
      <c r="AD55" s="61">
        <f t="shared" si="74"/>
        <v>50</v>
      </c>
      <c r="AE55" s="53" t="s">
        <v>1947</v>
      </c>
      <c r="AF55" s="53" t="s">
        <v>1947</v>
      </c>
      <c r="AG55" s="53" t="s">
        <v>1947</v>
      </c>
      <c r="AH55" s="53" t="s">
        <v>1947</v>
      </c>
      <c r="AI55" s="53" t="s">
        <v>1947</v>
      </c>
      <c r="AJ55" s="50">
        <f t="shared" si="75"/>
        <v>0</v>
      </c>
      <c r="AK55" s="50">
        <f t="shared" si="76"/>
        <v>0</v>
      </c>
      <c r="AL55" s="50">
        <f t="shared" si="77"/>
        <v>0</v>
      </c>
      <c r="AM55" s="50">
        <f t="shared" si="78"/>
        <v>0</v>
      </c>
      <c r="AN55" s="50">
        <f t="shared" si="79"/>
        <v>0</v>
      </c>
      <c r="AO55" s="50">
        <f t="shared" si="80"/>
        <v>0</v>
      </c>
      <c r="AP55" s="51">
        <f t="shared" si="81"/>
        <v>0</v>
      </c>
      <c r="AQ55" s="51">
        <f t="shared" si="82"/>
        <v>83.333333333333343</v>
      </c>
      <c r="AR55" s="53"/>
      <c r="AS55" s="53"/>
      <c r="AT55" s="53"/>
      <c r="AU55" s="50">
        <f t="shared" si="83"/>
        <v>0</v>
      </c>
      <c r="AV55" s="50">
        <f t="shared" si="84"/>
        <v>0</v>
      </c>
      <c r="AW55" s="50">
        <f t="shared" si="85"/>
        <v>0</v>
      </c>
      <c r="AX55" s="50">
        <f t="shared" si="86"/>
        <v>0</v>
      </c>
      <c r="AY55" s="50">
        <f t="shared" si="87"/>
        <v>0</v>
      </c>
      <c r="AZ55" s="36"/>
      <c r="BA55" s="36"/>
      <c r="BB55" s="36"/>
      <c r="BC55" s="36"/>
      <c r="BD55" s="37">
        <f t="shared" si="88"/>
        <v>0</v>
      </c>
      <c r="BE55" s="37">
        <f t="shared" si="89"/>
        <v>0</v>
      </c>
      <c r="BF55" s="37">
        <f t="shared" si="90"/>
        <v>0</v>
      </c>
      <c r="BG55" s="37">
        <f t="shared" si="91"/>
        <v>0</v>
      </c>
      <c r="BH55" s="37">
        <f t="shared" si="92"/>
        <v>0</v>
      </c>
      <c r="BI55" s="37">
        <f t="shared" si="93"/>
        <v>0</v>
      </c>
      <c r="BJ55" s="37">
        <f t="shared" si="94"/>
        <v>0</v>
      </c>
      <c r="BK55" s="37">
        <f t="shared" si="95"/>
        <v>0</v>
      </c>
      <c r="BL55" s="36" t="s">
        <v>2067</v>
      </c>
      <c r="BM55" s="36" t="s">
        <v>2067</v>
      </c>
      <c r="BN55" s="36" t="s">
        <v>2067</v>
      </c>
      <c r="BO55" s="37">
        <f t="shared" si="96"/>
        <v>0</v>
      </c>
      <c r="BP55" s="37">
        <f t="shared" si="97"/>
        <v>0</v>
      </c>
      <c r="BQ55" s="37">
        <f t="shared" si="98"/>
        <v>0</v>
      </c>
      <c r="BR55" s="37">
        <f t="shared" si="99"/>
        <v>0</v>
      </c>
      <c r="BS55" s="37">
        <f t="shared" si="100"/>
        <v>0</v>
      </c>
      <c r="BT55" s="37">
        <f t="shared" si="101"/>
        <v>0</v>
      </c>
      <c r="BU55" s="36"/>
      <c r="BV55" s="36"/>
      <c r="BW55" s="37"/>
      <c r="BX55" s="37"/>
      <c r="BY55" s="37"/>
      <c r="BZ55" s="37"/>
      <c r="CA55" s="36"/>
      <c r="CB55" s="36"/>
      <c r="CC55" s="37"/>
      <c r="CD55" s="37"/>
      <c r="CE55" s="37"/>
      <c r="CF55" s="37"/>
      <c r="CG55" s="36"/>
      <c r="CH55" s="36"/>
      <c r="CI55" s="37">
        <f t="shared" si="102"/>
        <v>1</v>
      </c>
      <c r="CJ55" s="37">
        <f t="shared" si="103"/>
        <v>0.75</v>
      </c>
      <c r="CK55" s="37">
        <f t="shared" si="104"/>
        <v>0.75</v>
      </c>
      <c r="CL55" s="37">
        <f t="shared" si="105"/>
        <v>0</v>
      </c>
      <c r="CM55" s="37">
        <f t="shared" si="106"/>
        <v>0</v>
      </c>
      <c r="CN55" s="36" t="s">
        <v>2166</v>
      </c>
      <c r="CO55" s="36" t="s">
        <v>2166</v>
      </c>
      <c r="CP55" s="36" t="s">
        <v>2166</v>
      </c>
      <c r="CQ55" s="37">
        <f t="shared" si="107"/>
        <v>1</v>
      </c>
      <c r="CR55" s="37">
        <f t="shared" si="108"/>
        <v>1</v>
      </c>
      <c r="CS55" s="37">
        <f t="shared" si="109"/>
        <v>1</v>
      </c>
      <c r="CT55" s="37">
        <f t="shared" si="110"/>
        <v>0</v>
      </c>
      <c r="CU55" s="37">
        <f t="shared" si="111"/>
        <v>0</v>
      </c>
      <c r="CV55" s="36"/>
      <c r="CW55" s="37">
        <f t="shared" si="112"/>
        <v>0</v>
      </c>
      <c r="CX55" s="37">
        <f t="shared" si="113"/>
        <v>0</v>
      </c>
      <c r="CY55" s="37">
        <f t="shared" si="114"/>
        <v>3.3333333333333339</v>
      </c>
      <c r="CZ55" s="37">
        <f t="shared" si="115"/>
        <v>5</v>
      </c>
      <c r="DA55" s="37">
        <f t="shared" si="116"/>
        <v>0</v>
      </c>
      <c r="DB55" s="37">
        <f t="shared" si="117"/>
        <v>0</v>
      </c>
      <c r="DC55" s="37">
        <f t="shared" si="118"/>
        <v>0</v>
      </c>
      <c r="DD55" s="37">
        <f t="shared" si="119"/>
        <v>0</v>
      </c>
      <c r="DE55" s="37">
        <f t="shared" si="120"/>
        <v>0</v>
      </c>
      <c r="DF55" s="37">
        <f t="shared" si="123"/>
        <v>0</v>
      </c>
      <c r="DG55" s="37">
        <f t="shared" si="121"/>
        <v>0</v>
      </c>
      <c r="DH55" s="37">
        <f t="shared" si="122"/>
        <v>8.3333333333333339</v>
      </c>
    </row>
    <row r="56" spans="1:112" ht="36.75" hidden="1" x14ac:dyDescent="0.25">
      <c r="A56" s="37">
        <v>52</v>
      </c>
      <c r="B56" s="156" t="s">
        <v>2218</v>
      </c>
      <c r="C56" s="37"/>
      <c r="D56" s="37"/>
      <c r="E56" s="37"/>
      <c r="F56" s="37"/>
      <c r="G56" s="37"/>
      <c r="H56" s="37"/>
      <c r="I56" s="37"/>
      <c r="J56" s="53" t="s">
        <v>1947</v>
      </c>
      <c r="K56" s="53" t="s">
        <v>1948</v>
      </c>
      <c r="L56" s="53" t="s">
        <v>1947</v>
      </c>
      <c r="M56" s="61">
        <f t="shared" si="62"/>
        <v>0</v>
      </c>
      <c r="N56" s="61">
        <f t="shared" si="63"/>
        <v>1</v>
      </c>
      <c r="O56" s="61">
        <f t="shared" si="64"/>
        <v>0</v>
      </c>
      <c r="P56" s="61">
        <f t="shared" si="65"/>
        <v>1</v>
      </c>
      <c r="Q56" s="53" t="s">
        <v>2165</v>
      </c>
      <c r="R56" s="53" t="s">
        <v>2165</v>
      </c>
      <c r="S56" s="53" t="s">
        <v>1948</v>
      </c>
      <c r="T56" s="61">
        <f t="shared" si="66"/>
        <v>0</v>
      </c>
      <c r="U56" s="61">
        <f t="shared" si="67"/>
        <v>0</v>
      </c>
      <c r="V56" s="61">
        <f t="shared" si="68"/>
        <v>1</v>
      </c>
      <c r="W56" s="61">
        <f t="shared" si="69"/>
        <v>1</v>
      </c>
      <c r="X56" s="61">
        <f t="shared" si="70"/>
        <v>33.333333333333336</v>
      </c>
      <c r="Y56" s="53" t="s">
        <v>1948</v>
      </c>
      <c r="Z56" s="53" t="s">
        <v>1947</v>
      </c>
      <c r="AA56" s="61">
        <f t="shared" si="71"/>
        <v>1</v>
      </c>
      <c r="AB56" s="61">
        <f t="shared" si="72"/>
        <v>0</v>
      </c>
      <c r="AC56" s="61">
        <f t="shared" si="73"/>
        <v>1</v>
      </c>
      <c r="AD56" s="61">
        <f t="shared" si="74"/>
        <v>50</v>
      </c>
      <c r="AE56" s="53" t="s">
        <v>1947</v>
      </c>
      <c r="AF56" s="53" t="s">
        <v>1947</v>
      </c>
      <c r="AG56" s="53" t="s">
        <v>1947</v>
      </c>
      <c r="AH56" s="53" t="s">
        <v>1947</v>
      </c>
      <c r="AI56" s="53" t="s">
        <v>1947</v>
      </c>
      <c r="AJ56" s="50">
        <f t="shared" si="75"/>
        <v>0</v>
      </c>
      <c r="AK56" s="50">
        <f t="shared" si="76"/>
        <v>0</v>
      </c>
      <c r="AL56" s="50">
        <f t="shared" si="77"/>
        <v>0</v>
      </c>
      <c r="AM56" s="50">
        <f t="shared" si="78"/>
        <v>0</v>
      </c>
      <c r="AN56" s="50">
        <f t="shared" si="79"/>
        <v>0</v>
      </c>
      <c r="AO56" s="50">
        <f t="shared" si="80"/>
        <v>0</v>
      </c>
      <c r="AP56" s="51">
        <f t="shared" si="81"/>
        <v>0</v>
      </c>
      <c r="AQ56" s="51">
        <f t="shared" si="82"/>
        <v>83.333333333333343</v>
      </c>
      <c r="AR56" s="53"/>
      <c r="AS56" s="53"/>
      <c r="AT56" s="53"/>
      <c r="AU56" s="50">
        <f t="shared" si="83"/>
        <v>0</v>
      </c>
      <c r="AV56" s="50">
        <f t="shared" si="84"/>
        <v>0</v>
      </c>
      <c r="AW56" s="50">
        <f t="shared" si="85"/>
        <v>0</v>
      </c>
      <c r="AX56" s="50">
        <f t="shared" si="86"/>
        <v>0</v>
      </c>
      <c r="AY56" s="50">
        <f t="shared" si="87"/>
        <v>0</v>
      </c>
      <c r="AZ56" s="36"/>
      <c r="BA56" s="36"/>
      <c r="BB56" s="36"/>
      <c r="BC56" s="36"/>
      <c r="BD56" s="37">
        <f t="shared" si="88"/>
        <v>0</v>
      </c>
      <c r="BE56" s="37">
        <f t="shared" si="89"/>
        <v>0</v>
      </c>
      <c r="BF56" s="37">
        <f t="shared" si="90"/>
        <v>0</v>
      </c>
      <c r="BG56" s="37">
        <f t="shared" si="91"/>
        <v>0</v>
      </c>
      <c r="BH56" s="37">
        <f t="shared" si="92"/>
        <v>0</v>
      </c>
      <c r="BI56" s="37">
        <f t="shared" si="93"/>
        <v>0</v>
      </c>
      <c r="BJ56" s="37">
        <f t="shared" si="94"/>
        <v>0</v>
      </c>
      <c r="BK56" s="37">
        <f t="shared" si="95"/>
        <v>0</v>
      </c>
      <c r="BL56" s="36" t="s">
        <v>2067</v>
      </c>
      <c r="BM56" s="36" t="s">
        <v>2067</v>
      </c>
      <c r="BN56" s="36" t="s">
        <v>2067</v>
      </c>
      <c r="BO56" s="37">
        <f t="shared" si="96"/>
        <v>0</v>
      </c>
      <c r="BP56" s="37">
        <f t="shared" si="97"/>
        <v>0</v>
      </c>
      <c r="BQ56" s="37">
        <f t="shared" si="98"/>
        <v>0</v>
      </c>
      <c r="BR56" s="37">
        <f t="shared" si="99"/>
        <v>0</v>
      </c>
      <c r="BS56" s="37">
        <f t="shared" si="100"/>
        <v>0</v>
      </c>
      <c r="BT56" s="37">
        <f t="shared" si="101"/>
        <v>0</v>
      </c>
      <c r="BU56" s="36"/>
      <c r="BV56" s="36"/>
      <c r="BW56" s="37"/>
      <c r="BX56" s="37"/>
      <c r="BY56" s="37"/>
      <c r="BZ56" s="37"/>
      <c r="CA56" s="36"/>
      <c r="CB56" s="36"/>
      <c r="CC56" s="37"/>
      <c r="CD56" s="37"/>
      <c r="CE56" s="37"/>
      <c r="CF56" s="37"/>
      <c r="CG56" s="36"/>
      <c r="CH56" s="36"/>
      <c r="CI56" s="37">
        <f t="shared" si="102"/>
        <v>1</v>
      </c>
      <c r="CJ56" s="37">
        <f t="shared" si="103"/>
        <v>0.75</v>
      </c>
      <c r="CK56" s="37">
        <f t="shared" si="104"/>
        <v>0.75</v>
      </c>
      <c r="CL56" s="37">
        <f t="shared" si="105"/>
        <v>0</v>
      </c>
      <c r="CM56" s="37">
        <f t="shared" si="106"/>
        <v>0</v>
      </c>
      <c r="CN56" s="36" t="s">
        <v>2166</v>
      </c>
      <c r="CO56" s="36" t="s">
        <v>2166</v>
      </c>
      <c r="CP56" s="36" t="s">
        <v>2166</v>
      </c>
      <c r="CQ56" s="37">
        <f t="shared" si="107"/>
        <v>1</v>
      </c>
      <c r="CR56" s="37">
        <f t="shared" si="108"/>
        <v>1</v>
      </c>
      <c r="CS56" s="37">
        <f t="shared" si="109"/>
        <v>1</v>
      </c>
      <c r="CT56" s="37">
        <f t="shared" si="110"/>
        <v>0</v>
      </c>
      <c r="CU56" s="37">
        <f t="shared" si="111"/>
        <v>0</v>
      </c>
      <c r="CV56" s="36"/>
      <c r="CW56" s="37">
        <f t="shared" si="112"/>
        <v>0</v>
      </c>
      <c r="CX56" s="37">
        <f t="shared" si="113"/>
        <v>0</v>
      </c>
      <c r="CY56" s="37">
        <f t="shared" si="114"/>
        <v>3.3333333333333339</v>
      </c>
      <c r="CZ56" s="37">
        <f t="shared" si="115"/>
        <v>5</v>
      </c>
      <c r="DA56" s="37">
        <f t="shared" si="116"/>
        <v>0</v>
      </c>
      <c r="DB56" s="37">
        <f t="shared" si="117"/>
        <v>0</v>
      </c>
      <c r="DC56" s="37">
        <f t="shared" si="118"/>
        <v>0</v>
      </c>
      <c r="DD56" s="37">
        <f t="shared" si="119"/>
        <v>0</v>
      </c>
      <c r="DE56" s="37">
        <f t="shared" si="120"/>
        <v>0</v>
      </c>
      <c r="DF56" s="37">
        <f t="shared" si="123"/>
        <v>0</v>
      </c>
      <c r="DG56" s="37">
        <f t="shared" si="121"/>
        <v>0</v>
      </c>
      <c r="DH56" s="37">
        <f t="shared" si="122"/>
        <v>8.3333333333333339</v>
      </c>
    </row>
    <row r="57" spans="1:112" ht="24.75" hidden="1" x14ac:dyDescent="0.25">
      <c r="A57" s="37">
        <v>53</v>
      </c>
      <c r="B57" s="156" t="s">
        <v>2219</v>
      </c>
      <c r="C57" s="37"/>
      <c r="D57" s="37"/>
      <c r="E57" s="37"/>
      <c r="F57" s="37"/>
      <c r="G57" s="37"/>
      <c r="H57" s="37"/>
      <c r="I57" s="37"/>
      <c r="J57" s="53" t="s">
        <v>1947</v>
      </c>
      <c r="K57" s="53" t="s">
        <v>1948</v>
      </c>
      <c r="L57" s="53" t="s">
        <v>1947</v>
      </c>
      <c r="M57" s="61">
        <f t="shared" si="62"/>
        <v>0</v>
      </c>
      <c r="N57" s="61">
        <f t="shared" si="63"/>
        <v>1</v>
      </c>
      <c r="O57" s="61">
        <f t="shared" si="64"/>
        <v>0</v>
      </c>
      <c r="P57" s="61">
        <f t="shared" si="65"/>
        <v>1</v>
      </c>
      <c r="Q57" s="53" t="s">
        <v>2165</v>
      </c>
      <c r="R57" s="53" t="s">
        <v>2165</v>
      </c>
      <c r="S57" s="53" t="s">
        <v>1948</v>
      </c>
      <c r="T57" s="61">
        <f t="shared" si="66"/>
        <v>0</v>
      </c>
      <c r="U57" s="61">
        <f t="shared" si="67"/>
        <v>0</v>
      </c>
      <c r="V57" s="61">
        <f t="shared" si="68"/>
        <v>1</v>
      </c>
      <c r="W57" s="61">
        <f t="shared" si="69"/>
        <v>1</v>
      </c>
      <c r="X57" s="61">
        <f t="shared" si="70"/>
        <v>33.333333333333336</v>
      </c>
      <c r="Y57" s="53" t="s">
        <v>1948</v>
      </c>
      <c r="Z57" s="53" t="s">
        <v>1947</v>
      </c>
      <c r="AA57" s="61">
        <f t="shared" si="71"/>
        <v>1</v>
      </c>
      <c r="AB57" s="61">
        <f t="shared" si="72"/>
        <v>0</v>
      </c>
      <c r="AC57" s="61">
        <f t="shared" si="73"/>
        <v>1</v>
      </c>
      <c r="AD57" s="61">
        <f t="shared" si="74"/>
        <v>50</v>
      </c>
      <c r="AE57" s="53" t="s">
        <v>1947</v>
      </c>
      <c r="AF57" s="53" t="s">
        <v>1947</v>
      </c>
      <c r="AG57" s="53" t="s">
        <v>1947</v>
      </c>
      <c r="AH57" s="53" t="s">
        <v>1947</v>
      </c>
      <c r="AI57" s="53" t="s">
        <v>1947</v>
      </c>
      <c r="AJ57" s="50">
        <f t="shared" si="75"/>
        <v>0</v>
      </c>
      <c r="AK57" s="50">
        <f t="shared" si="76"/>
        <v>0</v>
      </c>
      <c r="AL57" s="50">
        <f t="shared" si="77"/>
        <v>0</v>
      </c>
      <c r="AM57" s="50">
        <f t="shared" si="78"/>
        <v>0</v>
      </c>
      <c r="AN57" s="50">
        <f t="shared" si="79"/>
        <v>0</v>
      </c>
      <c r="AO57" s="50">
        <f t="shared" si="80"/>
        <v>0</v>
      </c>
      <c r="AP57" s="51">
        <f t="shared" si="81"/>
        <v>0</v>
      </c>
      <c r="AQ57" s="51">
        <f t="shared" si="82"/>
        <v>83.333333333333343</v>
      </c>
      <c r="AR57" s="53"/>
      <c r="AS57" s="53"/>
      <c r="AT57" s="53"/>
      <c r="AU57" s="50">
        <f t="shared" si="83"/>
        <v>0</v>
      </c>
      <c r="AV57" s="50">
        <f t="shared" si="84"/>
        <v>0</v>
      </c>
      <c r="AW57" s="50">
        <f t="shared" si="85"/>
        <v>0</v>
      </c>
      <c r="AX57" s="50">
        <f t="shared" si="86"/>
        <v>0</v>
      </c>
      <c r="AY57" s="50">
        <f t="shared" si="87"/>
        <v>0</v>
      </c>
      <c r="AZ57" s="36"/>
      <c r="BA57" s="36"/>
      <c r="BB57" s="36"/>
      <c r="BC57" s="36"/>
      <c r="BD57" s="37">
        <f t="shared" si="88"/>
        <v>0</v>
      </c>
      <c r="BE57" s="37">
        <f t="shared" si="89"/>
        <v>0</v>
      </c>
      <c r="BF57" s="37">
        <f t="shared" si="90"/>
        <v>0</v>
      </c>
      <c r="BG57" s="37">
        <f t="shared" si="91"/>
        <v>0</v>
      </c>
      <c r="BH57" s="37">
        <f t="shared" si="92"/>
        <v>0</v>
      </c>
      <c r="BI57" s="37">
        <f t="shared" si="93"/>
        <v>0</v>
      </c>
      <c r="BJ57" s="37">
        <f t="shared" si="94"/>
        <v>0</v>
      </c>
      <c r="BK57" s="37">
        <f t="shared" si="95"/>
        <v>0</v>
      </c>
      <c r="BL57" s="36" t="s">
        <v>2067</v>
      </c>
      <c r="BM57" s="36" t="s">
        <v>2067</v>
      </c>
      <c r="BN57" s="36" t="s">
        <v>2067</v>
      </c>
      <c r="BO57" s="37">
        <f t="shared" si="96"/>
        <v>0</v>
      </c>
      <c r="BP57" s="37">
        <f t="shared" si="97"/>
        <v>0</v>
      </c>
      <c r="BQ57" s="37">
        <f t="shared" si="98"/>
        <v>0</v>
      </c>
      <c r="BR57" s="37">
        <f t="shared" si="99"/>
        <v>0</v>
      </c>
      <c r="BS57" s="37">
        <f t="shared" si="100"/>
        <v>0</v>
      </c>
      <c r="BT57" s="37">
        <f t="shared" si="101"/>
        <v>0</v>
      </c>
      <c r="BU57" s="36"/>
      <c r="BV57" s="36"/>
      <c r="BW57" s="37"/>
      <c r="BX57" s="37"/>
      <c r="BY57" s="37"/>
      <c r="BZ57" s="37"/>
      <c r="CA57" s="36"/>
      <c r="CB57" s="36"/>
      <c r="CC57" s="37"/>
      <c r="CD57" s="37"/>
      <c r="CE57" s="37"/>
      <c r="CF57" s="37"/>
      <c r="CG57" s="36"/>
      <c r="CH57" s="36"/>
      <c r="CI57" s="37">
        <f t="shared" si="102"/>
        <v>1</v>
      </c>
      <c r="CJ57" s="37">
        <f t="shared" si="103"/>
        <v>0.75</v>
      </c>
      <c r="CK57" s="37">
        <f t="shared" si="104"/>
        <v>0.75</v>
      </c>
      <c r="CL57" s="37">
        <f t="shared" si="105"/>
        <v>0</v>
      </c>
      <c r="CM57" s="37">
        <f t="shared" si="106"/>
        <v>0</v>
      </c>
      <c r="CN57" s="36" t="s">
        <v>2166</v>
      </c>
      <c r="CO57" s="36" t="s">
        <v>2166</v>
      </c>
      <c r="CP57" s="36" t="s">
        <v>2166</v>
      </c>
      <c r="CQ57" s="37">
        <f t="shared" si="107"/>
        <v>1</v>
      </c>
      <c r="CR57" s="37">
        <f t="shared" si="108"/>
        <v>1</v>
      </c>
      <c r="CS57" s="37">
        <f t="shared" si="109"/>
        <v>1</v>
      </c>
      <c r="CT57" s="37">
        <f t="shared" si="110"/>
        <v>0</v>
      </c>
      <c r="CU57" s="37">
        <f t="shared" si="111"/>
        <v>0</v>
      </c>
      <c r="CV57" s="36"/>
      <c r="CW57" s="37">
        <f t="shared" si="112"/>
        <v>0</v>
      </c>
      <c r="CX57" s="37">
        <f t="shared" si="113"/>
        <v>0</v>
      </c>
      <c r="CY57" s="37">
        <f t="shared" si="114"/>
        <v>3.3333333333333339</v>
      </c>
      <c r="CZ57" s="37">
        <f t="shared" si="115"/>
        <v>5</v>
      </c>
      <c r="DA57" s="37">
        <f t="shared" si="116"/>
        <v>0</v>
      </c>
      <c r="DB57" s="37">
        <f t="shared" si="117"/>
        <v>0</v>
      </c>
      <c r="DC57" s="37">
        <f t="shared" si="118"/>
        <v>0</v>
      </c>
      <c r="DD57" s="37">
        <f t="shared" si="119"/>
        <v>0</v>
      </c>
      <c r="DE57" s="37">
        <f t="shared" si="120"/>
        <v>0</v>
      </c>
      <c r="DF57" s="37">
        <f t="shared" si="123"/>
        <v>0</v>
      </c>
      <c r="DG57" s="37">
        <f t="shared" si="121"/>
        <v>0</v>
      </c>
      <c r="DH57" s="37">
        <f t="shared" si="122"/>
        <v>8.3333333333333339</v>
      </c>
    </row>
    <row r="58" spans="1:112" ht="24.75" hidden="1" x14ac:dyDescent="0.25">
      <c r="A58" s="37">
        <v>54</v>
      </c>
      <c r="B58" s="156" t="s">
        <v>2220</v>
      </c>
      <c r="C58" s="37"/>
      <c r="D58" s="37"/>
      <c r="E58" s="37"/>
      <c r="F58" s="37"/>
      <c r="G58" s="37"/>
      <c r="H58" s="37"/>
      <c r="I58" s="37"/>
      <c r="J58" s="53" t="s">
        <v>1947</v>
      </c>
      <c r="K58" s="53" t="s">
        <v>1948</v>
      </c>
      <c r="L58" s="53" t="s">
        <v>1947</v>
      </c>
      <c r="M58" s="61">
        <f t="shared" si="62"/>
        <v>0</v>
      </c>
      <c r="N58" s="61">
        <f t="shared" si="63"/>
        <v>1</v>
      </c>
      <c r="O58" s="61">
        <f t="shared" si="64"/>
        <v>0</v>
      </c>
      <c r="P58" s="61">
        <f t="shared" si="65"/>
        <v>1</v>
      </c>
      <c r="Q58" s="53" t="s">
        <v>2165</v>
      </c>
      <c r="R58" s="53" t="s">
        <v>2165</v>
      </c>
      <c r="S58" s="53" t="s">
        <v>1948</v>
      </c>
      <c r="T58" s="61">
        <f t="shared" si="66"/>
        <v>0</v>
      </c>
      <c r="U58" s="61">
        <f t="shared" si="67"/>
        <v>0</v>
      </c>
      <c r="V58" s="61">
        <f t="shared" si="68"/>
        <v>1</v>
      </c>
      <c r="W58" s="61">
        <f t="shared" si="69"/>
        <v>1</v>
      </c>
      <c r="X58" s="61">
        <f t="shared" si="70"/>
        <v>33.333333333333336</v>
      </c>
      <c r="Y58" s="53" t="s">
        <v>1948</v>
      </c>
      <c r="Z58" s="53" t="s">
        <v>1947</v>
      </c>
      <c r="AA58" s="61">
        <f t="shared" si="71"/>
        <v>1</v>
      </c>
      <c r="AB58" s="61">
        <f t="shared" si="72"/>
        <v>0</v>
      </c>
      <c r="AC58" s="61">
        <f t="shared" si="73"/>
        <v>1</v>
      </c>
      <c r="AD58" s="61">
        <f t="shared" si="74"/>
        <v>50</v>
      </c>
      <c r="AE58" s="53" t="s">
        <v>1947</v>
      </c>
      <c r="AF58" s="53" t="s">
        <v>1947</v>
      </c>
      <c r="AG58" s="53" t="s">
        <v>1947</v>
      </c>
      <c r="AH58" s="53" t="s">
        <v>1947</v>
      </c>
      <c r="AI58" s="53" t="s">
        <v>1947</v>
      </c>
      <c r="AJ58" s="50">
        <f t="shared" si="75"/>
        <v>0</v>
      </c>
      <c r="AK58" s="50">
        <f t="shared" si="76"/>
        <v>0</v>
      </c>
      <c r="AL58" s="50">
        <f t="shared" si="77"/>
        <v>0</v>
      </c>
      <c r="AM58" s="50">
        <f t="shared" si="78"/>
        <v>0</v>
      </c>
      <c r="AN58" s="50">
        <f t="shared" si="79"/>
        <v>0</v>
      </c>
      <c r="AO58" s="50">
        <f t="shared" si="80"/>
        <v>0</v>
      </c>
      <c r="AP58" s="51">
        <f t="shared" si="81"/>
        <v>0</v>
      </c>
      <c r="AQ58" s="51">
        <f t="shared" si="82"/>
        <v>83.333333333333343</v>
      </c>
      <c r="AR58" s="53"/>
      <c r="AS58" s="53"/>
      <c r="AT58" s="53"/>
      <c r="AU58" s="50">
        <f t="shared" si="83"/>
        <v>0</v>
      </c>
      <c r="AV58" s="50">
        <f t="shared" si="84"/>
        <v>0</v>
      </c>
      <c r="AW58" s="50">
        <f t="shared" si="85"/>
        <v>0</v>
      </c>
      <c r="AX58" s="50">
        <f t="shared" si="86"/>
        <v>0</v>
      </c>
      <c r="AY58" s="50">
        <f t="shared" si="87"/>
        <v>0</v>
      </c>
      <c r="AZ58" s="36"/>
      <c r="BA58" s="36"/>
      <c r="BB58" s="36"/>
      <c r="BC58" s="36"/>
      <c r="BD58" s="37">
        <f t="shared" si="88"/>
        <v>0</v>
      </c>
      <c r="BE58" s="37">
        <f t="shared" si="89"/>
        <v>0</v>
      </c>
      <c r="BF58" s="37">
        <f t="shared" si="90"/>
        <v>0</v>
      </c>
      <c r="BG58" s="37">
        <f t="shared" si="91"/>
        <v>0</v>
      </c>
      <c r="BH58" s="37">
        <f t="shared" si="92"/>
        <v>0</v>
      </c>
      <c r="BI58" s="37">
        <f t="shared" si="93"/>
        <v>0</v>
      </c>
      <c r="BJ58" s="37">
        <f t="shared" si="94"/>
        <v>0</v>
      </c>
      <c r="BK58" s="37">
        <f t="shared" si="95"/>
        <v>0</v>
      </c>
      <c r="BL58" s="36" t="s">
        <v>2067</v>
      </c>
      <c r="BM58" s="36" t="s">
        <v>2067</v>
      </c>
      <c r="BN58" s="36" t="s">
        <v>2067</v>
      </c>
      <c r="BO58" s="37">
        <f t="shared" si="96"/>
        <v>0</v>
      </c>
      <c r="BP58" s="37">
        <f t="shared" si="97"/>
        <v>0</v>
      </c>
      <c r="BQ58" s="37">
        <f t="shared" si="98"/>
        <v>0</v>
      </c>
      <c r="BR58" s="37">
        <f t="shared" si="99"/>
        <v>0</v>
      </c>
      <c r="BS58" s="37">
        <f t="shared" si="100"/>
        <v>0</v>
      </c>
      <c r="BT58" s="37">
        <f t="shared" si="101"/>
        <v>0</v>
      </c>
      <c r="BU58" s="36"/>
      <c r="BV58" s="36"/>
      <c r="BW58" s="37"/>
      <c r="BX58" s="37"/>
      <c r="BY58" s="37"/>
      <c r="BZ58" s="37"/>
      <c r="CA58" s="36"/>
      <c r="CB58" s="36"/>
      <c r="CC58" s="37"/>
      <c r="CD58" s="37"/>
      <c r="CE58" s="37"/>
      <c r="CF58" s="37"/>
      <c r="CG58" s="36"/>
      <c r="CH58" s="36"/>
      <c r="CI58" s="37">
        <f t="shared" si="102"/>
        <v>1</v>
      </c>
      <c r="CJ58" s="37">
        <f t="shared" si="103"/>
        <v>0.75</v>
      </c>
      <c r="CK58" s="37">
        <f t="shared" si="104"/>
        <v>0.75</v>
      </c>
      <c r="CL58" s="37">
        <f t="shared" si="105"/>
        <v>0</v>
      </c>
      <c r="CM58" s="37">
        <f t="shared" si="106"/>
        <v>0</v>
      </c>
      <c r="CN58" s="36" t="s">
        <v>2166</v>
      </c>
      <c r="CO58" s="36" t="s">
        <v>2166</v>
      </c>
      <c r="CP58" s="36" t="s">
        <v>2166</v>
      </c>
      <c r="CQ58" s="37">
        <f t="shared" si="107"/>
        <v>1</v>
      </c>
      <c r="CR58" s="37">
        <f t="shared" si="108"/>
        <v>1</v>
      </c>
      <c r="CS58" s="37">
        <f t="shared" si="109"/>
        <v>1</v>
      </c>
      <c r="CT58" s="37">
        <f t="shared" si="110"/>
        <v>0</v>
      </c>
      <c r="CU58" s="37">
        <f t="shared" si="111"/>
        <v>0</v>
      </c>
      <c r="CV58" s="36"/>
      <c r="CW58" s="37">
        <f t="shared" si="112"/>
        <v>0</v>
      </c>
      <c r="CX58" s="37">
        <f t="shared" si="113"/>
        <v>0</v>
      </c>
      <c r="CY58" s="37">
        <f t="shared" si="114"/>
        <v>3.3333333333333339</v>
      </c>
      <c r="CZ58" s="37">
        <f t="shared" si="115"/>
        <v>5</v>
      </c>
      <c r="DA58" s="37">
        <f t="shared" si="116"/>
        <v>0</v>
      </c>
      <c r="DB58" s="37">
        <f t="shared" si="117"/>
        <v>0</v>
      </c>
      <c r="DC58" s="37">
        <f t="shared" si="118"/>
        <v>0</v>
      </c>
      <c r="DD58" s="37">
        <f t="shared" si="119"/>
        <v>0</v>
      </c>
      <c r="DE58" s="37">
        <f t="shared" si="120"/>
        <v>0</v>
      </c>
      <c r="DF58" s="37">
        <f t="shared" si="123"/>
        <v>0</v>
      </c>
      <c r="DG58" s="37">
        <f t="shared" si="121"/>
        <v>0</v>
      </c>
      <c r="DH58" s="37">
        <f t="shared" si="122"/>
        <v>8.3333333333333339</v>
      </c>
    </row>
    <row r="59" spans="1:112" ht="24.75" hidden="1" x14ac:dyDescent="0.25">
      <c r="A59" s="37">
        <v>55</v>
      </c>
      <c r="B59" s="156" t="s">
        <v>2221</v>
      </c>
      <c r="C59" s="37"/>
      <c r="D59" s="37"/>
      <c r="E59" s="37"/>
      <c r="F59" s="37"/>
      <c r="G59" s="37"/>
      <c r="H59" s="37"/>
      <c r="I59" s="37"/>
      <c r="J59" s="53" t="s">
        <v>1947</v>
      </c>
      <c r="K59" s="53" t="s">
        <v>1948</v>
      </c>
      <c r="L59" s="53" t="s">
        <v>1947</v>
      </c>
      <c r="M59" s="61">
        <f t="shared" si="62"/>
        <v>0</v>
      </c>
      <c r="N59" s="61">
        <f t="shared" si="63"/>
        <v>1</v>
      </c>
      <c r="O59" s="61">
        <f t="shared" si="64"/>
        <v>0</v>
      </c>
      <c r="P59" s="61">
        <f t="shared" si="65"/>
        <v>1</v>
      </c>
      <c r="Q59" s="53" t="s">
        <v>2165</v>
      </c>
      <c r="R59" s="53" t="s">
        <v>2165</v>
      </c>
      <c r="S59" s="53" t="s">
        <v>1948</v>
      </c>
      <c r="T59" s="61">
        <f t="shared" si="66"/>
        <v>0</v>
      </c>
      <c r="U59" s="61">
        <f t="shared" si="67"/>
        <v>0</v>
      </c>
      <c r="V59" s="61">
        <f t="shared" si="68"/>
        <v>1</v>
      </c>
      <c r="W59" s="61">
        <f t="shared" si="69"/>
        <v>1</v>
      </c>
      <c r="X59" s="61">
        <f t="shared" si="70"/>
        <v>33.333333333333336</v>
      </c>
      <c r="Y59" s="53" t="s">
        <v>1948</v>
      </c>
      <c r="Z59" s="53" t="s">
        <v>1947</v>
      </c>
      <c r="AA59" s="61">
        <f t="shared" si="71"/>
        <v>1</v>
      </c>
      <c r="AB59" s="61">
        <f t="shared" si="72"/>
        <v>0</v>
      </c>
      <c r="AC59" s="61">
        <f t="shared" si="73"/>
        <v>1</v>
      </c>
      <c r="AD59" s="61">
        <f t="shared" si="74"/>
        <v>50</v>
      </c>
      <c r="AE59" s="53" t="s">
        <v>1947</v>
      </c>
      <c r="AF59" s="53" t="s">
        <v>1947</v>
      </c>
      <c r="AG59" s="53" t="s">
        <v>1947</v>
      </c>
      <c r="AH59" s="53" t="s">
        <v>1947</v>
      </c>
      <c r="AI59" s="53" t="s">
        <v>1947</v>
      </c>
      <c r="AJ59" s="50">
        <f t="shared" si="75"/>
        <v>0</v>
      </c>
      <c r="AK59" s="50">
        <f t="shared" si="76"/>
        <v>0</v>
      </c>
      <c r="AL59" s="50">
        <f t="shared" si="77"/>
        <v>0</v>
      </c>
      <c r="AM59" s="50">
        <f t="shared" si="78"/>
        <v>0</v>
      </c>
      <c r="AN59" s="50">
        <f t="shared" si="79"/>
        <v>0</v>
      </c>
      <c r="AO59" s="50">
        <f t="shared" si="80"/>
        <v>0</v>
      </c>
      <c r="AP59" s="51">
        <f t="shared" si="81"/>
        <v>0</v>
      </c>
      <c r="AQ59" s="51">
        <f t="shared" si="82"/>
        <v>83.333333333333343</v>
      </c>
      <c r="AR59" s="53"/>
      <c r="AS59" s="53"/>
      <c r="AT59" s="53"/>
      <c r="AU59" s="50">
        <f t="shared" si="83"/>
        <v>0</v>
      </c>
      <c r="AV59" s="50">
        <f t="shared" si="84"/>
        <v>0</v>
      </c>
      <c r="AW59" s="50">
        <f t="shared" si="85"/>
        <v>0</v>
      </c>
      <c r="AX59" s="50">
        <f t="shared" si="86"/>
        <v>0</v>
      </c>
      <c r="AY59" s="50">
        <f t="shared" si="87"/>
        <v>0</v>
      </c>
      <c r="AZ59" s="36"/>
      <c r="BA59" s="36"/>
      <c r="BB59" s="36"/>
      <c r="BC59" s="36"/>
      <c r="BD59" s="37">
        <f t="shared" si="88"/>
        <v>0</v>
      </c>
      <c r="BE59" s="37">
        <f t="shared" si="89"/>
        <v>0</v>
      </c>
      <c r="BF59" s="37">
        <f t="shared" si="90"/>
        <v>0</v>
      </c>
      <c r="BG59" s="37">
        <f t="shared" si="91"/>
        <v>0</v>
      </c>
      <c r="BH59" s="37">
        <f t="shared" si="92"/>
        <v>0</v>
      </c>
      <c r="BI59" s="37">
        <f t="shared" si="93"/>
        <v>0</v>
      </c>
      <c r="BJ59" s="37">
        <f t="shared" si="94"/>
        <v>0</v>
      </c>
      <c r="BK59" s="37">
        <f t="shared" si="95"/>
        <v>0</v>
      </c>
      <c r="BL59" s="36" t="s">
        <v>2067</v>
      </c>
      <c r="BM59" s="36" t="s">
        <v>2067</v>
      </c>
      <c r="BN59" s="36" t="s">
        <v>2067</v>
      </c>
      <c r="BO59" s="37">
        <f t="shared" si="96"/>
        <v>0</v>
      </c>
      <c r="BP59" s="37">
        <f t="shared" si="97"/>
        <v>0</v>
      </c>
      <c r="BQ59" s="37">
        <f t="shared" si="98"/>
        <v>0</v>
      </c>
      <c r="BR59" s="37">
        <f t="shared" si="99"/>
        <v>0</v>
      </c>
      <c r="BS59" s="37">
        <f t="shared" si="100"/>
        <v>0</v>
      </c>
      <c r="BT59" s="37">
        <f t="shared" si="101"/>
        <v>0</v>
      </c>
      <c r="BU59" s="36"/>
      <c r="BV59" s="36"/>
      <c r="BW59" s="37"/>
      <c r="BX59" s="37"/>
      <c r="BY59" s="37"/>
      <c r="BZ59" s="37"/>
      <c r="CA59" s="36"/>
      <c r="CB59" s="36"/>
      <c r="CC59" s="37"/>
      <c r="CD59" s="37"/>
      <c r="CE59" s="37"/>
      <c r="CF59" s="37"/>
      <c r="CG59" s="36"/>
      <c r="CH59" s="36"/>
      <c r="CI59" s="37">
        <f t="shared" si="102"/>
        <v>1</v>
      </c>
      <c r="CJ59" s="37">
        <f t="shared" si="103"/>
        <v>0.75</v>
      </c>
      <c r="CK59" s="37">
        <f t="shared" si="104"/>
        <v>0.75</v>
      </c>
      <c r="CL59" s="37">
        <f t="shared" si="105"/>
        <v>0</v>
      </c>
      <c r="CM59" s="37">
        <f t="shared" si="106"/>
        <v>0</v>
      </c>
      <c r="CN59" s="36" t="s">
        <v>2166</v>
      </c>
      <c r="CO59" s="36" t="s">
        <v>2166</v>
      </c>
      <c r="CP59" s="36" t="s">
        <v>2166</v>
      </c>
      <c r="CQ59" s="37">
        <f t="shared" si="107"/>
        <v>1</v>
      </c>
      <c r="CR59" s="37">
        <f t="shared" si="108"/>
        <v>1</v>
      </c>
      <c r="CS59" s="37">
        <f t="shared" si="109"/>
        <v>1</v>
      </c>
      <c r="CT59" s="37">
        <f t="shared" si="110"/>
        <v>0</v>
      </c>
      <c r="CU59" s="37">
        <f t="shared" si="111"/>
        <v>0</v>
      </c>
      <c r="CV59" s="36"/>
      <c r="CW59" s="37">
        <f t="shared" si="112"/>
        <v>0</v>
      </c>
      <c r="CX59" s="37">
        <f t="shared" si="113"/>
        <v>0</v>
      </c>
      <c r="CY59" s="37">
        <f t="shared" si="114"/>
        <v>3.3333333333333339</v>
      </c>
      <c r="CZ59" s="37">
        <f t="shared" si="115"/>
        <v>5</v>
      </c>
      <c r="DA59" s="37">
        <f t="shared" si="116"/>
        <v>0</v>
      </c>
      <c r="DB59" s="37">
        <f t="shared" si="117"/>
        <v>0</v>
      </c>
      <c r="DC59" s="37">
        <f t="shared" si="118"/>
        <v>0</v>
      </c>
      <c r="DD59" s="37">
        <f t="shared" si="119"/>
        <v>0</v>
      </c>
      <c r="DE59" s="37">
        <f t="shared" si="120"/>
        <v>0</v>
      </c>
      <c r="DF59" s="37">
        <f t="shared" si="123"/>
        <v>0</v>
      </c>
      <c r="DG59" s="37">
        <f t="shared" si="121"/>
        <v>0</v>
      </c>
      <c r="DH59" s="37">
        <f t="shared" si="122"/>
        <v>8.3333333333333339</v>
      </c>
    </row>
    <row r="60" spans="1:112" ht="24.75" hidden="1" x14ac:dyDescent="0.25">
      <c r="A60" s="37">
        <v>56</v>
      </c>
      <c r="B60" s="156" t="s">
        <v>2222</v>
      </c>
      <c r="C60" s="37"/>
      <c r="D60" s="37"/>
      <c r="E60" s="37"/>
      <c r="F60" s="37"/>
      <c r="G60" s="37"/>
      <c r="H60" s="37"/>
      <c r="I60" s="37"/>
      <c r="J60" s="53" t="s">
        <v>1947</v>
      </c>
      <c r="K60" s="53" t="s">
        <v>1948</v>
      </c>
      <c r="L60" s="53" t="s">
        <v>1947</v>
      </c>
      <c r="M60" s="61">
        <f t="shared" si="62"/>
        <v>0</v>
      </c>
      <c r="N60" s="61">
        <f t="shared" si="63"/>
        <v>1</v>
      </c>
      <c r="O60" s="61">
        <f t="shared" si="64"/>
        <v>0</v>
      </c>
      <c r="P60" s="61">
        <f t="shared" si="65"/>
        <v>1</v>
      </c>
      <c r="Q60" s="53" t="s">
        <v>2165</v>
      </c>
      <c r="R60" s="53" t="s">
        <v>2165</v>
      </c>
      <c r="S60" s="53" t="s">
        <v>1948</v>
      </c>
      <c r="T60" s="61">
        <f t="shared" si="66"/>
        <v>0</v>
      </c>
      <c r="U60" s="61">
        <f t="shared" si="67"/>
        <v>0</v>
      </c>
      <c r="V60" s="61">
        <f t="shared" si="68"/>
        <v>1</v>
      </c>
      <c r="W60" s="61">
        <f t="shared" si="69"/>
        <v>1</v>
      </c>
      <c r="X60" s="61">
        <f t="shared" si="70"/>
        <v>33.333333333333336</v>
      </c>
      <c r="Y60" s="53" t="s">
        <v>1948</v>
      </c>
      <c r="Z60" s="53" t="s">
        <v>1947</v>
      </c>
      <c r="AA60" s="61">
        <f t="shared" si="71"/>
        <v>1</v>
      </c>
      <c r="AB60" s="61">
        <f t="shared" si="72"/>
        <v>0</v>
      </c>
      <c r="AC60" s="61">
        <f t="shared" si="73"/>
        <v>1</v>
      </c>
      <c r="AD60" s="61">
        <f t="shared" si="74"/>
        <v>50</v>
      </c>
      <c r="AE60" s="53" t="s">
        <v>1947</v>
      </c>
      <c r="AF60" s="53" t="s">
        <v>1947</v>
      </c>
      <c r="AG60" s="53" t="s">
        <v>1947</v>
      </c>
      <c r="AH60" s="53" t="s">
        <v>1947</v>
      </c>
      <c r="AI60" s="53" t="s">
        <v>1947</v>
      </c>
      <c r="AJ60" s="50">
        <f t="shared" si="75"/>
        <v>0</v>
      </c>
      <c r="AK60" s="50">
        <f t="shared" si="76"/>
        <v>0</v>
      </c>
      <c r="AL60" s="50">
        <f t="shared" si="77"/>
        <v>0</v>
      </c>
      <c r="AM60" s="50">
        <f t="shared" si="78"/>
        <v>0</v>
      </c>
      <c r="AN60" s="50">
        <f t="shared" si="79"/>
        <v>0</v>
      </c>
      <c r="AO60" s="50">
        <f t="shared" si="80"/>
        <v>0</v>
      </c>
      <c r="AP60" s="51">
        <f t="shared" si="81"/>
        <v>0</v>
      </c>
      <c r="AQ60" s="51">
        <f t="shared" si="82"/>
        <v>83.333333333333343</v>
      </c>
      <c r="AR60" s="53"/>
      <c r="AS60" s="53"/>
      <c r="AT60" s="53"/>
      <c r="AU60" s="50">
        <f t="shared" si="83"/>
        <v>0</v>
      </c>
      <c r="AV60" s="50">
        <f t="shared" si="84"/>
        <v>0</v>
      </c>
      <c r="AW60" s="50">
        <f t="shared" si="85"/>
        <v>0</v>
      </c>
      <c r="AX60" s="50">
        <f t="shared" si="86"/>
        <v>0</v>
      </c>
      <c r="AY60" s="50">
        <f t="shared" si="87"/>
        <v>0</v>
      </c>
      <c r="AZ60" s="36"/>
      <c r="BA60" s="36"/>
      <c r="BB60" s="36"/>
      <c r="BC60" s="36"/>
      <c r="BD60" s="37">
        <f t="shared" si="88"/>
        <v>0</v>
      </c>
      <c r="BE60" s="37">
        <f t="shared" si="89"/>
        <v>0</v>
      </c>
      <c r="BF60" s="37">
        <f t="shared" si="90"/>
        <v>0</v>
      </c>
      <c r="BG60" s="37">
        <f t="shared" si="91"/>
        <v>0</v>
      </c>
      <c r="BH60" s="37">
        <f t="shared" si="92"/>
        <v>0</v>
      </c>
      <c r="BI60" s="37">
        <f t="shared" si="93"/>
        <v>0</v>
      </c>
      <c r="BJ60" s="37">
        <f t="shared" si="94"/>
        <v>0</v>
      </c>
      <c r="BK60" s="37">
        <f t="shared" si="95"/>
        <v>0</v>
      </c>
      <c r="BL60" s="36" t="s">
        <v>2067</v>
      </c>
      <c r="BM60" s="36" t="s">
        <v>2067</v>
      </c>
      <c r="BN60" s="36" t="s">
        <v>2067</v>
      </c>
      <c r="BO60" s="37">
        <f t="shared" si="96"/>
        <v>0</v>
      </c>
      <c r="BP60" s="37">
        <f t="shared" si="97"/>
        <v>0</v>
      </c>
      <c r="BQ60" s="37">
        <f t="shared" si="98"/>
        <v>0</v>
      </c>
      <c r="BR60" s="37">
        <f t="shared" si="99"/>
        <v>0</v>
      </c>
      <c r="BS60" s="37">
        <f t="shared" si="100"/>
        <v>0</v>
      </c>
      <c r="BT60" s="37">
        <f t="shared" si="101"/>
        <v>0</v>
      </c>
      <c r="BU60" s="36"/>
      <c r="BV60" s="36"/>
      <c r="BW60" s="37"/>
      <c r="BX60" s="37"/>
      <c r="BY60" s="37"/>
      <c r="BZ60" s="37"/>
      <c r="CA60" s="36"/>
      <c r="CB60" s="36"/>
      <c r="CC60" s="37"/>
      <c r="CD60" s="37"/>
      <c r="CE60" s="37"/>
      <c r="CF60" s="37"/>
      <c r="CG60" s="36"/>
      <c r="CH60" s="36"/>
      <c r="CI60" s="37">
        <f t="shared" si="102"/>
        <v>1</v>
      </c>
      <c r="CJ60" s="37">
        <f t="shared" si="103"/>
        <v>0.75</v>
      </c>
      <c r="CK60" s="37">
        <f t="shared" si="104"/>
        <v>0.75</v>
      </c>
      <c r="CL60" s="37">
        <f t="shared" si="105"/>
        <v>0</v>
      </c>
      <c r="CM60" s="37">
        <f t="shared" si="106"/>
        <v>0</v>
      </c>
      <c r="CN60" s="36" t="s">
        <v>2166</v>
      </c>
      <c r="CO60" s="36" t="s">
        <v>2166</v>
      </c>
      <c r="CP60" s="36" t="s">
        <v>2166</v>
      </c>
      <c r="CQ60" s="37">
        <f t="shared" si="107"/>
        <v>1</v>
      </c>
      <c r="CR60" s="37">
        <f t="shared" si="108"/>
        <v>1</v>
      </c>
      <c r="CS60" s="37">
        <f t="shared" si="109"/>
        <v>1</v>
      </c>
      <c r="CT60" s="37">
        <f t="shared" si="110"/>
        <v>0</v>
      </c>
      <c r="CU60" s="37">
        <f t="shared" si="111"/>
        <v>0</v>
      </c>
      <c r="CV60" s="36"/>
      <c r="CW60" s="37">
        <f t="shared" si="112"/>
        <v>0</v>
      </c>
      <c r="CX60" s="37">
        <f t="shared" si="113"/>
        <v>0</v>
      </c>
      <c r="CY60" s="37">
        <f t="shared" si="114"/>
        <v>3.3333333333333339</v>
      </c>
      <c r="CZ60" s="37">
        <f t="shared" si="115"/>
        <v>5</v>
      </c>
      <c r="DA60" s="37">
        <f t="shared" si="116"/>
        <v>0</v>
      </c>
      <c r="DB60" s="37">
        <f t="shared" si="117"/>
        <v>0</v>
      </c>
      <c r="DC60" s="37">
        <f t="shared" si="118"/>
        <v>0</v>
      </c>
      <c r="DD60" s="37">
        <f t="shared" si="119"/>
        <v>0</v>
      </c>
      <c r="DE60" s="37">
        <f t="shared" si="120"/>
        <v>0</v>
      </c>
      <c r="DF60" s="37">
        <f t="shared" si="123"/>
        <v>0</v>
      </c>
      <c r="DG60" s="37">
        <f t="shared" si="121"/>
        <v>0</v>
      </c>
      <c r="DH60" s="37">
        <f t="shared" si="122"/>
        <v>8.3333333333333339</v>
      </c>
    </row>
    <row r="61" spans="1:112" ht="24.75" hidden="1" x14ac:dyDescent="0.25">
      <c r="A61" s="37">
        <v>57</v>
      </c>
      <c r="B61" s="156" t="s">
        <v>2223</v>
      </c>
      <c r="C61" s="37"/>
      <c r="D61" s="37"/>
      <c r="E61" s="37"/>
      <c r="F61" s="37"/>
      <c r="G61" s="37"/>
      <c r="H61" s="37"/>
      <c r="I61" s="37"/>
      <c r="J61" s="53" t="s">
        <v>1947</v>
      </c>
      <c r="K61" s="53" t="s">
        <v>1948</v>
      </c>
      <c r="L61" s="53" t="s">
        <v>1947</v>
      </c>
      <c r="M61" s="61">
        <f t="shared" si="62"/>
        <v>0</v>
      </c>
      <c r="N61" s="61">
        <f t="shared" si="63"/>
        <v>1</v>
      </c>
      <c r="O61" s="61">
        <f t="shared" si="64"/>
        <v>0</v>
      </c>
      <c r="P61" s="61">
        <f t="shared" si="65"/>
        <v>1</v>
      </c>
      <c r="Q61" s="53" t="s">
        <v>2165</v>
      </c>
      <c r="R61" s="53" t="s">
        <v>2165</v>
      </c>
      <c r="S61" s="53" t="s">
        <v>1948</v>
      </c>
      <c r="T61" s="61">
        <f t="shared" si="66"/>
        <v>0</v>
      </c>
      <c r="U61" s="61">
        <f t="shared" si="67"/>
        <v>0</v>
      </c>
      <c r="V61" s="61">
        <f t="shared" si="68"/>
        <v>1</v>
      </c>
      <c r="W61" s="61">
        <f t="shared" si="69"/>
        <v>1</v>
      </c>
      <c r="X61" s="61">
        <f t="shared" si="70"/>
        <v>33.333333333333336</v>
      </c>
      <c r="Y61" s="53" t="s">
        <v>1948</v>
      </c>
      <c r="Z61" s="53" t="s">
        <v>1947</v>
      </c>
      <c r="AA61" s="61">
        <f t="shared" si="71"/>
        <v>1</v>
      </c>
      <c r="AB61" s="61">
        <f t="shared" si="72"/>
        <v>0</v>
      </c>
      <c r="AC61" s="61">
        <f t="shared" si="73"/>
        <v>1</v>
      </c>
      <c r="AD61" s="61">
        <f t="shared" si="74"/>
        <v>50</v>
      </c>
      <c r="AE61" s="53" t="s">
        <v>1947</v>
      </c>
      <c r="AF61" s="53" t="s">
        <v>1947</v>
      </c>
      <c r="AG61" s="53" t="s">
        <v>1947</v>
      </c>
      <c r="AH61" s="53" t="s">
        <v>1947</v>
      </c>
      <c r="AI61" s="53" t="s">
        <v>1947</v>
      </c>
      <c r="AJ61" s="50">
        <f t="shared" si="75"/>
        <v>0</v>
      </c>
      <c r="AK61" s="50">
        <f t="shared" si="76"/>
        <v>0</v>
      </c>
      <c r="AL61" s="50">
        <f t="shared" si="77"/>
        <v>0</v>
      </c>
      <c r="AM61" s="50">
        <f t="shared" si="78"/>
        <v>0</v>
      </c>
      <c r="AN61" s="50">
        <f t="shared" si="79"/>
        <v>0</v>
      </c>
      <c r="AO61" s="50">
        <f t="shared" si="80"/>
        <v>0</v>
      </c>
      <c r="AP61" s="51">
        <f t="shared" si="81"/>
        <v>0</v>
      </c>
      <c r="AQ61" s="51">
        <f t="shared" si="82"/>
        <v>83.333333333333343</v>
      </c>
      <c r="AR61" s="53"/>
      <c r="AS61" s="53"/>
      <c r="AT61" s="53"/>
      <c r="AU61" s="50">
        <f t="shared" si="83"/>
        <v>0</v>
      </c>
      <c r="AV61" s="50">
        <f t="shared" si="84"/>
        <v>0</v>
      </c>
      <c r="AW61" s="50">
        <f t="shared" si="85"/>
        <v>0</v>
      </c>
      <c r="AX61" s="50">
        <f t="shared" si="86"/>
        <v>0</v>
      </c>
      <c r="AY61" s="50">
        <f t="shared" si="87"/>
        <v>0</v>
      </c>
      <c r="AZ61" s="36"/>
      <c r="BA61" s="36"/>
      <c r="BB61" s="36"/>
      <c r="BC61" s="36"/>
      <c r="BD61" s="37">
        <f t="shared" si="88"/>
        <v>0</v>
      </c>
      <c r="BE61" s="37">
        <f t="shared" si="89"/>
        <v>0</v>
      </c>
      <c r="BF61" s="37">
        <f t="shared" si="90"/>
        <v>0</v>
      </c>
      <c r="BG61" s="37">
        <f t="shared" si="91"/>
        <v>0</v>
      </c>
      <c r="BH61" s="37">
        <f t="shared" si="92"/>
        <v>0</v>
      </c>
      <c r="BI61" s="37">
        <f t="shared" si="93"/>
        <v>0</v>
      </c>
      <c r="BJ61" s="37">
        <f t="shared" si="94"/>
        <v>0</v>
      </c>
      <c r="BK61" s="37">
        <f t="shared" si="95"/>
        <v>0</v>
      </c>
      <c r="BL61" s="36" t="s">
        <v>2067</v>
      </c>
      <c r="BM61" s="36" t="s">
        <v>2067</v>
      </c>
      <c r="BN61" s="36" t="s">
        <v>2067</v>
      </c>
      <c r="BO61" s="37">
        <f t="shared" si="96"/>
        <v>0</v>
      </c>
      <c r="BP61" s="37">
        <f t="shared" si="97"/>
        <v>0</v>
      </c>
      <c r="BQ61" s="37">
        <f t="shared" si="98"/>
        <v>0</v>
      </c>
      <c r="BR61" s="37">
        <f t="shared" si="99"/>
        <v>0</v>
      </c>
      <c r="BS61" s="37">
        <f t="shared" si="100"/>
        <v>0</v>
      </c>
      <c r="BT61" s="37">
        <f t="shared" si="101"/>
        <v>0</v>
      </c>
      <c r="BU61" s="36"/>
      <c r="BV61" s="36"/>
      <c r="BW61" s="37"/>
      <c r="BX61" s="37"/>
      <c r="BY61" s="37"/>
      <c r="BZ61" s="37"/>
      <c r="CA61" s="36"/>
      <c r="CB61" s="36"/>
      <c r="CC61" s="37"/>
      <c r="CD61" s="37"/>
      <c r="CE61" s="37"/>
      <c r="CF61" s="37"/>
      <c r="CG61" s="36"/>
      <c r="CH61" s="36"/>
      <c r="CI61" s="37">
        <f t="shared" si="102"/>
        <v>1</v>
      </c>
      <c r="CJ61" s="37">
        <f t="shared" si="103"/>
        <v>0.75</v>
      </c>
      <c r="CK61" s="37">
        <f t="shared" si="104"/>
        <v>0.75</v>
      </c>
      <c r="CL61" s="37">
        <f t="shared" si="105"/>
        <v>0</v>
      </c>
      <c r="CM61" s="37">
        <f t="shared" si="106"/>
        <v>0</v>
      </c>
      <c r="CN61" s="36" t="s">
        <v>2166</v>
      </c>
      <c r="CO61" s="36" t="s">
        <v>2166</v>
      </c>
      <c r="CP61" s="36" t="s">
        <v>2166</v>
      </c>
      <c r="CQ61" s="37">
        <f t="shared" si="107"/>
        <v>1</v>
      </c>
      <c r="CR61" s="37">
        <f t="shared" si="108"/>
        <v>1</v>
      </c>
      <c r="CS61" s="37">
        <f t="shared" si="109"/>
        <v>1</v>
      </c>
      <c r="CT61" s="37">
        <f t="shared" si="110"/>
        <v>0</v>
      </c>
      <c r="CU61" s="37">
        <f t="shared" si="111"/>
        <v>0</v>
      </c>
      <c r="CV61" s="36"/>
      <c r="CW61" s="37">
        <f t="shared" si="112"/>
        <v>0</v>
      </c>
      <c r="CX61" s="37">
        <f t="shared" si="113"/>
        <v>0</v>
      </c>
      <c r="CY61" s="37">
        <f t="shared" si="114"/>
        <v>3.3333333333333339</v>
      </c>
      <c r="CZ61" s="37">
        <f t="shared" si="115"/>
        <v>5</v>
      </c>
      <c r="DA61" s="37">
        <f t="shared" si="116"/>
        <v>0</v>
      </c>
      <c r="DB61" s="37">
        <f t="shared" si="117"/>
        <v>0</v>
      </c>
      <c r="DC61" s="37">
        <f t="shared" si="118"/>
        <v>0</v>
      </c>
      <c r="DD61" s="37">
        <f t="shared" si="119"/>
        <v>0</v>
      </c>
      <c r="DE61" s="37">
        <f t="shared" si="120"/>
        <v>0</v>
      </c>
      <c r="DF61" s="37">
        <f t="shared" si="123"/>
        <v>0</v>
      </c>
      <c r="DG61" s="37">
        <f t="shared" si="121"/>
        <v>0</v>
      </c>
      <c r="DH61" s="37">
        <f t="shared" si="122"/>
        <v>8.3333333333333339</v>
      </c>
    </row>
    <row r="62" spans="1:112" ht="24.75" hidden="1" x14ac:dyDescent="0.25">
      <c r="A62" s="37">
        <v>58</v>
      </c>
      <c r="B62" s="156" t="s">
        <v>2224</v>
      </c>
      <c r="C62" s="37"/>
      <c r="D62" s="37"/>
      <c r="E62" s="37"/>
      <c r="F62" s="37"/>
      <c r="G62" s="37"/>
      <c r="H62" s="37"/>
      <c r="I62" s="37"/>
      <c r="J62" s="53" t="s">
        <v>1947</v>
      </c>
      <c r="K62" s="53" t="s">
        <v>1948</v>
      </c>
      <c r="L62" s="53" t="s">
        <v>1947</v>
      </c>
      <c r="M62" s="61">
        <f t="shared" si="62"/>
        <v>0</v>
      </c>
      <c r="N62" s="61">
        <f t="shared" si="63"/>
        <v>1</v>
      </c>
      <c r="O62" s="61">
        <f t="shared" si="64"/>
        <v>0</v>
      </c>
      <c r="P62" s="61">
        <f t="shared" si="65"/>
        <v>1</v>
      </c>
      <c r="Q62" s="53" t="s">
        <v>2165</v>
      </c>
      <c r="R62" s="53" t="s">
        <v>2165</v>
      </c>
      <c r="S62" s="53" t="s">
        <v>1948</v>
      </c>
      <c r="T62" s="61">
        <f t="shared" si="66"/>
        <v>0</v>
      </c>
      <c r="U62" s="61">
        <f t="shared" si="67"/>
        <v>0</v>
      </c>
      <c r="V62" s="61">
        <f t="shared" si="68"/>
        <v>1</v>
      </c>
      <c r="W62" s="61">
        <f t="shared" si="69"/>
        <v>1</v>
      </c>
      <c r="X62" s="61">
        <f t="shared" si="70"/>
        <v>33.333333333333336</v>
      </c>
      <c r="Y62" s="53" t="s">
        <v>1948</v>
      </c>
      <c r="Z62" s="53" t="s">
        <v>1947</v>
      </c>
      <c r="AA62" s="61">
        <f t="shared" si="71"/>
        <v>1</v>
      </c>
      <c r="AB62" s="61">
        <f t="shared" si="72"/>
        <v>0</v>
      </c>
      <c r="AC62" s="61">
        <f t="shared" si="73"/>
        <v>1</v>
      </c>
      <c r="AD62" s="61">
        <f t="shared" si="74"/>
        <v>50</v>
      </c>
      <c r="AE62" s="53" t="s">
        <v>1947</v>
      </c>
      <c r="AF62" s="53" t="s">
        <v>1947</v>
      </c>
      <c r="AG62" s="53" t="s">
        <v>1947</v>
      </c>
      <c r="AH62" s="53" t="s">
        <v>1947</v>
      </c>
      <c r="AI62" s="53" t="s">
        <v>1947</v>
      </c>
      <c r="AJ62" s="50">
        <f t="shared" si="75"/>
        <v>0</v>
      </c>
      <c r="AK62" s="50">
        <f t="shared" si="76"/>
        <v>0</v>
      </c>
      <c r="AL62" s="50">
        <f t="shared" si="77"/>
        <v>0</v>
      </c>
      <c r="AM62" s="50">
        <f t="shared" si="78"/>
        <v>0</v>
      </c>
      <c r="AN62" s="50">
        <f t="shared" si="79"/>
        <v>0</v>
      </c>
      <c r="AO62" s="50">
        <f t="shared" si="80"/>
        <v>0</v>
      </c>
      <c r="AP62" s="51">
        <f t="shared" si="81"/>
        <v>0</v>
      </c>
      <c r="AQ62" s="51">
        <f t="shared" si="82"/>
        <v>83.333333333333343</v>
      </c>
      <c r="AR62" s="53"/>
      <c r="AS62" s="53"/>
      <c r="AT62" s="53"/>
      <c r="AU62" s="50">
        <f t="shared" si="83"/>
        <v>0</v>
      </c>
      <c r="AV62" s="50">
        <f t="shared" si="84"/>
        <v>0</v>
      </c>
      <c r="AW62" s="50">
        <f t="shared" si="85"/>
        <v>0</v>
      </c>
      <c r="AX62" s="50">
        <f t="shared" si="86"/>
        <v>0</v>
      </c>
      <c r="AY62" s="50">
        <f t="shared" si="87"/>
        <v>0</v>
      </c>
      <c r="AZ62" s="36"/>
      <c r="BA62" s="36"/>
      <c r="BB62" s="36"/>
      <c r="BC62" s="36"/>
      <c r="BD62" s="37">
        <f t="shared" si="88"/>
        <v>0</v>
      </c>
      <c r="BE62" s="37">
        <f t="shared" si="89"/>
        <v>0</v>
      </c>
      <c r="BF62" s="37">
        <f t="shared" si="90"/>
        <v>0</v>
      </c>
      <c r="BG62" s="37">
        <f t="shared" si="91"/>
        <v>0</v>
      </c>
      <c r="BH62" s="37">
        <f t="shared" si="92"/>
        <v>0</v>
      </c>
      <c r="BI62" s="37">
        <f t="shared" si="93"/>
        <v>0</v>
      </c>
      <c r="BJ62" s="37">
        <f t="shared" si="94"/>
        <v>0</v>
      </c>
      <c r="BK62" s="37">
        <f t="shared" si="95"/>
        <v>0</v>
      </c>
      <c r="BL62" s="36" t="s">
        <v>2067</v>
      </c>
      <c r="BM62" s="36" t="s">
        <v>2067</v>
      </c>
      <c r="BN62" s="36" t="s">
        <v>2067</v>
      </c>
      <c r="BO62" s="37">
        <f t="shared" si="96"/>
        <v>0</v>
      </c>
      <c r="BP62" s="37">
        <f t="shared" si="97"/>
        <v>0</v>
      </c>
      <c r="BQ62" s="37">
        <f t="shared" si="98"/>
        <v>0</v>
      </c>
      <c r="BR62" s="37">
        <f t="shared" si="99"/>
        <v>0</v>
      </c>
      <c r="BS62" s="37">
        <f t="shared" si="100"/>
        <v>0</v>
      </c>
      <c r="BT62" s="37">
        <f t="shared" si="101"/>
        <v>0</v>
      </c>
      <c r="BU62" s="36"/>
      <c r="BV62" s="36"/>
      <c r="BW62" s="37"/>
      <c r="BX62" s="37"/>
      <c r="BY62" s="37"/>
      <c r="BZ62" s="37"/>
      <c r="CA62" s="36"/>
      <c r="CB62" s="36"/>
      <c r="CC62" s="37"/>
      <c r="CD62" s="37"/>
      <c r="CE62" s="37"/>
      <c r="CF62" s="37"/>
      <c r="CG62" s="36"/>
      <c r="CH62" s="36"/>
      <c r="CI62" s="37">
        <f t="shared" si="102"/>
        <v>1</v>
      </c>
      <c r="CJ62" s="37">
        <f t="shared" si="103"/>
        <v>0.75</v>
      </c>
      <c r="CK62" s="37">
        <f t="shared" si="104"/>
        <v>0.75</v>
      </c>
      <c r="CL62" s="37">
        <f t="shared" si="105"/>
        <v>0</v>
      </c>
      <c r="CM62" s="37">
        <f t="shared" si="106"/>
        <v>0</v>
      </c>
      <c r="CN62" s="36" t="s">
        <v>2166</v>
      </c>
      <c r="CO62" s="36" t="s">
        <v>2166</v>
      </c>
      <c r="CP62" s="36" t="s">
        <v>2166</v>
      </c>
      <c r="CQ62" s="37">
        <f t="shared" si="107"/>
        <v>1</v>
      </c>
      <c r="CR62" s="37">
        <f t="shared" si="108"/>
        <v>1</v>
      </c>
      <c r="CS62" s="37">
        <f t="shared" si="109"/>
        <v>1</v>
      </c>
      <c r="CT62" s="37">
        <f t="shared" si="110"/>
        <v>0</v>
      </c>
      <c r="CU62" s="37">
        <f t="shared" si="111"/>
        <v>0</v>
      </c>
      <c r="CV62" s="36"/>
      <c r="CW62" s="37">
        <f t="shared" si="112"/>
        <v>0</v>
      </c>
      <c r="CX62" s="37">
        <f t="shared" si="113"/>
        <v>0</v>
      </c>
      <c r="CY62" s="37">
        <f t="shared" si="114"/>
        <v>3.3333333333333339</v>
      </c>
      <c r="CZ62" s="37">
        <f t="shared" si="115"/>
        <v>5</v>
      </c>
      <c r="DA62" s="37">
        <f t="shared" si="116"/>
        <v>0</v>
      </c>
      <c r="DB62" s="37">
        <f t="shared" si="117"/>
        <v>0</v>
      </c>
      <c r="DC62" s="37">
        <f t="shared" si="118"/>
        <v>0</v>
      </c>
      <c r="DD62" s="37">
        <f t="shared" si="119"/>
        <v>0</v>
      </c>
      <c r="DE62" s="37">
        <f t="shared" si="120"/>
        <v>0</v>
      </c>
      <c r="DF62" s="37">
        <f t="shared" si="123"/>
        <v>0</v>
      </c>
      <c r="DG62" s="37">
        <f t="shared" si="121"/>
        <v>0</v>
      </c>
      <c r="DH62" s="37">
        <f t="shared" si="122"/>
        <v>8.3333333333333339</v>
      </c>
    </row>
    <row r="63" spans="1:112" ht="24.75" hidden="1" x14ac:dyDescent="0.25">
      <c r="A63" s="37">
        <v>59</v>
      </c>
      <c r="B63" s="156" t="s">
        <v>2225</v>
      </c>
      <c r="C63" s="37"/>
      <c r="D63" s="37"/>
      <c r="E63" s="37"/>
      <c r="F63" s="37"/>
      <c r="G63" s="37"/>
      <c r="H63" s="37"/>
      <c r="I63" s="37"/>
      <c r="J63" s="53" t="s">
        <v>1947</v>
      </c>
      <c r="K63" s="53" t="s">
        <v>1948</v>
      </c>
      <c r="L63" s="53" t="s">
        <v>1947</v>
      </c>
      <c r="M63" s="61">
        <f t="shared" si="62"/>
        <v>0</v>
      </c>
      <c r="N63" s="61">
        <f t="shared" si="63"/>
        <v>1</v>
      </c>
      <c r="O63" s="61">
        <f t="shared" si="64"/>
        <v>0</v>
      </c>
      <c r="P63" s="61">
        <f t="shared" si="65"/>
        <v>1</v>
      </c>
      <c r="Q63" s="53" t="s">
        <v>2165</v>
      </c>
      <c r="R63" s="53" t="s">
        <v>2165</v>
      </c>
      <c r="S63" s="53" t="s">
        <v>1948</v>
      </c>
      <c r="T63" s="61">
        <f t="shared" si="66"/>
        <v>0</v>
      </c>
      <c r="U63" s="61">
        <f t="shared" si="67"/>
        <v>0</v>
      </c>
      <c r="V63" s="61">
        <f t="shared" si="68"/>
        <v>1</v>
      </c>
      <c r="W63" s="61">
        <f t="shared" si="69"/>
        <v>1</v>
      </c>
      <c r="X63" s="61">
        <f t="shared" si="70"/>
        <v>33.333333333333336</v>
      </c>
      <c r="Y63" s="53" t="s">
        <v>1948</v>
      </c>
      <c r="Z63" s="53" t="s">
        <v>1947</v>
      </c>
      <c r="AA63" s="61">
        <f t="shared" si="71"/>
        <v>1</v>
      </c>
      <c r="AB63" s="61">
        <f t="shared" si="72"/>
        <v>0</v>
      </c>
      <c r="AC63" s="61">
        <f t="shared" si="73"/>
        <v>1</v>
      </c>
      <c r="AD63" s="61">
        <f t="shared" si="74"/>
        <v>50</v>
      </c>
      <c r="AE63" s="53" t="s">
        <v>1947</v>
      </c>
      <c r="AF63" s="53" t="s">
        <v>1947</v>
      </c>
      <c r="AG63" s="53" t="s">
        <v>1947</v>
      </c>
      <c r="AH63" s="53" t="s">
        <v>1947</v>
      </c>
      <c r="AI63" s="53" t="s">
        <v>1947</v>
      </c>
      <c r="AJ63" s="50">
        <f t="shared" si="75"/>
        <v>0</v>
      </c>
      <c r="AK63" s="50">
        <f t="shared" si="76"/>
        <v>0</v>
      </c>
      <c r="AL63" s="50">
        <f t="shared" si="77"/>
        <v>0</v>
      </c>
      <c r="AM63" s="50">
        <f t="shared" si="78"/>
        <v>0</v>
      </c>
      <c r="AN63" s="50">
        <f t="shared" si="79"/>
        <v>0</v>
      </c>
      <c r="AO63" s="50">
        <f t="shared" si="80"/>
        <v>0</v>
      </c>
      <c r="AP63" s="51">
        <f t="shared" si="81"/>
        <v>0</v>
      </c>
      <c r="AQ63" s="51">
        <f t="shared" si="82"/>
        <v>83.333333333333343</v>
      </c>
      <c r="AR63" s="53"/>
      <c r="AS63" s="53"/>
      <c r="AT63" s="53"/>
      <c r="AU63" s="50">
        <f t="shared" si="83"/>
        <v>0</v>
      </c>
      <c r="AV63" s="50">
        <f t="shared" si="84"/>
        <v>0</v>
      </c>
      <c r="AW63" s="50">
        <f t="shared" si="85"/>
        <v>0</v>
      </c>
      <c r="AX63" s="50">
        <f t="shared" si="86"/>
        <v>0</v>
      </c>
      <c r="AY63" s="50">
        <f t="shared" si="87"/>
        <v>0</v>
      </c>
      <c r="AZ63" s="36"/>
      <c r="BA63" s="36"/>
      <c r="BB63" s="36"/>
      <c r="BC63" s="36"/>
      <c r="BD63" s="37">
        <f t="shared" si="88"/>
        <v>0</v>
      </c>
      <c r="BE63" s="37">
        <f t="shared" si="89"/>
        <v>0</v>
      </c>
      <c r="BF63" s="37">
        <f t="shared" si="90"/>
        <v>0</v>
      </c>
      <c r="BG63" s="37">
        <f t="shared" si="91"/>
        <v>0</v>
      </c>
      <c r="BH63" s="37">
        <f t="shared" si="92"/>
        <v>0</v>
      </c>
      <c r="BI63" s="37">
        <f t="shared" si="93"/>
        <v>0</v>
      </c>
      <c r="BJ63" s="37">
        <f t="shared" si="94"/>
        <v>0</v>
      </c>
      <c r="BK63" s="37">
        <f t="shared" si="95"/>
        <v>0</v>
      </c>
      <c r="BL63" s="36" t="s">
        <v>2067</v>
      </c>
      <c r="BM63" s="36" t="s">
        <v>2067</v>
      </c>
      <c r="BN63" s="36" t="s">
        <v>2067</v>
      </c>
      <c r="BO63" s="37">
        <f t="shared" si="96"/>
        <v>0</v>
      </c>
      <c r="BP63" s="37">
        <f t="shared" si="97"/>
        <v>0</v>
      </c>
      <c r="BQ63" s="37">
        <f t="shared" si="98"/>
        <v>0</v>
      </c>
      <c r="BR63" s="37">
        <f t="shared" si="99"/>
        <v>0</v>
      </c>
      <c r="BS63" s="37">
        <f t="shared" si="100"/>
        <v>0</v>
      </c>
      <c r="BT63" s="37">
        <f t="shared" si="101"/>
        <v>0</v>
      </c>
      <c r="BU63" s="36"/>
      <c r="BV63" s="36"/>
      <c r="BW63" s="37"/>
      <c r="BX63" s="37"/>
      <c r="BY63" s="37"/>
      <c r="BZ63" s="37"/>
      <c r="CA63" s="36"/>
      <c r="CB63" s="36"/>
      <c r="CC63" s="37"/>
      <c r="CD63" s="37"/>
      <c r="CE63" s="37"/>
      <c r="CF63" s="37"/>
      <c r="CG63" s="36"/>
      <c r="CH63" s="36"/>
      <c r="CI63" s="37">
        <f t="shared" si="102"/>
        <v>1</v>
      </c>
      <c r="CJ63" s="37">
        <f t="shared" si="103"/>
        <v>0.75</v>
      </c>
      <c r="CK63" s="37">
        <f t="shared" si="104"/>
        <v>0.75</v>
      </c>
      <c r="CL63" s="37">
        <f t="shared" si="105"/>
        <v>0</v>
      </c>
      <c r="CM63" s="37">
        <f t="shared" si="106"/>
        <v>0</v>
      </c>
      <c r="CN63" s="36" t="s">
        <v>2166</v>
      </c>
      <c r="CO63" s="36" t="s">
        <v>2166</v>
      </c>
      <c r="CP63" s="36" t="s">
        <v>2166</v>
      </c>
      <c r="CQ63" s="37">
        <f t="shared" si="107"/>
        <v>1</v>
      </c>
      <c r="CR63" s="37">
        <f t="shared" si="108"/>
        <v>1</v>
      </c>
      <c r="CS63" s="37">
        <f t="shared" si="109"/>
        <v>1</v>
      </c>
      <c r="CT63" s="37">
        <f t="shared" si="110"/>
        <v>0</v>
      </c>
      <c r="CU63" s="37">
        <f t="shared" si="111"/>
        <v>0</v>
      </c>
      <c r="CV63" s="36"/>
      <c r="CW63" s="37">
        <f t="shared" si="112"/>
        <v>0</v>
      </c>
      <c r="CX63" s="37">
        <f t="shared" si="113"/>
        <v>0</v>
      </c>
      <c r="CY63" s="37">
        <f t="shared" si="114"/>
        <v>3.3333333333333339</v>
      </c>
      <c r="CZ63" s="37">
        <f t="shared" si="115"/>
        <v>5</v>
      </c>
      <c r="DA63" s="37">
        <f t="shared" si="116"/>
        <v>0</v>
      </c>
      <c r="DB63" s="37">
        <f t="shared" si="117"/>
        <v>0</v>
      </c>
      <c r="DC63" s="37">
        <f t="shared" si="118"/>
        <v>0</v>
      </c>
      <c r="DD63" s="37">
        <f t="shared" si="119"/>
        <v>0</v>
      </c>
      <c r="DE63" s="37">
        <f t="shared" si="120"/>
        <v>0</v>
      </c>
      <c r="DF63" s="37">
        <f t="shared" si="123"/>
        <v>0</v>
      </c>
      <c r="DG63" s="37">
        <f t="shared" si="121"/>
        <v>0</v>
      </c>
      <c r="DH63" s="37">
        <f t="shared" si="122"/>
        <v>8.3333333333333339</v>
      </c>
    </row>
    <row r="64" spans="1:112" ht="24.75" hidden="1" x14ac:dyDescent="0.25">
      <c r="A64" s="37">
        <v>60</v>
      </c>
      <c r="B64" s="156" t="s">
        <v>2226</v>
      </c>
      <c r="C64" s="37"/>
      <c r="D64" s="37"/>
      <c r="E64" s="37"/>
      <c r="F64" s="37"/>
      <c r="G64" s="37"/>
      <c r="H64" s="37"/>
      <c r="I64" s="37"/>
      <c r="J64" s="53" t="s">
        <v>1947</v>
      </c>
      <c r="K64" s="53" t="s">
        <v>1948</v>
      </c>
      <c r="L64" s="53" t="s">
        <v>1947</v>
      </c>
      <c r="M64" s="61">
        <f t="shared" si="62"/>
        <v>0</v>
      </c>
      <c r="N64" s="61">
        <f t="shared" si="63"/>
        <v>1</v>
      </c>
      <c r="O64" s="61">
        <f t="shared" si="64"/>
        <v>0</v>
      </c>
      <c r="P64" s="61">
        <f t="shared" si="65"/>
        <v>1</v>
      </c>
      <c r="Q64" s="53" t="s">
        <v>2165</v>
      </c>
      <c r="R64" s="53" t="s">
        <v>2165</v>
      </c>
      <c r="S64" s="53" t="s">
        <v>1948</v>
      </c>
      <c r="T64" s="61">
        <f t="shared" si="66"/>
        <v>0</v>
      </c>
      <c r="U64" s="61">
        <f t="shared" si="67"/>
        <v>0</v>
      </c>
      <c r="V64" s="61">
        <f t="shared" si="68"/>
        <v>1</v>
      </c>
      <c r="W64" s="61">
        <f t="shared" si="69"/>
        <v>1</v>
      </c>
      <c r="X64" s="61">
        <f t="shared" si="70"/>
        <v>33.333333333333336</v>
      </c>
      <c r="Y64" s="53" t="s">
        <v>1948</v>
      </c>
      <c r="Z64" s="53" t="s">
        <v>1947</v>
      </c>
      <c r="AA64" s="61">
        <f t="shared" si="71"/>
        <v>1</v>
      </c>
      <c r="AB64" s="61">
        <f t="shared" si="72"/>
        <v>0</v>
      </c>
      <c r="AC64" s="61">
        <f t="shared" si="73"/>
        <v>1</v>
      </c>
      <c r="AD64" s="61">
        <f t="shared" si="74"/>
        <v>50</v>
      </c>
      <c r="AE64" s="53" t="s">
        <v>1947</v>
      </c>
      <c r="AF64" s="53" t="s">
        <v>1947</v>
      </c>
      <c r="AG64" s="53" t="s">
        <v>1947</v>
      </c>
      <c r="AH64" s="53" t="s">
        <v>1947</v>
      </c>
      <c r="AI64" s="53" t="s">
        <v>1947</v>
      </c>
      <c r="AJ64" s="50">
        <f t="shared" si="75"/>
        <v>0</v>
      </c>
      <c r="AK64" s="50">
        <f t="shared" si="76"/>
        <v>0</v>
      </c>
      <c r="AL64" s="50">
        <f t="shared" si="77"/>
        <v>0</v>
      </c>
      <c r="AM64" s="50">
        <f t="shared" si="78"/>
        <v>0</v>
      </c>
      <c r="AN64" s="50">
        <f t="shared" si="79"/>
        <v>0</v>
      </c>
      <c r="AO64" s="50">
        <f t="shared" si="80"/>
        <v>0</v>
      </c>
      <c r="AP64" s="51">
        <f t="shared" si="81"/>
        <v>0</v>
      </c>
      <c r="AQ64" s="51">
        <f t="shared" si="82"/>
        <v>83.333333333333343</v>
      </c>
      <c r="AR64" s="53"/>
      <c r="AS64" s="53"/>
      <c r="AT64" s="53"/>
      <c r="AU64" s="50">
        <f t="shared" si="83"/>
        <v>0</v>
      </c>
      <c r="AV64" s="50">
        <f t="shared" si="84"/>
        <v>0</v>
      </c>
      <c r="AW64" s="50">
        <f t="shared" si="85"/>
        <v>0</v>
      </c>
      <c r="AX64" s="50">
        <f t="shared" si="86"/>
        <v>0</v>
      </c>
      <c r="AY64" s="50">
        <f t="shared" si="87"/>
        <v>0</v>
      </c>
      <c r="AZ64" s="36"/>
      <c r="BA64" s="36"/>
      <c r="BB64" s="36"/>
      <c r="BC64" s="36"/>
      <c r="BD64" s="37">
        <f t="shared" si="88"/>
        <v>0</v>
      </c>
      <c r="BE64" s="37">
        <f t="shared" si="89"/>
        <v>0</v>
      </c>
      <c r="BF64" s="37">
        <f t="shared" si="90"/>
        <v>0</v>
      </c>
      <c r="BG64" s="37">
        <f t="shared" si="91"/>
        <v>0</v>
      </c>
      <c r="BH64" s="37">
        <f t="shared" si="92"/>
        <v>0</v>
      </c>
      <c r="BI64" s="37">
        <f t="shared" si="93"/>
        <v>0</v>
      </c>
      <c r="BJ64" s="37">
        <f t="shared" si="94"/>
        <v>0</v>
      </c>
      <c r="BK64" s="37">
        <f t="shared" si="95"/>
        <v>0</v>
      </c>
      <c r="BL64" s="36" t="s">
        <v>2067</v>
      </c>
      <c r="BM64" s="36" t="s">
        <v>2067</v>
      </c>
      <c r="BN64" s="36" t="s">
        <v>2067</v>
      </c>
      <c r="BO64" s="37">
        <f t="shared" si="96"/>
        <v>0</v>
      </c>
      <c r="BP64" s="37">
        <f t="shared" si="97"/>
        <v>0</v>
      </c>
      <c r="BQ64" s="37">
        <f t="shared" si="98"/>
        <v>0</v>
      </c>
      <c r="BR64" s="37">
        <f t="shared" si="99"/>
        <v>0</v>
      </c>
      <c r="BS64" s="37">
        <f t="shared" si="100"/>
        <v>0</v>
      </c>
      <c r="BT64" s="37">
        <f t="shared" si="101"/>
        <v>0</v>
      </c>
      <c r="BU64" s="36"/>
      <c r="BV64" s="36"/>
      <c r="BW64" s="37"/>
      <c r="BX64" s="37"/>
      <c r="BY64" s="37"/>
      <c r="BZ64" s="37"/>
      <c r="CA64" s="36"/>
      <c r="CB64" s="36"/>
      <c r="CC64" s="37"/>
      <c r="CD64" s="37"/>
      <c r="CE64" s="37"/>
      <c r="CF64" s="37"/>
      <c r="CG64" s="36"/>
      <c r="CH64" s="36"/>
      <c r="CI64" s="37">
        <f t="shared" si="102"/>
        <v>1</v>
      </c>
      <c r="CJ64" s="37">
        <f t="shared" si="103"/>
        <v>0.75</v>
      </c>
      <c r="CK64" s="37">
        <f t="shared" si="104"/>
        <v>0.75</v>
      </c>
      <c r="CL64" s="37">
        <f t="shared" si="105"/>
        <v>0</v>
      </c>
      <c r="CM64" s="37">
        <f t="shared" si="106"/>
        <v>0</v>
      </c>
      <c r="CN64" s="36" t="s">
        <v>2166</v>
      </c>
      <c r="CO64" s="36" t="s">
        <v>2166</v>
      </c>
      <c r="CP64" s="36" t="s">
        <v>2166</v>
      </c>
      <c r="CQ64" s="37">
        <f t="shared" si="107"/>
        <v>1</v>
      </c>
      <c r="CR64" s="37">
        <f t="shared" si="108"/>
        <v>1</v>
      </c>
      <c r="CS64" s="37">
        <f t="shared" si="109"/>
        <v>1</v>
      </c>
      <c r="CT64" s="37">
        <f t="shared" si="110"/>
        <v>0</v>
      </c>
      <c r="CU64" s="37">
        <f t="shared" si="111"/>
        <v>0</v>
      </c>
      <c r="CV64" s="36"/>
      <c r="CW64" s="37">
        <f t="shared" si="112"/>
        <v>0</v>
      </c>
      <c r="CX64" s="37">
        <f t="shared" si="113"/>
        <v>0</v>
      </c>
      <c r="CY64" s="37">
        <f t="shared" si="114"/>
        <v>3.3333333333333339</v>
      </c>
      <c r="CZ64" s="37">
        <f t="shared" si="115"/>
        <v>5</v>
      </c>
      <c r="DA64" s="37">
        <f t="shared" si="116"/>
        <v>0</v>
      </c>
      <c r="DB64" s="37">
        <f t="shared" si="117"/>
        <v>0</v>
      </c>
      <c r="DC64" s="37">
        <f t="shared" si="118"/>
        <v>0</v>
      </c>
      <c r="DD64" s="37">
        <f t="shared" si="119"/>
        <v>0</v>
      </c>
      <c r="DE64" s="37">
        <f t="shared" si="120"/>
        <v>0</v>
      </c>
      <c r="DF64" s="37">
        <f t="shared" si="123"/>
        <v>0</v>
      </c>
      <c r="DG64" s="37">
        <f t="shared" si="121"/>
        <v>0</v>
      </c>
      <c r="DH64" s="37">
        <f t="shared" si="122"/>
        <v>8.3333333333333339</v>
      </c>
    </row>
    <row r="65" spans="1:112" ht="36.75" hidden="1" x14ac:dyDescent="0.25">
      <c r="A65" s="37">
        <v>61</v>
      </c>
      <c r="B65" s="156" t="s">
        <v>2227</v>
      </c>
      <c r="C65" s="37"/>
      <c r="D65" s="37"/>
      <c r="E65" s="37"/>
      <c r="F65" s="37"/>
      <c r="G65" s="37"/>
      <c r="H65" s="37"/>
      <c r="I65" s="37"/>
      <c r="J65" s="53" t="s">
        <v>1947</v>
      </c>
      <c r="K65" s="53" t="s">
        <v>1948</v>
      </c>
      <c r="L65" s="53" t="s">
        <v>1947</v>
      </c>
      <c r="M65" s="61">
        <f t="shared" si="62"/>
        <v>0</v>
      </c>
      <c r="N65" s="61">
        <f t="shared" si="63"/>
        <v>1</v>
      </c>
      <c r="O65" s="61">
        <f t="shared" si="64"/>
        <v>0</v>
      </c>
      <c r="P65" s="61">
        <f t="shared" si="65"/>
        <v>1</v>
      </c>
      <c r="Q65" s="53" t="s">
        <v>2165</v>
      </c>
      <c r="R65" s="53" t="s">
        <v>2165</v>
      </c>
      <c r="S65" s="53" t="s">
        <v>1948</v>
      </c>
      <c r="T65" s="61">
        <f t="shared" si="66"/>
        <v>0</v>
      </c>
      <c r="U65" s="61">
        <f t="shared" si="67"/>
        <v>0</v>
      </c>
      <c r="V65" s="61">
        <f t="shared" si="68"/>
        <v>1</v>
      </c>
      <c r="W65" s="61">
        <f t="shared" si="69"/>
        <v>1</v>
      </c>
      <c r="X65" s="61">
        <f t="shared" si="70"/>
        <v>33.333333333333336</v>
      </c>
      <c r="Y65" s="53" t="s">
        <v>1948</v>
      </c>
      <c r="Z65" s="53" t="s">
        <v>1947</v>
      </c>
      <c r="AA65" s="61">
        <f t="shared" si="71"/>
        <v>1</v>
      </c>
      <c r="AB65" s="61">
        <f t="shared" si="72"/>
        <v>0</v>
      </c>
      <c r="AC65" s="61">
        <f t="shared" si="73"/>
        <v>1</v>
      </c>
      <c r="AD65" s="61">
        <f t="shared" si="74"/>
        <v>50</v>
      </c>
      <c r="AE65" s="53" t="s">
        <v>1947</v>
      </c>
      <c r="AF65" s="53" t="s">
        <v>1947</v>
      </c>
      <c r="AG65" s="53" t="s">
        <v>1947</v>
      </c>
      <c r="AH65" s="53" t="s">
        <v>1947</v>
      </c>
      <c r="AI65" s="53" t="s">
        <v>1947</v>
      </c>
      <c r="AJ65" s="50">
        <f t="shared" si="75"/>
        <v>0</v>
      </c>
      <c r="AK65" s="50">
        <f t="shared" si="76"/>
        <v>0</v>
      </c>
      <c r="AL65" s="50">
        <f t="shared" si="77"/>
        <v>0</v>
      </c>
      <c r="AM65" s="50">
        <f t="shared" si="78"/>
        <v>0</v>
      </c>
      <c r="AN65" s="50">
        <f t="shared" si="79"/>
        <v>0</v>
      </c>
      <c r="AO65" s="50">
        <f t="shared" si="80"/>
        <v>0</v>
      </c>
      <c r="AP65" s="51">
        <f t="shared" si="81"/>
        <v>0</v>
      </c>
      <c r="AQ65" s="51">
        <f t="shared" si="82"/>
        <v>83.333333333333343</v>
      </c>
      <c r="AR65" s="53"/>
      <c r="AS65" s="53"/>
      <c r="AT65" s="53"/>
      <c r="AU65" s="50">
        <f t="shared" si="83"/>
        <v>0</v>
      </c>
      <c r="AV65" s="50">
        <f t="shared" si="84"/>
        <v>0</v>
      </c>
      <c r="AW65" s="50">
        <f t="shared" si="85"/>
        <v>0</v>
      </c>
      <c r="AX65" s="50">
        <f t="shared" si="86"/>
        <v>0</v>
      </c>
      <c r="AY65" s="50">
        <f t="shared" si="87"/>
        <v>0</v>
      </c>
      <c r="AZ65" s="36"/>
      <c r="BA65" s="36"/>
      <c r="BB65" s="36"/>
      <c r="BC65" s="36"/>
      <c r="BD65" s="37">
        <f t="shared" si="88"/>
        <v>0</v>
      </c>
      <c r="BE65" s="37">
        <f t="shared" si="89"/>
        <v>0</v>
      </c>
      <c r="BF65" s="37">
        <f t="shared" si="90"/>
        <v>0</v>
      </c>
      <c r="BG65" s="37">
        <f t="shared" si="91"/>
        <v>0</v>
      </c>
      <c r="BH65" s="37">
        <f t="shared" si="92"/>
        <v>0</v>
      </c>
      <c r="BI65" s="37">
        <f t="shared" si="93"/>
        <v>0</v>
      </c>
      <c r="BJ65" s="37">
        <f t="shared" si="94"/>
        <v>0</v>
      </c>
      <c r="BK65" s="37">
        <f t="shared" si="95"/>
        <v>0</v>
      </c>
      <c r="BL65" s="36" t="s">
        <v>2067</v>
      </c>
      <c r="BM65" s="36" t="s">
        <v>2067</v>
      </c>
      <c r="BN65" s="36" t="s">
        <v>2067</v>
      </c>
      <c r="BO65" s="37">
        <f t="shared" si="96"/>
        <v>0</v>
      </c>
      <c r="BP65" s="37">
        <f t="shared" si="97"/>
        <v>0</v>
      </c>
      <c r="BQ65" s="37">
        <f t="shared" si="98"/>
        <v>0</v>
      </c>
      <c r="BR65" s="37">
        <f t="shared" si="99"/>
        <v>0</v>
      </c>
      <c r="BS65" s="37">
        <f t="shared" si="100"/>
        <v>0</v>
      </c>
      <c r="BT65" s="37">
        <f t="shared" si="101"/>
        <v>0</v>
      </c>
      <c r="BU65" s="36"/>
      <c r="BV65" s="36"/>
      <c r="BW65" s="37"/>
      <c r="BX65" s="37"/>
      <c r="BY65" s="37"/>
      <c r="BZ65" s="37"/>
      <c r="CA65" s="36"/>
      <c r="CB65" s="36"/>
      <c r="CC65" s="37"/>
      <c r="CD65" s="37"/>
      <c r="CE65" s="37"/>
      <c r="CF65" s="37"/>
      <c r="CG65" s="36"/>
      <c r="CH65" s="36"/>
      <c r="CI65" s="37">
        <f t="shared" si="102"/>
        <v>1</v>
      </c>
      <c r="CJ65" s="37">
        <f t="shared" si="103"/>
        <v>0.75</v>
      </c>
      <c r="CK65" s="37">
        <f t="shared" si="104"/>
        <v>0.75</v>
      </c>
      <c r="CL65" s="37">
        <f t="shared" si="105"/>
        <v>0</v>
      </c>
      <c r="CM65" s="37">
        <f t="shared" si="106"/>
        <v>0</v>
      </c>
      <c r="CN65" s="36" t="s">
        <v>2166</v>
      </c>
      <c r="CO65" s="36" t="s">
        <v>2166</v>
      </c>
      <c r="CP65" s="36" t="s">
        <v>2166</v>
      </c>
      <c r="CQ65" s="37">
        <f t="shared" si="107"/>
        <v>1</v>
      </c>
      <c r="CR65" s="37">
        <f t="shared" si="108"/>
        <v>1</v>
      </c>
      <c r="CS65" s="37">
        <f t="shared" si="109"/>
        <v>1</v>
      </c>
      <c r="CT65" s="37">
        <f t="shared" si="110"/>
        <v>0</v>
      </c>
      <c r="CU65" s="37">
        <f t="shared" si="111"/>
        <v>0</v>
      </c>
      <c r="CV65" s="36"/>
      <c r="CW65" s="37">
        <f t="shared" si="112"/>
        <v>0</v>
      </c>
      <c r="CX65" s="37">
        <f t="shared" si="113"/>
        <v>0</v>
      </c>
      <c r="CY65" s="37">
        <f t="shared" si="114"/>
        <v>3.3333333333333339</v>
      </c>
      <c r="CZ65" s="37">
        <f t="shared" si="115"/>
        <v>5</v>
      </c>
      <c r="DA65" s="37">
        <f t="shared" si="116"/>
        <v>0</v>
      </c>
      <c r="DB65" s="37">
        <f t="shared" si="117"/>
        <v>0</v>
      </c>
      <c r="DC65" s="37">
        <f t="shared" si="118"/>
        <v>0</v>
      </c>
      <c r="DD65" s="37">
        <f t="shared" si="119"/>
        <v>0</v>
      </c>
      <c r="DE65" s="37">
        <f t="shared" si="120"/>
        <v>0</v>
      </c>
      <c r="DF65" s="37">
        <f t="shared" si="123"/>
        <v>0</v>
      </c>
      <c r="DG65" s="37">
        <f t="shared" si="121"/>
        <v>0</v>
      </c>
      <c r="DH65" s="37">
        <f t="shared" si="122"/>
        <v>8.3333333333333339</v>
      </c>
    </row>
    <row r="66" spans="1:112" ht="48.75" hidden="1" x14ac:dyDescent="0.25">
      <c r="A66" s="37">
        <v>62</v>
      </c>
      <c r="B66" s="156" t="s">
        <v>2228</v>
      </c>
      <c r="C66" s="37"/>
      <c r="D66" s="37"/>
      <c r="E66" s="37"/>
      <c r="F66" s="37"/>
      <c r="G66" s="37"/>
      <c r="H66" s="37"/>
      <c r="I66" s="37"/>
      <c r="J66" s="53" t="s">
        <v>1947</v>
      </c>
      <c r="K66" s="53" t="s">
        <v>1948</v>
      </c>
      <c r="L66" s="53" t="s">
        <v>1947</v>
      </c>
      <c r="M66" s="61">
        <f t="shared" si="62"/>
        <v>0</v>
      </c>
      <c r="N66" s="61">
        <f t="shared" si="63"/>
        <v>1</v>
      </c>
      <c r="O66" s="61">
        <f t="shared" si="64"/>
        <v>0</v>
      </c>
      <c r="P66" s="61">
        <f t="shared" si="65"/>
        <v>1</v>
      </c>
      <c r="Q66" s="53" t="s">
        <v>2165</v>
      </c>
      <c r="R66" s="53" t="s">
        <v>2165</v>
      </c>
      <c r="S66" s="53" t="s">
        <v>1948</v>
      </c>
      <c r="T66" s="61">
        <f t="shared" si="66"/>
        <v>0</v>
      </c>
      <c r="U66" s="61">
        <f t="shared" si="67"/>
        <v>0</v>
      </c>
      <c r="V66" s="61">
        <f t="shared" si="68"/>
        <v>1</v>
      </c>
      <c r="W66" s="61">
        <f t="shared" si="69"/>
        <v>1</v>
      </c>
      <c r="X66" s="61">
        <f t="shared" si="70"/>
        <v>33.333333333333336</v>
      </c>
      <c r="Y66" s="53" t="s">
        <v>1948</v>
      </c>
      <c r="Z66" s="53" t="s">
        <v>1947</v>
      </c>
      <c r="AA66" s="61">
        <f t="shared" si="71"/>
        <v>1</v>
      </c>
      <c r="AB66" s="61">
        <f t="shared" si="72"/>
        <v>0</v>
      </c>
      <c r="AC66" s="61">
        <f t="shared" si="73"/>
        <v>1</v>
      </c>
      <c r="AD66" s="61">
        <f t="shared" si="74"/>
        <v>50</v>
      </c>
      <c r="AE66" s="53" t="s">
        <v>1947</v>
      </c>
      <c r="AF66" s="53" t="s">
        <v>1947</v>
      </c>
      <c r="AG66" s="53" t="s">
        <v>1947</v>
      </c>
      <c r="AH66" s="53" t="s">
        <v>1947</v>
      </c>
      <c r="AI66" s="53" t="s">
        <v>1947</v>
      </c>
      <c r="AJ66" s="50">
        <f t="shared" si="75"/>
        <v>0</v>
      </c>
      <c r="AK66" s="50">
        <f t="shared" si="76"/>
        <v>0</v>
      </c>
      <c r="AL66" s="50">
        <f t="shared" si="77"/>
        <v>0</v>
      </c>
      <c r="AM66" s="50">
        <f t="shared" si="78"/>
        <v>0</v>
      </c>
      <c r="AN66" s="50">
        <f t="shared" si="79"/>
        <v>0</v>
      </c>
      <c r="AO66" s="50">
        <f t="shared" si="80"/>
        <v>0</v>
      </c>
      <c r="AP66" s="51">
        <f t="shared" si="81"/>
        <v>0</v>
      </c>
      <c r="AQ66" s="51">
        <f t="shared" si="82"/>
        <v>83.333333333333343</v>
      </c>
      <c r="AR66" s="53"/>
      <c r="AS66" s="53"/>
      <c r="AT66" s="53"/>
      <c r="AU66" s="50">
        <f t="shared" si="83"/>
        <v>0</v>
      </c>
      <c r="AV66" s="50">
        <f t="shared" si="84"/>
        <v>0</v>
      </c>
      <c r="AW66" s="50">
        <f t="shared" si="85"/>
        <v>0</v>
      </c>
      <c r="AX66" s="50">
        <f t="shared" si="86"/>
        <v>0</v>
      </c>
      <c r="AY66" s="50">
        <f t="shared" si="87"/>
        <v>0</v>
      </c>
      <c r="AZ66" s="36"/>
      <c r="BA66" s="36"/>
      <c r="BB66" s="36"/>
      <c r="BC66" s="36"/>
      <c r="BD66" s="37">
        <f t="shared" si="88"/>
        <v>0</v>
      </c>
      <c r="BE66" s="37">
        <f t="shared" si="89"/>
        <v>0</v>
      </c>
      <c r="BF66" s="37">
        <f t="shared" si="90"/>
        <v>0</v>
      </c>
      <c r="BG66" s="37">
        <f t="shared" si="91"/>
        <v>0</v>
      </c>
      <c r="BH66" s="37">
        <f t="shared" si="92"/>
        <v>0</v>
      </c>
      <c r="BI66" s="37">
        <f t="shared" si="93"/>
        <v>0</v>
      </c>
      <c r="BJ66" s="37">
        <f t="shared" si="94"/>
        <v>0</v>
      </c>
      <c r="BK66" s="37">
        <f t="shared" si="95"/>
        <v>0</v>
      </c>
      <c r="BL66" s="36" t="s">
        <v>2067</v>
      </c>
      <c r="BM66" s="36" t="s">
        <v>2067</v>
      </c>
      <c r="BN66" s="36" t="s">
        <v>2067</v>
      </c>
      <c r="BO66" s="37">
        <f t="shared" si="96"/>
        <v>0</v>
      </c>
      <c r="BP66" s="37">
        <f t="shared" si="97"/>
        <v>0</v>
      </c>
      <c r="BQ66" s="37">
        <f t="shared" si="98"/>
        <v>0</v>
      </c>
      <c r="BR66" s="37">
        <f t="shared" si="99"/>
        <v>0</v>
      </c>
      <c r="BS66" s="37">
        <f t="shared" si="100"/>
        <v>0</v>
      </c>
      <c r="BT66" s="37">
        <f t="shared" si="101"/>
        <v>0</v>
      </c>
      <c r="BU66" s="36"/>
      <c r="BV66" s="36"/>
      <c r="BW66" s="37"/>
      <c r="BX66" s="37"/>
      <c r="BY66" s="37"/>
      <c r="BZ66" s="37"/>
      <c r="CA66" s="36"/>
      <c r="CB66" s="36"/>
      <c r="CC66" s="37"/>
      <c r="CD66" s="37"/>
      <c r="CE66" s="37"/>
      <c r="CF66" s="37"/>
      <c r="CG66" s="36"/>
      <c r="CH66" s="36"/>
      <c r="CI66" s="37">
        <f t="shared" si="102"/>
        <v>1</v>
      </c>
      <c r="CJ66" s="37">
        <f t="shared" si="103"/>
        <v>0.75</v>
      </c>
      <c r="CK66" s="37">
        <f t="shared" si="104"/>
        <v>0.75</v>
      </c>
      <c r="CL66" s="37">
        <f t="shared" si="105"/>
        <v>0</v>
      </c>
      <c r="CM66" s="37">
        <f t="shared" si="106"/>
        <v>0</v>
      </c>
      <c r="CN66" s="36" t="s">
        <v>2166</v>
      </c>
      <c r="CO66" s="36" t="s">
        <v>2166</v>
      </c>
      <c r="CP66" s="36" t="s">
        <v>2166</v>
      </c>
      <c r="CQ66" s="37">
        <f t="shared" si="107"/>
        <v>1</v>
      </c>
      <c r="CR66" s="37">
        <f t="shared" si="108"/>
        <v>1</v>
      </c>
      <c r="CS66" s="37">
        <f t="shared" si="109"/>
        <v>1</v>
      </c>
      <c r="CT66" s="37">
        <f t="shared" si="110"/>
        <v>0</v>
      </c>
      <c r="CU66" s="37">
        <f t="shared" si="111"/>
        <v>0</v>
      </c>
      <c r="CV66" s="36"/>
      <c r="CW66" s="37">
        <f t="shared" si="112"/>
        <v>0</v>
      </c>
      <c r="CX66" s="37">
        <f t="shared" si="113"/>
        <v>0</v>
      </c>
      <c r="CY66" s="37">
        <f t="shared" si="114"/>
        <v>3.3333333333333339</v>
      </c>
      <c r="CZ66" s="37">
        <f t="shared" si="115"/>
        <v>5</v>
      </c>
      <c r="DA66" s="37">
        <f t="shared" si="116"/>
        <v>0</v>
      </c>
      <c r="DB66" s="37">
        <f t="shared" si="117"/>
        <v>0</v>
      </c>
      <c r="DC66" s="37">
        <f t="shared" si="118"/>
        <v>0</v>
      </c>
      <c r="DD66" s="37">
        <f t="shared" si="119"/>
        <v>0</v>
      </c>
      <c r="DE66" s="37">
        <f t="shared" si="120"/>
        <v>0</v>
      </c>
      <c r="DF66" s="37">
        <f t="shared" si="123"/>
        <v>0</v>
      </c>
      <c r="DG66" s="37">
        <f t="shared" si="121"/>
        <v>0</v>
      </c>
      <c r="DH66" s="37">
        <f t="shared" si="122"/>
        <v>8.3333333333333339</v>
      </c>
    </row>
    <row r="67" spans="1:112" ht="48.75" hidden="1" x14ac:dyDescent="0.25">
      <c r="A67" s="37">
        <v>63</v>
      </c>
      <c r="B67" s="156" t="s">
        <v>2229</v>
      </c>
      <c r="C67" s="37"/>
      <c r="D67" s="37"/>
      <c r="E67" s="37"/>
      <c r="F67" s="37"/>
      <c r="G67" s="37"/>
      <c r="H67" s="37"/>
      <c r="I67" s="37"/>
      <c r="J67" s="53" t="s">
        <v>1947</v>
      </c>
      <c r="K67" s="53" t="s">
        <v>1948</v>
      </c>
      <c r="L67" s="53" t="s">
        <v>1947</v>
      </c>
      <c r="M67" s="61">
        <f t="shared" si="62"/>
        <v>0</v>
      </c>
      <c r="N67" s="61">
        <f t="shared" si="63"/>
        <v>1</v>
      </c>
      <c r="O67" s="61">
        <f t="shared" si="64"/>
        <v>0</v>
      </c>
      <c r="P67" s="61">
        <f t="shared" si="65"/>
        <v>1</v>
      </c>
      <c r="Q67" s="53" t="s">
        <v>2165</v>
      </c>
      <c r="R67" s="53" t="s">
        <v>2165</v>
      </c>
      <c r="S67" s="53" t="s">
        <v>1948</v>
      </c>
      <c r="T67" s="61">
        <f t="shared" si="66"/>
        <v>0</v>
      </c>
      <c r="U67" s="61">
        <f t="shared" si="67"/>
        <v>0</v>
      </c>
      <c r="V67" s="61">
        <f t="shared" si="68"/>
        <v>1</v>
      </c>
      <c r="W67" s="61">
        <f t="shared" si="69"/>
        <v>1</v>
      </c>
      <c r="X67" s="61">
        <f t="shared" si="70"/>
        <v>33.333333333333336</v>
      </c>
      <c r="Y67" s="53" t="s">
        <v>1948</v>
      </c>
      <c r="Z67" s="53" t="s">
        <v>1947</v>
      </c>
      <c r="AA67" s="61">
        <f t="shared" si="71"/>
        <v>1</v>
      </c>
      <c r="AB67" s="61">
        <f t="shared" si="72"/>
        <v>0</v>
      </c>
      <c r="AC67" s="61">
        <f t="shared" si="73"/>
        <v>1</v>
      </c>
      <c r="AD67" s="61">
        <f t="shared" si="74"/>
        <v>50</v>
      </c>
      <c r="AE67" s="53" t="s">
        <v>1947</v>
      </c>
      <c r="AF67" s="53" t="s">
        <v>1947</v>
      </c>
      <c r="AG67" s="53" t="s">
        <v>1947</v>
      </c>
      <c r="AH67" s="53" t="s">
        <v>1947</v>
      </c>
      <c r="AI67" s="53" t="s">
        <v>1947</v>
      </c>
      <c r="AJ67" s="50">
        <f t="shared" si="75"/>
        <v>0</v>
      </c>
      <c r="AK67" s="50">
        <f t="shared" si="76"/>
        <v>0</v>
      </c>
      <c r="AL67" s="50">
        <f t="shared" si="77"/>
        <v>0</v>
      </c>
      <c r="AM67" s="50">
        <f t="shared" si="78"/>
        <v>0</v>
      </c>
      <c r="AN67" s="50">
        <f t="shared" si="79"/>
        <v>0</v>
      </c>
      <c r="AO67" s="50">
        <f t="shared" si="80"/>
        <v>0</v>
      </c>
      <c r="AP67" s="51">
        <f t="shared" si="81"/>
        <v>0</v>
      </c>
      <c r="AQ67" s="51">
        <f t="shared" si="82"/>
        <v>83.333333333333343</v>
      </c>
      <c r="AR67" s="53"/>
      <c r="AS67" s="53"/>
      <c r="AT67" s="53"/>
      <c r="AU67" s="50">
        <f t="shared" si="83"/>
        <v>0</v>
      </c>
      <c r="AV67" s="50">
        <f t="shared" si="84"/>
        <v>0</v>
      </c>
      <c r="AW67" s="50">
        <f t="shared" si="85"/>
        <v>0</v>
      </c>
      <c r="AX67" s="50">
        <f t="shared" si="86"/>
        <v>0</v>
      </c>
      <c r="AY67" s="50">
        <f t="shared" si="87"/>
        <v>0</v>
      </c>
      <c r="AZ67" s="36"/>
      <c r="BA67" s="36"/>
      <c r="BB67" s="36"/>
      <c r="BC67" s="36"/>
      <c r="BD67" s="37">
        <f t="shared" si="88"/>
        <v>0</v>
      </c>
      <c r="BE67" s="37">
        <f t="shared" si="89"/>
        <v>0</v>
      </c>
      <c r="BF67" s="37">
        <f t="shared" si="90"/>
        <v>0</v>
      </c>
      <c r="BG67" s="37">
        <f t="shared" si="91"/>
        <v>0</v>
      </c>
      <c r="BH67" s="37">
        <f t="shared" si="92"/>
        <v>0</v>
      </c>
      <c r="BI67" s="37">
        <f t="shared" si="93"/>
        <v>0</v>
      </c>
      <c r="BJ67" s="37">
        <f t="shared" si="94"/>
        <v>0</v>
      </c>
      <c r="BK67" s="37">
        <f t="shared" si="95"/>
        <v>0</v>
      </c>
      <c r="BL67" s="36" t="s">
        <v>2067</v>
      </c>
      <c r="BM67" s="36" t="s">
        <v>2067</v>
      </c>
      <c r="BN67" s="36" t="s">
        <v>2067</v>
      </c>
      <c r="BO67" s="37">
        <f t="shared" si="96"/>
        <v>0</v>
      </c>
      <c r="BP67" s="37">
        <f t="shared" si="97"/>
        <v>0</v>
      </c>
      <c r="BQ67" s="37">
        <f t="shared" si="98"/>
        <v>0</v>
      </c>
      <c r="BR67" s="37">
        <f t="shared" si="99"/>
        <v>0</v>
      </c>
      <c r="BS67" s="37">
        <f t="shared" si="100"/>
        <v>0</v>
      </c>
      <c r="BT67" s="37">
        <f t="shared" si="101"/>
        <v>0</v>
      </c>
      <c r="BU67" s="36"/>
      <c r="BV67" s="36"/>
      <c r="BW67" s="37"/>
      <c r="BX67" s="37"/>
      <c r="BY67" s="37"/>
      <c r="BZ67" s="37"/>
      <c r="CA67" s="36"/>
      <c r="CB67" s="36"/>
      <c r="CC67" s="37"/>
      <c r="CD67" s="37"/>
      <c r="CE67" s="37"/>
      <c r="CF67" s="37"/>
      <c r="CG67" s="36"/>
      <c r="CH67" s="36"/>
      <c r="CI67" s="37">
        <f t="shared" si="102"/>
        <v>1</v>
      </c>
      <c r="CJ67" s="37">
        <f t="shared" si="103"/>
        <v>0.75</v>
      </c>
      <c r="CK67" s="37">
        <f t="shared" si="104"/>
        <v>0.75</v>
      </c>
      <c r="CL67" s="37">
        <f t="shared" si="105"/>
        <v>0</v>
      </c>
      <c r="CM67" s="37">
        <f t="shared" si="106"/>
        <v>0</v>
      </c>
      <c r="CN67" s="36" t="s">
        <v>2166</v>
      </c>
      <c r="CO67" s="36" t="s">
        <v>2166</v>
      </c>
      <c r="CP67" s="36" t="s">
        <v>2166</v>
      </c>
      <c r="CQ67" s="37">
        <f t="shared" si="107"/>
        <v>1</v>
      </c>
      <c r="CR67" s="37">
        <f t="shared" si="108"/>
        <v>1</v>
      </c>
      <c r="CS67" s="37">
        <f t="shared" si="109"/>
        <v>1</v>
      </c>
      <c r="CT67" s="37">
        <f t="shared" si="110"/>
        <v>0</v>
      </c>
      <c r="CU67" s="37">
        <f t="shared" si="111"/>
        <v>0</v>
      </c>
      <c r="CV67" s="36"/>
      <c r="CW67" s="37">
        <f t="shared" si="112"/>
        <v>0</v>
      </c>
      <c r="CX67" s="37">
        <f t="shared" si="113"/>
        <v>0</v>
      </c>
      <c r="CY67" s="37">
        <f t="shared" si="114"/>
        <v>3.3333333333333339</v>
      </c>
      <c r="CZ67" s="37">
        <f t="shared" si="115"/>
        <v>5</v>
      </c>
      <c r="DA67" s="37">
        <f t="shared" si="116"/>
        <v>0</v>
      </c>
      <c r="DB67" s="37">
        <f t="shared" si="117"/>
        <v>0</v>
      </c>
      <c r="DC67" s="37">
        <f t="shared" si="118"/>
        <v>0</v>
      </c>
      <c r="DD67" s="37">
        <f t="shared" si="119"/>
        <v>0</v>
      </c>
      <c r="DE67" s="37">
        <f t="shared" si="120"/>
        <v>0</v>
      </c>
      <c r="DF67" s="37">
        <f t="shared" si="123"/>
        <v>0</v>
      </c>
      <c r="DG67" s="37">
        <f t="shared" si="121"/>
        <v>0</v>
      </c>
      <c r="DH67" s="37">
        <f t="shared" si="122"/>
        <v>8.3333333333333339</v>
      </c>
    </row>
    <row r="68" spans="1:112" ht="36.75" hidden="1" x14ac:dyDescent="0.25">
      <c r="A68" s="37">
        <v>64</v>
      </c>
      <c r="B68" s="156" t="s">
        <v>2230</v>
      </c>
      <c r="C68" s="161"/>
      <c r="D68" s="161"/>
      <c r="E68" s="161"/>
      <c r="F68" s="161"/>
      <c r="G68" s="161"/>
      <c r="H68" s="161"/>
      <c r="I68" s="161"/>
      <c r="J68" s="53" t="s">
        <v>1947</v>
      </c>
      <c r="K68" s="53" t="s">
        <v>1948</v>
      </c>
      <c r="L68" s="53" t="s">
        <v>1947</v>
      </c>
      <c r="M68" s="61">
        <f t="shared" si="62"/>
        <v>0</v>
      </c>
      <c r="N68" s="61">
        <f t="shared" si="63"/>
        <v>1</v>
      </c>
      <c r="O68" s="61">
        <f t="shared" si="64"/>
        <v>0</v>
      </c>
      <c r="P68" s="61">
        <f t="shared" si="65"/>
        <v>1</v>
      </c>
      <c r="Q68" s="53" t="s">
        <v>2165</v>
      </c>
      <c r="R68" s="53" t="s">
        <v>2165</v>
      </c>
      <c r="S68" s="53" t="s">
        <v>1947</v>
      </c>
      <c r="T68" s="61">
        <f t="shared" si="66"/>
        <v>0</v>
      </c>
      <c r="U68" s="61">
        <f t="shared" si="67"/>
        <v>0</v>
      </c>
      <c r="V68" s="61">
        <f t="shared" si="68"/>
        <v>0</v>
      </c>
      <c r="W68" s="61">
        <f t="shared" si="69"/>
        <v>0</v>
      </c>
      <c r="X68" s="61">
        <f t="shared" si="70"/>
        <v>16.666666666666668</v>
      </c>
      <c r="Y68" s="53" t="s">
        <v>1948</v>
      </c>
      <c r="Z68" s="53" t="s">
        <v>1948</v>
      </c>
      <c r="AA68" s="61">
        <f t="shared" si="71"/>
        <v>1</v>
      </c>
      <c r="AB68" s="61">
        <f t="shared" si="72"/>
        <v>1</v>
      </c>
      <c r="AC68" s="61">
        <f t="shared" si="73"/>
        <v>2</v>
      </c>
      <c r="AD68" s="61">
        <f t="shared" si="74"/>
        <v>100</v>
      </c>
      <c r="AE68" s="53" t="s">
        <v>1947</v>
      </c>
      <c r="AF68" s="53" t="s">
        <v>1948</v>
      </c>
      <c r="AG68" s="53" t="s">
        <v>1947</v>
      </c>
      <c r="AH68" s="53" t="s">
        <v>1948</v>
      </c>
      <c r="AI68" s="53" t="s">
        <v>1947</v>
      </c>
      <c r="AJ68" s="50">
        <f t="shared" si="75"/>
        <v>0</v>
      </c>
      <c r="AK68" s="50">
        <f t="shared" si="76"/>
        <v>1</v>
      </c>
      <c r="AL68" s="50">
        <f t="shared" si="77"/>
        <v>0</v>
      </c>
      <c r="AM68" s="50">
        <f t="shared" si="78"/>
        <v>1</v>
      </c>
      <c r="AN68" s="50">
        <f t="shared" si="79"/>
        <v>0</v>
      </c>
      <c r="AO68" s="50">
        <f t="shared" si="80"/>
        <v>2</v>
      </c>
      <c r="AP68" s="51">
        <f t="shared" si="81"/>
        <v>40</v>
      </c>
      <c r="AQ68" s="51">
        <f t="shared" si="82"/>
        <v>156.66666666666666</v>
      </c>
      <c r="AR68" s="53"/>
      <c r="AS68" s="53"/>
      <c r="AT68" s="53"/>
      <c r="AU68" s="50">
        <f t="shared" si="83"/>
        <v>0</v>
      </c>
      <c r="AV68" s="50">
        <f t="shared" si="84"/>
        <v>0</v>
      </c>
      <c r="AW68" s="50">
        <f t="shared" si="85"/>
        <v>0</v>
      </c>
      <c r="AX68" s="50">
        <f t="shared" si="86"/>
        <v>0</v>
      </c>
      <c r="AY68" s="50">
        <f t="shared" si="87"/>
        <v>0</v>
      </c>
      <c r="AZ68" s="36"/>
      <c r="BA68" s="36"/>
      <c r="BB68" s="36"/>
      <c r="BC68" s="36"/>
      <c r="BD68" s="37">
        <f t="shared" si="88"/>
        <v>0</v>
      </c>
      <c r="BE68" s="37">
        <f t="shared" si="89"/>
        <v>0</v>
      </c>
      <c r="BF68" s="37">
        <f t="shared" si="90"/>
        <v>0</v>
      </c>
      <c r="BG68" s="37">
        <f t="shared" si="91"/>
        <v>0</v>
      </c>
      <c r="BH68" s="37">
        <f t="shared" si="92"/>
        <v>0</v>
      </c>
      <c r="BI68" s="37">
        <f t="shared" si="93"/>
        <v>0</v>
      </c>
      <c r="BJ68" s="37">
        <f t="shared" si="94"/>
        <v>0</v>
      </c>
      <c r="BK68" s="37">
        <f t="shared" si="95"/>
        <v>0</v>
      </c>
      <c r="BL68" s="36" t="s">
        <v>2067</v>
      </c>
      <c r="BM68" s="36" t="s">
        <v>2067</v>
      </c>
      <c r="BN68" s="36" t="s">
        <v>2067</v>
      </c>
      <c r="BO68" s="37">
        <f t="shared" si="96"/>
        <v>0</v>
      </c>
      <c r="BP68" s="37">
        <f t="shared" si="97"/>
        <v>0</v>
      </c>
      <c r="BQ68" s="37">
        <f t="shared" si="98"/>
        <v>0</v>
      </c>
      <c r="BR68" s="37">
        <f t="shared" si="99"/>
        <v>0</v>
      </c>
      <c r="BS68" s="37">
        <f t="shared" si="100"/>
        <v>0</v>
      </c>
      <c r="BT68" s="37">
        <f t="shared" si="101"/>
        <v>0</v>
      </c>
      <c r="BU68" s="36"/>
      <c r="BV68" s="36"/>
      <c r="BW68" s="37"/>
      <c r="BX68" s="37"/>
      <c r="BY68" s="37"/>
      <c r="BZ68" s="37"/>
      <c r="CA68" s="36"/>
      <c r="CB68" s="36"/>
      <c r="CC68" s="37"/>
      <c r="CD68" s="37"/>
      <c r="CE68" s="37"/>
      <c r="CF68" s="37"/>
      <c r="CG68" s="36"/>
      <c r="CH68" s="36"/>
      <c r="CI68" s="37">
        <f t="shared" si="102"/>
        <v>1</v>
      </c>
      <c r="CJ68" s="37">
        <f t="shared" si="103"/>
        <v>0.75</v>
      </c>
      <c r="CK68" s="37">
        <f t="shared" si="104"/>
        <v>0.75</v>
      </c>
      <c r="CL68" s="37">
        <f t="shared" si="105"/>
        <v>0</v>
      </c>
      <c r="CM68" s="37">
        <f t="shared" si="106"/>
        <v>0</v>
      </c>
      <c r="CN68" s="36" t="s">
        <v>2166</v>
      </c>
      <c r="CO68" s="36" t="s">
        <v>2166</v>
      </c>
      <c r="CP68" s="36" t="s">
        <v>2166</v>
      </c>
      <c r="CQ68" s="37">
        <f t="shared" si="107"/>
        <v>1</v>
      </c>
      <c r="CR68" s="37">
        <f t="shared" si="108"/>
        <v>1</v>
      </c>
      <c r="CS68" s="37">
        <f t="shared" si="109"/>
        <v>1</v>
      </c>
      <c r="CT68" s="37">
        <f t="shared" si="110"/>
        <v>0</v>
      </c>
      <c r="CU68" s="37">
        <f t="shared" si="111"/>
        <v>0</v>
      </c>
      <c r="CV68" s="36"/>
      <c r="CW68" s="37">
        <f t="shared" si="112"/>
        <v>0</v>
      </c>
      <c r="CX68" s="37">
        <f t="shared" si="113"/>
        <v>0</v>
      </c>
      <c r="CY68" s="37">
        <f t="shared" si="114"/>
        <v>1.666666666666667</v>
      </c>
      <c r="CZ68" s="37">
        <f t="shared" si="115"/>
        <v>10</v>
      </c>
      <c r="DA68" s="37">
        <f t="shared" si="116"/>
        <v>4</v>
      </c>
      <c r="DB68" s="37">
        <f t="shared" si="117"/>
        <v>0</v>
      </c>
      <c r="DC68" s="37">
        <f t="shared" si="118"/>
        <v>0</v>
      </c>
      <c r="DD68" s="37">
        <f t="shared" si="119"/>
        <v>0</v>
      </c>
      <c r="DE68" s="37">
        <f t="shared" si="120"/>
        <v>0</v>
      </c>
      <c r="DF68" s="37">
        <f t="shared" si="123"/>
        <v>0</v>
      </c>
      <c r="DG68" s="37">
        <f t="shared" si="121"/>
        <v>0</v>
      </c>
      <c r="DH68" s="37">
        <f t="shared" si="122"/>
        <v>15.666666666666668</v>
      </c>
    </row>
    <row r="69" spans="1:112" ht="36.75" hidden="1" x14ac:dyDescent="0.25">
      <c r="A69" s="37">
        <v>65</v>
      </c>
      <c r="B69" s="156" t="s">
        <v>2231</v>
      </c>
      <c r="C69" s="37"/>
      <c r="D69" s="37"/>
      <c r="E69" s="37"/>
      <c r="F69" s="37"/>
      <c r="G69" s="37"/>
      <c r="H69" s="37"/>
      <c r="I69" s="37"/>
      <c r="J69" s="53" t="s">
        <v>1947</v>
      </c>
      <c r="K69" s="53" t="s">
        <v>1948</v>
      </c>
      <c r="L69" s="53" t="s">
        <v>1947</v>
      </c>
      <c r="M69" s="61">
        <f t="shared" ref="M69:M85" si="124">IF(J69="SI",1,0)</f>
        <v>0</v>
      </c>
      <c r="N69" s="61">
        <f t="shared" ref="N69:N85" si="125">IF(K69="SI",1,0)</f>
        <v>1</v>
      </c>
      <c r="O69" s="61">
        <f t="shared" ref="O69:O85" si="126">IF(L69="SI",1,0)</f>
        <v>0</v>
      </c>
      <c r="P69" s="61">
        <f t="shared" ref="P69:P85" si="127">SUM(M69:O69)</f>
        <v>1</v>
      </c>
      <c r="Q69" s="53" t="s">
        <v>2165</v>
      </c>
      <c r="R69" s="53" t="s">
        <v>2165</v>
      </c>
      <c r="S69" s="53" t="s">
        <v>1948</v>
      </c>
      <c r="T69" s="61">
        <f t="shared" ref="T69:T85" si="128">IF(Q69="MUCHO",1,0)</f>
        <v>0</v>
      </c>
      <c r="U69" s="61">
        <f t="shared" ref="U69:U85" si="129">IF(R69="MUCHO",1,0)</f>
        <v>0</v>
      </c>
      <c r="V69" s="61">
        <f t="shared" ref="V69:V85" si="130">IF(S69="SI",1,0)</f>
        <v>1</v>
      </c>
      <c r="W69" s="61">
        <f t="shared" ref="W69:W85" si="131">SUM(T69:V69)</f>
        <v>1</v>
      </c>
      <c r="X69" s="61">
        <f t="shared" ref="X69:X85" si="132">((W69+P69)*100)/6</f>
        <v>33.333333333333336</v>
      </c>
      <c r="Y69" s="53" t="s">
        <v>1948</v>
      </c>
      <c r="Z69" s="53" t="s">
        <v>1947</v>
      </c>
      <c r="AA69" s="61">
        <f t="shared" ref="AA69:AA85" si="133">IF(Y69="SI",1,0)</f>
        <v>1</v>
      </c>
      <c r="AB69" s="61">
        <f t="shared" ref="AB69:AB85" si="134">IF(Z69="SI",1,0)</f>
        <v>0</v>
      </c>
      <c r="AC69" s="61">
        <f t="shared" ref="AC69:AC85" si="135">SUM(AA69:AB69)</f>
        <v>1</v>
      </c>
      <c r="AD69" s="61">
        <f t="shared" ref="AD69:AD85" si="136">((AA69+AB69)*100)/2</f>
        <v>50</v>
      </c>
      <c r="AE69" s="53" t="s">
        <v>1947</v>
      </c>
      <c r="AF69" s="53" t="s">
        <v>1947</v>
      </c>
      <c r="AG69" s="53" t="s">
        <v>1947</v>
      </c>
      <c r="AH69" s="53" t="s">
        <v>1947</v>
      </c>
      <c r="AI69" s="53" t="s">
        <v>1947</v>
      </c>
      <c r="AJ69" s="50">
        <f t="shared" ref="AJ69:AJ85" si="137">IF(AE69="SI",1,0)</f>
        <v>0</v>
      </c>
      <c r="AK69" s="50">
        <f t="shared" ref="AK69:AK85" si="138">IF(AF69="SI",1,0)</f>
        <v>0</v>
      </c>
      <c r="AL69" s="50">
        <f t="shared" ref="AL69:AL85" si="139">IF(AG69="SI",1,0)</f>
        <v>0</v>
      </c>
      <c r="AM69" s="50">
        <f t="shared" ref="AM69:AM85" si="140">IF(AH69="SI",1,0)</f>
        <v>0</v>
      </c>
      <c r="AN69" s="50">
        <f t="shared" ref="AN69:AN85" si="141">IF(AI69="SI",1,0)</f>
        <v>0</v>
      </c>
      <c r="AO69" s="50">
        <f t="shared" ref="AO69:AO85" si="142">SUM(AJ69:AN69)</f>
        <v>0</v>
      </c>
      <c r="AP69" s="51">
        <f t="shared" ref="AP69:AP85" si="143">((SUM(AJ69:AN69))*100)/5</f>
        <v>0</v>
      </c>
      <c r="AQ69" s="51">
        <f t="shared" ref="AQ69:AQ85" si="144">SUM(AP69,AD69,X69)</f>
        <v>83.333333333333343</v>
      </c>
      <c r="AR69" s="53"/>
      <c r="AS69" s="53"/>
      <c r="AT69" s="53"/>
      <c r="AU69" s="50">
        <f t="shared" ref="AU69:AU85" si="145">IF(AR69="SI",1,0)</f>
        <v>0</v>
      </c>
      <c r="AV69" s="50">
        <f t="shared" ref="AV69:AV85" si="146">IF(AS69="SI",1,0)</f>
        <v>0</v>
      </c>
      <c r="AW69" s="50">
        <f t="shared" ref="AW69:AW85" si="147">IF(AT69="SI",1,0)</f>
        <v>0</v>
      </c>
      <c r="AX69" s="50">
        <f t="shared" ref="AX69:AX85" si="148">SUM(AU69:AW69)</f>
        <v>0</v>
      </c>
      <c r="AY69" s="50">
        <f t="shared" ref="AY69:AY85" si="149">((SUM(AU69:AW69))*100)/3</f>
        <v>0</v>
      </c>
      <c r="AZ69" s="36"/>
      <c r="BA69" s="36"/>
      <c r="BB69" s="36"/>
      <c r="BC69" s="36"/>
      <c r="BD69" s="37">
        <f t="shared" ref="BD69:BD85" si="150">IF(IF(AZ69="ALTO",3,IF(AZ69="MEDIO",2,IF(AZ69="BAJO",1,0)))&gt;=1,IF(AZ69="ALTO",3,IF(AZ69="MEDIO",2,IF(AZ69="BAJO",1,0))),0)</f>
        <v>0</v>
      </c>
      <c r="BE69" s="37">
        <f t="shared" ref="BE69:BE85" si="151">IF(IF(BA69="ALTO",100,IF(BA69="MEDIO",50,IF(BA69="BAJO",25,0)))&gt;=50,IF(BA69="ALTO",100,IF(BA69="MEDIO",50,IF(BA69="BAJO",25,0))),0)</f>
        <v>0</v>
      </c>
      <c r="BF69" s="37">
        <f t="shared" ref="BF69:BF85" si="152">IF(IF(BB69="ALTO",100,IF(BB69="MEDIO",50,IF(BB69="BAJO",25,0)))&gt;=50,IF(BB69="ALTO",100,IF(BB69="MEDIO",50,IF(BB69="BAJO",25,0))),0)</f>
        <v>0</v>
      </c>
      <c r="BG69" s="37">
        <f t="shared" ref="BG69:BG85" si="153">IF(IF(BC69="ALTO",100,IF(BC69="MEDIO",50,IF(BC69="BAJO",25,0)))&gt;=50,IF(BC69="ALTO",100,IF(BC69="MEDIO",50,IF(BC69="BAJO",25,0))),0)</f>
        <v>0</v>
      </c>
      <c r="BH69" s="37">
        <f t="shared" ref="BH69:BH85" si="154">(BD69/3)*100</f>
        <v>0</v>
      </c>
      <c r="BI69" s="37">
        <f t="shared" ref="BI69:BI85" si="155">(SUM(BE69:BG69)/300)*100</f>
        <v>0</v>
      </c>
      <c r="BJ69" s="37">
        <f t="shared" ref="BJ69:BJ85" si="156">SUM(BH69:BI69)</f>
        <v>0</v>
      </c>
      <c r="BK69" s="37">
        <f t="shared" ref="BK69:BK85" si="157">(BJ69*100)/200</f>
        <v>0</v>
      </c>
      <c r="BL69" s="36" t="s">
        <v>2067</v>
      </c>
      <c r="BM69" s="36" t="s">
        <v>2067</v>
      </c>
      <c r="BN69" s="36" t="s">
        <v>2067</v>
      </c>
      <c r="BO69" s="37">
        <f t="shared" ref="BO69:BO85" si="158">IF(IF(BL69="ALTO",1,IF(BL69="MEDIO",2,3))&gt;=2,IF(BL69="ALTO",1,IF(BL69="MEDIO",2,3)),0)</f>
        <v>0</v>
      </c>
      <c r="BP69" s="37">
        <f t="shared" ref="BP69:BP85" si="159">IF(IF(BM69="ALTO",1,IF(BM69="MEDIO",2,IF(BM69="BAJO",3,4)))&gt;=3,IF(BM69="ALTO",1,IF(BM69="MEDIO",2,IF(BM69="BAJO",3,4))),0)</f>
        <v>0</v>
      </c>
      <c r="BQ69" s="37">
        <f t="shared" ref="BQ69:BQ85" si="160">IF(IF(BN69="ALTO",1,IF(BN69="MEDIO",2,IF(BN69="BAJO",3,4)))&gt;=3,IF(BN69="ALTO",1,IF(BN69="MEDIO",2,IF(BN69="BAJO",3,4))),0)</f>
        <v>0</v>
      </c>
      <c r="BR69" s="37">
        <f t="shared" ref="BR69:BR85" si="161">(BO69/3)*100</f>
        <v>0</v>
      </c>
      <c r="BS69" s="37">
        <f t="shared" ref="BS69:BS85" si="162">(SUM(BP69:BQ69)/8)*100</f>
        <v>0</v>
      </c>
      <c r="BT69" s="37">
        <f t="shared" ref="BT69:BT85" si="163">(SUM(BR69:BS69)*100)/200</f>
        <v>0</v>
      </c>
      <c r="BU69" s="36"/>
      <c r="BV69" s="36"/>
      <c r="BW69" s="37"/>
      <c r="BX69" s="37"/>
      <c r="BY69" s="37"/>
      <c r="BZ69" s="37"/>
      <c r="CA69" s="36"/>
      <c r="CB69" s="36"/>
      <c r="CC69" s="37"/>
      <c r="CD69" s="37"/>
      <c r="CE69" s="37"/>
      <c r="CF69" s="37"/>
      <c r="CG69" s="36"/>
      <c r="CH69" s="36"/>
      <c r="CI69" s="37">
        <f t="shared" ref="CI69:CI85" si="164">IF(CG69="ALTO",3,IF(CG69="MEDIO",2,1))</f>
        <v>1</v>
      </c>
      <c r="CJ69" s="37">
        <f t="shared" ref="CJ69:CJ85" si="165">IF(CH69="ALTO",2.25,IF(CH69="MEDIO",1.5,0.75))</f>
        <v>0.75</v>
      </c>
      <c r="CK69" s="37">
        <f t="shared" ref="CK69:CK85" si="166">IF(CI69=1,CJ69,CI69)</f>
        <v>0.75</v>
      </c>
      <c r="CL69" s="37">
        <f t="shared" ref="CL69:CL85" si="167">IF(CK69&gt;=2,CK69,0)</f>
        <v>0</v>
      </c>
      <c r="CM69" s="37">
        <f t="shared" ref="CM69:CM85" si="168">((CL69+CF69+BZ69)*100)/9</f>
        <v>0</v>
      </c>
      <c r="CN69" s="36" t="s">
        <v>2166</v>
      </c>
      <c r="CO69" s="36" t="s">
        <v>2166</v>
      </c>
      <c r="CP69" s="36" t="s">
        <v>2166</v>
      </c>
      <c r="CQ69" s="37">
        <f t="shared" ref="CQ69:CQ85" si="169">IF(CN69="ALTA",1,IF(CN69="MEDIA",2,3))</f>
        <v>1</v>
      </c>
      <c r="CR69" s="37">
        <f t="shared" ref="CR69:CR85" si="170">IF(CO69="ALTA",1,IF(CO69="MEDIA",2,3))</f>
        <v>1</v>
      </c>
      <c r="CS69" s="37">
        <f t="shared" ref="CS69:CS85" si="171">IF(CP69="ALTA",1,IF(CP69="MEDIA",2,3))</f>
        <v>1</v>
      </c>
      <c r="CT69" s="37">
        <f t="shared" ref="CT69:CT85" si="172">IF(SUM(CQ69:CS69)&gt;=7,SUM(CQ69:CS69),0)</f>
        <v>0</v>
      </c>
      <c r="CU69" s="37">
        <f t="shared" ref="CU69:CU85" si="173">((CT69)*100)/9</f>
        <v>0</v>
      </c>
      <c r="CV69" s="36"/>
      <c r="CW69" s="37">
        <f t="shared" ref="CW69:CW85" si="174">IF(IF(CV69="ALTO",4,IF(CV69="MEDIO",3,IF(CV69="BAJO",2,1)))&gt;=3,IF(CV69="ALTO",4,IF(CV69="MEDIO",3,IF(CV69="BAJO",2,1))),0)</f>
        <v>0</v>
      </c>
      <c r="CX69" s="37">
        <f t="shared" ref="CX69:CX85" si="175">(CW69*100)/4</f>
        <v>0</v>
      </c>
      <c r="CY69" s="37">
        <f t="shared" ref="CY69:CY85" si="176">X69*CY$3</f>
        <v>3.3333333333333339</v>
      </c>
      <c r="CZ69" s="37">
        <f t="shared" ref="CZ69:CZ85" si="177">AD69*CZ$3</f>
        <v>5</v>
      </c>
      <c r="DA69" s="37">
        <f t="shared" ref="DA69:DA85" si="178">AP69*DA$3</f>
        <v>0</v>
      </c>
      <c r="DB69" s="37">
        <f t="shared" ref="DB69:DB85" si="179">AY69*DB$3</f>
        <v>0</v>
      </c>
      <c r="DC69" s="37">
        <f t="shared" ref="DC69:DC85" si="180">BK69*DC$3</f>
        <v>0</v>
      </c>
      <c r="DD69" s="37">
        <f t="shared" ref="DD69:DD85" si="181">BT69*DD$3</f>
        <v>0</v>
      </c>
      <c r="DE69" s="37">
        <f t="shared" ref="DE69:DE85" si="182">CM69*DE$3</f>
        <v>0</v>
      </c>
      <c r="DF69" s="37">
        <f t="shared" si="123"/>
        <v>0</v>
      </c>
      <c r="DG69" s="37">
        <f t="shared" ref="DG69:DG85" si="183">CX69*DG$3</f>
        <v>0</v>
      </c>
      <c r="DH69" s="37">
        <f t="shared" ref="DH69:DH85" si="184">SUM(CY69:DG69)</f>
        <v>8.3333333333333339</v>
      </c>
    </row>
    <row r="70" spans="1:112" ht="48.75" hidden="1" x14ac:dyDescent="0.25">
      <c r="A70" s="37">
        <v>66</v>
      </c>
      <c r="B70" s="156" t="s">
        <v>2232</v>
      </c>
      <c r="C70" s="37"/>
      <c r="D70" s="37"/>
      <c r="E70" s="37"/>
      <c r="F70" s="37"/>
      <c r="G70" s="37"/>
      <c r="H70" s="37"/>
      <c r="I70" s="37"/>
      <c r="J70" s="53" t="s">
        <v>1947</v>
      </c>
      <c r="K70" s="53" t="s">
        <v>1948</v>
      </c>
      <c r="L70" s="53" t="s">
        <v>1947</v>
      </c>
      <c r="M70" s="61">
        <f t="shared" si="124"/>
        <v>0</v>
      </c>
      <c r="N70" s="61">
        <f t="shared" si="125"/>
        <v>1</v>
      </c>
      <c r="O70" s="61">
        <f t="shared" si="126"/>
        <v>0</v>
      </c>
      <c r="P70" s="61">
        <f t="shared" si="127"/>
        <v>1</v>
      </c>
      <c r="Q70" s="53" t="s">
        <v>2165</v>
      </c>
      <c r="R70" s="53" t="s">
        <v>2165</v>
      </c>
      <c r="S70" s="53" t="s">
        <v>1948</v>
      </c>
      <c r="T70" s="61">
        <f t="shared" si="128"/>
        <v>0</v>
      </c>
      <c r="U70" s="61">
        <f t="shared" si="129"/>
        <v>0</v>
      </c>
      <c r="V70" s="61">
        <f t="shared" si="130"/>
        <v>1</v>
      </c>
      <c r="W70" s="61">
        <f t="shared" si="131"/>
        <v>1</v>
      </c>
      <c r="X70" s="61">
        <f t="shared" si="132"/>
        <v>33.333333333333336</v>
      </c>
      <c r="Y70" s="53" t="s">
        <v>1948</v>
      </c>
      <c r="Z70" s="53" t="s">
        <v>1947</v>
      </c>
      <c r="AA70" s="61">
        <f t="shared" si="133"/>
        <v>1</v>
      </c>
      <c r="AB70" s="61">
        <f t="shared" si="134"/>
        <v>0</v>
      </c>
      <c r="AC70" s="61">
        <f t="shared" si="135"/>
        <v>1</v>
      </c>
      <c r="AD70" s="61">
        <f t="shared" si="136"/>
        <v>50</v>
      </c>
      <c r="AE70" s="53" t="s">
        <v>1947</v>
      </c>
      <c r="AF70" s="53" t="s">
        <v>1947</v>
      </c>
      <c r="AG70" s="53" t="s">
        <v>1947</v>
      </c>
      <c r="AH70" s="53" t="s">
        <v>1947</v>
      </c>
      <c r="AI70" s="53" t="s">
        <v>1947</v>
      </c>
      <c r="AJ70" s="50">
        <f t="shared" si="137"/>
        <v>0</v>
      </c>
      <c r="AK70" s="50">
        <f t="shared" si="138"/>
        <v>0</v>
      </c>
      <c r="AL70" s="50">
        <f t="shared" si="139"/>
        <v>0</v>
      </c>
      <c r="AM70" s="50">
        <f t="shared" si="140"/>
        <v>0</v>
      </c>
      <c r="AN70" s="50">
        <f t="shared" si="141"/>
        <v>0</v>
      </c>
      <c r="AO70" s="50">
        <f t="shared" si="142"/>
        <v>0</v>
      </c>
      <c r="AP70" s="51">
        <f t="shared" si="143"/>
        <v>0</v>
      </c>
      <c r="AQ70" s="51">
        <f t="shared" si="144"/>
        <v>83.333333333333343</v>
      </c>
      <c r="AR70" s="53"/>
      <c r="AS70" s="53"/>
      <c r="AT70" s="53"/>
      <c r="AU70" s="50">
        <f t="shared" si="145"/>
        <v>0</v>
      </c>
      <c r="AV70" s="50">
        <f t="shared" si="146"/>
        <v>0</v>
      </c>
      <c r="AW70" s="50">
        <f t="shared" si="147"/>
        <v>0</v>
      </c>
      <c r="AX70" s="50">
        <f t="shared" si="148"/>
        <v>0</v>
      </c>
      <c r="AY70" s="50">
        <f t="shared" si="149"/>
        <v>0</v>
      </c>
      <c r="AZ70" s="36"/>
      <c r="BA70" s="36"/>
      <c r="BB70" s="36"/>
      <c r="BC70" s="36"/>
      <c r="BD70" s="37">
        <f t="shared" si="150"/>
        <v>0</v>
      </c>
      <c r="BE70" s="37">
        <f t="shared" si="151"/>
        <v>0</v>
      </c>
      <c r="BF70" s="37">
        <f t="shared" si="152"/>
        <v>0</v>
      </c>
      <c r="BG70" s="37">
        <f t="shared" si="153"/>
        <v>0</v>
      </c>
      <c r="BH70" s="37">
        <f t="shared" si="154"/>
        <v>0</v>
      </c>
      <c r="BI70" s="37">
        <f t="shared" si="155"/>
        <v>0</v>
      </c>
      <c r="BJ70" s="37">
        <f t="shared" si="156"/>
        <v>0</v>
      </c>
      <c r="BK70" s="37">
        <f t="shared" si="157"/>
        <v>0</v>
      </c>
      <c r="BL70" s="36" t="s">
        <v>2067</v>
      </c>
      <c r="BM70" s="36" t="s">
        <v>2067</v>
      </c>
      <c r="BN70" s="36" t="s">
        <v>2067</v>
      </c>
      <c r="BO70" s="37">
        <f t="shared" si="158"/>
        <v>0</v>
      </c>
      <c r="BP70" s="37">
        <f t="shared" si="159"/>
        <v>0</v>
      </c>
      <c r="BQ70" s="37">
        <f t="shared" si="160"/>
        <v>0</v>
      </c>
      <c r="BR70" s="37">
        <f t="shared" si="161"/>
        <v>0</v>
      </c>
      <c r="BS70" s="37">
        <f t="shared" si="162"/>
        <v>0</v>
      </c>
      <c r="BT70" s="37">
        <f t="shared" si="163"/>
        <v>0</v>
      </c>
      <c r="BU70" s="36"/>
      <c r="BV70" s="36"/>
      <c r="BW70" s="37"/>
      <c r="BX70" s="37"/>
      <c r="BY70" s="37"/>
      <c r="BZ70" s="37"/>
      <c r="CA70" s="36"/>
      <c r="CB70" s="36"/>
      <c r="CC70" s="37"/>
      <c r="CD70" s="37"/>
      <c r="CE70" s="37"/>
      <c r="CF70" s="37"/>
      <c r="CG70" s="36"/>
      <c r="CH70" s="36"/>
      <c r="CI70" s="37">
        <f t="shared" si="164"/>
        <v>1</v>
      </c>
      <c r="CJ70" s="37">
        <f t="shared" si="165"/>
        <v>0.75</v>
      </c>
      <c r="CK70" s="37">
        <f t="shared" si="166"/>
        <v>0.75</v>
      </c>
      <c r="CL70" s="37">
        <f t="shared" si="167"/>
        <v>0</v>
      </c>
      <c r="CM70" s="37">
        <f t="shared" si="168"/>
        <v>0</v>
      </c>
      <c r="CN70" s="36" t="s">
        <v>2166</v>
      </c>
      <c r="CO70" s="36" t="s">
        <v>2166</v>
      </c>
      <c r="CP70" s="36" t="s">
        <v>2166</v>
      </c>
      <c r="CQ70" s="37">
        <f t="shared" si="169"/>
        <v>1</v>
      </c>
      <c r="CR70" s="37">
        <f t="shared" si="170"/>
        <v>1</v>
      </c>
      <c r="CS70" s="37">
        <f t="shared" si="171"/>
        <v>1</v>
      </c>
      <c r="CT70" s="37">
        <f t="shared" si="172"/>
        <v>0</v>
      </c>
      <c r="CU70" s="37">
        <f t="shared" si="173"/>
        <v>0</v>
      </c>
      <c r="CV70" s="36"/>
      <c r="CW70" s="37">
        <f t="shared" si="174"/>
        <v>0</v>
      </c>
      <c r="CX70" s="37">
        <f t="shared" si="175"/>
        <v>0</v>
      </c>
      <c r="CY70" s="37">
        <f t="shared" si="176"/>
        <v>3.3333333333333339</v>
      </c>
      <c r="CZ70" s="37">
        <f t="shared" si="177"/>
        <v>5</v>
      </c>
      <c r="DA70" s="37">
        <f t="shared" si="178"/>
        <v>0</v>
      </c>
      <c r="DB70" s="37">
        <f t="shared" si="179"/>
        <v>0</v>
      </c>
      <c r="DC70" s="37">
        <f t="shared" si="180"/>
        <v>0</v>
      </c>
      <c r="DD70" s="37">
        <f t="shared" si="181"/>
        <v>0</v>
      </c>
      <c r="DE70" s="37">
        <f t="shared" si="182"/>
        <v>0</v>
      </c>
      <c r="DF70" s="37">
        <f t="shared" ref="DF70:DF85" si="185">BK70*DF$3</f>
        <v>0</v>
      </c>
      <c r="DG70" s="37">
        <f t="shared" si="183"/>
        <v>0</v>
      </c>
      <c r="DH70" s="37">
        <f t="shared" si="184"/>
        <v>8.3333333333333339</v>
      </c>
    </row>
    <row r="71" spans="1:112" ht="36.75" hidden="1" x14ac:dyDescent="0.25">
      <c r="A71" s="37">
        <v>67</v>
      </c>
      <c r="B71" s="156" t="s">
        <v>2233</v>
      </c>
      <c r="C71" s="37"/>
      <c r="D71" s="37"/>
      <c r="E71" s="37"/>
      <c r="F71" s="37"/>
      <c r="G71" s="37"/>
      <c r="H71" s="37"/>
      <c r="I71" s="37"/>
      <c r="J71" s="53" t="s">
        <v>1947</v>
      </c>
      <c r="K71" s="53" t="s">
        <v>1948</v>
      </c>
      <c r="L71" s="53" t="s">
        <v>1947</v>
      </c>
      <c r="M71" s="61">
        <f t="shared" si="124"/>
        <v>0</v>
      </c>
      <c r="N71" s="61">
        <f t="shared" si="125"/>
        <v>1</v>
      </c>
      <c r="O71" s="61">
        <f t="shared" si="126"/>
        <v>0</v>
      </c>
      <c r="P71" s="61">
        <f t="shared" si="127"/>
        <v>1</v>
      </c>
      <c r="Q71" s="53" t="s">
        <v>2165</v>
      </c>
      <c r="R71" s="53" t="s">
        <v>2165</v>
      </c>
      <c r="S71" s="53" t="s">
        <v>1948</v>
      </c>
      <c r="T71" s="61">
        <f t="shared" si="128"/>
        <v>0</v>
      </c>
      <c r="U71" s="61">
        <f t="shared" si="129"/>
        <v>0</v>
      </c>
      <c r="V71" s="61">
        <f t="shared" si="130"/>
        <v>1</v>
      </c>
      <c r="W71" s="61">
        <f t="shared" si="131"/>
        <v>1</v>
      </c>
      <c r="X71" s="61">
        <f t="shared" si="132"/>
        <v>33.333333333333336</v>
      </c>
      <c r="Y71" s="53" t="s">
        <v>1948</v>
      </c>
      <c r="Z71" s="53" t="s">
        <v>1947</v>
      </c>
      <c r="AA71" s="61">
        <f t="shared" si="133"/>
        <v>1</v>
      </c>
      <c r="AB71" s="61">
        <f t="shared" si="134"/>
        <v>0</v>
      </c>
      <c r="AC71" s="61">
        <f t="shared" si="135"/>
        <v>1</v>
      </c>
      <c r="AD71" s="61">
        <f t="shared" si="136"/>
        <v>50</v>
      </c>
      <c r="AE71" s="53" t="s">
        <v>1947</v>
      </c>
      <c r="AF71" s="53" t="s">
        <v>1947</v>
      </c>
      <c r="AG71" s="53" t="s">
        <v>1947</v>
      </c>
      <c r="AH71" s="53" t="s">
        <v>1947</v>
      </c>
      <c r="AI71" s="53" t="s">
        <v>1947</v>
      </c>
      <c r="AJ71" s="50">
        <f t="shared" si="137"/>
        <v>0</v>
      </c>
      <c r="AK71" s="50">
        <f t="shared" si="138"/>
        <v>0</v>
      </c>
      <c r="AL71" s="50">
        <f t="shared" si="139"/>
        <v>0</v>
      </c>
      <c r="AM71" s="50">
        <f t="shared" si="140"/>
        <v>0</v>
      </c>
      <c r="AN71" s="50">
        <f t="shared" si="141"/>
        <v>0</v>
      </c>
      <c r="AO71" s="50">
        <f t="shared" si="142"/>
        <v>0</v>
      </c>
      <c r="AP71" s="51">
        <f t="shared" si="143"/>
        <v>0</v>
      </c>
      <c r="AQ71" s="51">
        <f t="shared" si="144"/>
        <v>83.333333333333343</v>
      </c>
      <c r="AR71" s="53"/>
      <c r="AS71" s="53"/>
      <c r="AT71" s="53"/>
      <c r="AU71" s="50">
        <f t="shared" si="145"/>
        <v>0</v>
      </c>
      <c r="AV71" s="50">
        <f t="shared" si="146"/>
        <v>0</v>
      </c>
      <c r="AW71" s="50">
        <f t="shared" si="147"/>
        <v>0</v>
      </c>
      <c r="AX71" s="50">
        <f t="shared" si="148"/>
        <v>0</v>
      </c>
      <c r="AY71" s="50">
        <f t="shared" si="149"/>
        <v>0</v>
      </c>
      <c r="AZ71" s="36"/>
      <c r="BA71" s="36"/>
      <c r="BB71" s="36"/>
      <c r="BC71" s="36"/>
      <c r="BD71" s="37">
        <f t="shared" si="150"/>
        <v>0</v>
      </c>
      <c r="BE71" s="37">
        <f t="shared" si="151"/>
        <v>0</v>
      </c>
      <c r="BF71" s="37">
        <f t="shared" si="152"/>
        <v>0</v>
      </c>
      <c r="BG71" s="37">
        <f t="shared" si="153"/>
        <v>0</v>
      </c>
      <c r="BH71" s="37">
        <f t="shared" si="154"/>
        <v>0</v>
      </c>
      <c r="BI71" s="37">
        <f t="shared" si="155"/>
        <v>0</v>
      </c>
      <c r="BJ71" s="37">
        <f t="shared" si="156"/>
        <v>0</v>
      </c>
      <c r="BK71" s="37">
        <f t="shared" si="157"/>
        <v>0</v>
      </c>
      <c r="BL71" s="36" t="s">
        <v>2067</v>
      </c>
      <c r="BM71" s="36" t="s">
        <v>2067</v>
      </c>
      <c r="BN71" s="36" t="s">
        <v>2067</v>
      </c>
      <c r="BO71" s="37">
        <f t="shared" si="158"/>
        <v>0</v>
      </c>
      <c r="BP71" s="37">
        <f t="shared" si="159"/>
        <v>0</v>
      </c>
      <c r="BQ71" s="37">
        <f t="shared" si="160"/>
        <v>0</v>
      </c>
      <c r="BR71" s="37">
        <f t="shared" si="161"/>
        <v>0</v>
      </c>
      <c r="BS71" s="37">
        <f t="shared" si="162"/>
        <v>0</v>
      </c>
      <c r="BT71" s="37">
        <f t="shared" si="163"/>
        <v>0</v>
      </c>
      <c r="BU71" s="36"/>
      <c r="BV71" s="36"/>
      <c r="BW71" s="37"/>
      <c r="BX71" s="37"/>
      <c r="BY71" s="37"/>
      <c r="BZ71" s="37"/>
      <c r="CA71" s="36"/>
      <c r="CB71" s="36"/>
      <c r="CC71" s="37"/>
      <c r="CD71" s="37"/>
      <c r="CE71" s="37"/>
      <c r="CF71" s="37"/>
      <c r="CG71" s="36"/>
      <c r="CH71" s="36"/>
      <c r="CI71" s="37">
        <f t="shared" si="164"/>
        <v>1</v>
      </c>
      <c r="CJ71" s="37">
        <f t="shared" si="165"/>
        <v>0.75</v>
      </c>
      <c r="CK71" s="37">
        <f t="shared" si="166"/>
        <v>0.75</v>
      </c>
      <c r="CL71" s="37">
        <f t="shared" si="167"/>
        <v>0</v>
      </c>
      <c r="CM71" s="37">
        <f t="shared" si="168"/>
        <v>0</v>
      </c>
      <c r="CN71" s="36" t="s">
        <v>2166</v>
      </c>
      <c r="CO71" s="36" t="s">
        <v>2166</v>
      </c>
      <c r="CP71" s="36" t="s">
        <v>2166</v>
      </c>
      <c r="CQ71" s="37">
        <f t="shared" si="169"/>
        <v>1</v>
      </c>
      <c r="CR71" s="37">
        <f t="shared" si="170"/>
        <v>1</v>
      </c>
      <c r="CS71" s="37">
        <f t="shared" si="171"/>
        <v>1</v>
      </c>
      <c r="CT71" s="37">
        <f t="shared" si="172"/>
        <v>0</v>
      </c>
      <c r="CU71" s="37">
        <f t="shared" si="173"/>
        <v>0</v>
      </c>
      <c r="CV71" s="36"/>
      <c r="CW71" s="37">
        <f t="shared" si="174"/>
        <v>0</v>
      </c>
      <c r="CX71" s="37">
        <f t="shared" si="175"/>
        <v>0</v>
      </c>
      <c r="CY71" s="37">
        <f t="shared" si="176"/>
        <v>3.3333333333333339</v>
      </c>
      <c r="CZ71" s="37">
        <f t="shared" si="177"/>
        <v>5</v>
      </c>
      <c r="DA71" s="37">
        <f t="shared" si="178"/>
        <v>0</v>
      </c>
      <c r="DB71" s="37">
        <f t="shared" si="179"/>
        <v>0</v>
      </c>
      <c r="DC71" s="37">
        <f t="shared" si="180"/>
        <v>0</v>
      </c>
      <c r="DD71" s="37">
        <f t="shared" si="181"/>
        <v>0</v>
      </c>
      <c r="DE71" s="37">
        <f t="shared" si="182"/>
        <v>0</v>
      </c>
      <c r="DF71" s="37">
        <f t="shared" si="185"/>
        <v>0</v>
      </c>
      <c r="DG71" s="37">
        <f t="shared" si="183"/>
        <v>0</v>
      </c>
      <c r="DH71" s="37">
        <f t="shared" si="184"/>
        <v>8.3333333333333339</v>
      </c>
    </row>
    <row r="72" spans="1:112" ht="24.75" hidden="1" x14ac:dyDescent="0.25">
      <c r="A72" s="37">
        <v>68</v>
      </c>
      <c r="B72" s="156" t="s">
        <v>2234</v>
      </c>
      <c r="C72" s="37"/>
      <c r="D72" s="37"/>
      <c r="E72" s="37"/>
      <c r="F72" s="37"/>
      <c r="G72" s="37"/>
      <c r="H72" s="37"/>
      <c r="I72" s="37"/>
      <c r="J72" s="53" t="s">
        <v>1947</v>
      </c>
      <c r="K72" s="53" t="s">
        <v>1948</v>
      </c>
      <c r="L72" s="53" t="s">
        <v>1947</v>
      </c>
      <c r="M72" s="61">
        <f t="shared" si="124"/>
        <v>0</v>
      </c>
      <c r="N72" s="61">
        <f t="shared" si="125"/>
        <v>1</v>
      </c>
      <c r="O72" s="61">
        <f t="shared" si="126"/>
        <v>0</v>
      </c>
      <c r="P72" s="61">
        <f t="shared" si="127"/>
        <v>1</v>
      </c>
      <c r="Q72" s="53" t="s">
        <v>2165</v>
      </c>
      <c r="R72" s="53" t="s">
        <v>2165</v>
      </c>
      <c r="S72" s="53" t="s">
        <v>1948</v>
      </c>
      <c r="T72" s="61">
        <f t="shared" si="128"/>
        <v>0</v>
      </c>
      <c r="U72" s="61">
        <f t="shared" si="129"/>
        <v>0</v>
      </c>
      <c r="V72" s="61">
        <f t="shared" si="130"/>
        <v>1</v>
      </c>
      <c r="W72" s="61">
        <f t="shared" si="131"/>
        <v>1</v>
      </c>
      <c r="X72" s="61">
        <f t="shared" si="132"/>
        <v>33.333333333333336</v>
      </c>
      <c r="Y72" s="53" t="s">
        <v>1948</v>
      </c>
      <c r="Z72" s="53" t="s">
        <v>1947</v>
      </c>
      <c r="AA72" s="61">
        <f t="shared" si="133"/>
        <v>1</v>
      </c>
      <c r="AB72" s="61">
        <f t="shared" si="134"/>
        <v>0</v>
      </c>
      <c r="AC72" s="61">
        <f t="shared" si="135"/>
        <v>1</v>
      </c>
      <c r="AD72" s="61">
        <f t="shared" si="136"/>
        <v>50</v>
      </c>
      <c r="AE72" s="53" t="s">
        <v>1947</v>
      </c>
      <c r="AF72" s="53" t="s">
        <v>1947</v>
      </c>
      <c r="AG72" s="53" t="s">
        <v>1947</v>
      </c>
      <c r="AH72" s="53" t="s">
        <v>1947</v>
      </c>
      <c r="AI72" s="53" t="s">
        <v>1947</v>
      </c>
      <c r="AJ72" s="50">
        <f t="shared" si="137"/>
        <v>0</v>
      </c>
      <c r="AK72" s="50">
        <f t="shared" si="138"/>
        <v>0</v>
      </c>
      <c r="AL72" s="50">
        <f t="shared" si="139"/>
        <v>0</v>
      </c>
      <c r="AM72" s="50">
        <f t="shared" si="140"/>
        <v>0</v>
      </c>
      <c r="AN72" s="50">
        <f t="shared" si="141"/>
        <v>0</v>
      </c>
      <c r="AO72" s="50">
        <f t="shared" si="142"/>
        <v>0</v>
      </c>
      <c r="AP72" s="51">
        <f t="shared" si="143"/>
        <v>0</v>
      </c>
      <c r="AQ72" s="51">
        <f t="shared" si="144"/>
        <v>83.333333333333343</v>
      </c>
      <c r="AR72" s="53"/>
      <c r="AS72" s="53"/>
      <c r="AT72" s="53"/>
      <c r="AU72" s="50">
        <f t="shared" si="145"/>
        <v>0</v>
      </c>
      <c r="AV72" s="50">
        <f t="shared" si="146"/>
        <v>0</v>
      </c>
      <c r="AW72" s="50">
        <f t="shared" si="147"/>
        <v>0</v>
      </c>
      <c r="AX72" s="50">
        <f t="shared" si="148"/>
        <v>0</v>
      </c>
      <c r="AY72" s="50">
        <f t="shared" si="149"/>
        <v>0</v>
      </c>
      <c r="AZ72" s="36"/>
      <c r="BA72" s="36"/>
      <c r="BB72" s="36"/>
      <c r="BC72" s="36"/>
      <c r="BD72" s="37">
        <f t="shared" si="150"/>
        <v>0</v>
      </c>
      <c r="BE72" s="37">
        <f t="shared" si="151"/>
        <v>0</v>
      </c>
      <c r="BF72" s="37">
        <f t="shared" si="152"/>
        <v>0</v>
      </c>
      <c r="BG72" s="37">
        <f t="shared" si="153"/>
        <v>0</v>
      </c>
      <c r="BH72" s="37">
        <f t="shared" si="154"/>
        <v>0</v>
      </c>
      <c r="BI72" s="37">
        <f t="shared" si="155"/>
        <v>0</v>
      </c>
      <c r="BJ72" s="37">
        <f t="shared" si="156"/>
        <v>0</v>
      </c>
      <c r="BK72" s="37">
        <f t="shared" si="157"/>
        <v>0</v>
      </c>
      <c r="BL72" s="36" t="s">
        <v>2067</v>
      </c>
      <c r="BM72" s="36" t="s">
        <v>2067</v>
      </c>
      <c r="BN72" s="36" t="s">
        <v>2067</v>
      </c>
      <c r="BO72" s="37">
        <f t="shared" si="158"/>
        <v>0</v>
      </c>
      <c r="BP72" s="37">
        <f t="shared" si="159"/>
        <v>0</v>
      </c>
      <c r="BQ72" s="37">
        <f t="shared" si="160"/>
        <v>0</v>
      </c>
      <c r="BR72" s="37">
        <f t="shared" si="161"/>
        <v>0</v>
      </c>
      <c r="BS72" s="37">
        <f t="shared" si="162"/>
        <v>0</v>
      </c>
      <c r="BT72" s="37">
        <f t="shared" si="163"/>
        <v>0</v>
      </c>
      <c r="BU72" s="36"/>
      <c r="BV72" s="36"/>
      <c r="BW72" s="37"/>
      <c r="BX72" s="37"/>
      <c r="BY72" s="37"/>
      <c r="BZ72" s="37"/>
      <c r="CA72" s="36"/>
      <c r="CB72" s="36"/>
      <c r="CC72" s="37"/>
      <c r="CD72" s="37"/>
      <c r="CE72" s="37"/>
      <c r="CF72" s="37"/>
      <c r="CG72" s="36"/>
      <c r="CH72" s="36"/>
      <c r="CI72" s="37">
        <f t="shared" si="164"/>
        <v>1</v>
      </c>
      <c r="CJ72" s="37">
        <f t="shared" si="165"/>
        <v>0.75</v>
      </c>
      <c r="CK72" s="37">
        <f t="shared" si="166"/>
        <v>0.75</v>
      </c>
      <c r="CL72" s="37">
        <f t="shared" si="167"/>
        <v>0</v>
      </c>
      <c r="CM72" s="37">
        <f t="shared" si="168"/>
        <v>0</v>
      </c>
      <c r="CN72" s="36" t="s">
        <v>2166</v>
      </c>
      <c r="CO72" s="36" t="s">
        <v>2166</v>
      </c>
      <c r="CP72" s="36" t="s">
        <v>2166</v>
      </c>
      <c r="CQ72" s="37">
        <f t="shared" si="169"/>
        <v>1</v>
      </c>
      <c r="CR72" s="37">
        <f t="shared" si="170"/>
        <v>1</v>
      </c>
      <c r="CS72" s="37">
        <f t="shared" si="171"/>
        <v>1</v>
      </c>
      <c r="CT72" s="37">
        <f t="shared" si="172"/>
        <v>0</v>
      </c>
      <c r="CU72" s="37">
        <f t="shared" si="173"/>
        <v>0</v>
      </c>
      <c r="CV72" s="36"/>
      <c r="CW72" s="37">
        <f t="shared" si="174"/>
        <v>0</v>
      </c>
      <c r="CX72" s="37">
        <f t="shared" si="175"/>
        <v>0</v>
      </c>
      <c r="CY72" s="37">
        <f t="shared" si="176"/>
        <v>3.3333333333333339</v>
      </c>
      <c r="CZ72" s="37">
        <f t="shared" si="177"/>
        <v>5</v>
      </c>
      <c r="DA72" s="37">
        <f t="shared" si="178"/>
        <v>0</v>
      </c>
      <c r="DB72" s="37">
        <f t="shared" si="179"/>
        <v>0</v>
      </c>
      <c r="DC72" s="37">
        <f t="shared" si="180"/>
        <v>0</v>
      </c>
      <c r="DD72" s="37">
        <f t="shared" si="181"/>
        <v>0</v>
      </c>
      <c r="DE72" s="37">
        <f t="shared" si="182"/>
        <v>0</v>
      </c>
      <c r="DF72" s="37">
        <f t="shared" si="185"/>
        <v>0</v>
      </c>
      <c r="DG72" s="37">
        <f t="shared" si="183"/>
        <v>0</v>
      </c>
      <c r="DH72" s="37">
        <f t="shared" si="184"/>
        <v>8.3333333333333339</v>
      </c>
    </row>
    <row r="73" spans="1:112" ht="36.75" hidden="1" x14ac:dyDescent="0.25">
      <c r="A73" s="37">
        <v>69</v>
      </c>
      <c r="B73" s="156" t="s">
        <v>2235</v>
      </c>
      <c r="C73" s="37"/>
      <c r="D73" s="37"/>
      <c r="E73" s="37"/>
      <c r="F73" s="37"/>
      <c r="G73" s="37"/>
      <c r="H73" s="37"/>
      <c r="I73" s="37"/>
      <c r="J73" s="53" t="s">
        <v>1947</v>
      </c>
      <c r="K73" s="53" t="s">
        <v>1948</v>
      </c>
      <c r="L73" s="53" t="s">
        <v>1947</v>
      </c>
      <c r="M73" s="61">
        <f t="shared" si="124"/>
        <v>0</v>
      </c>
      <c r="N73" s="61">
        <f t="shared" si="125"/>
        <v>1</v>
      </c>
      <c r="O73" s="61">
        <f t="shared" si="126"/>
        <v>0</v>
      </c>
      <c r="P73" s="61">
        <f t="shared" si="127"/>
        <v>1</v>
      </c>
      <c r="Q73" s="53" t="s">
        <v>2165</v>
      </c>
      <c r="R73" s="53" t="s">
        <v>2165</v>
      </c>
      <c r="S73" s="53" t="s">
        <v>1948</v>
      </c>
      <c r="T73" s="61">
        <f t="shared" si="128"/>
        <v>0</v>
      </c>
      <c r="U73" s="61">
        <f t="shared" si="129"/>
        <v>0</v>
      </c>
      <c r="V73" s="61">
        <f t="shared" si="130"/>
        <v>1</v>
      </c>
      <c r="W73" s="61">
        <f t="shared" si="131"/>
        <v>1</v>
      </c>
      <c r="X73" s="61">
        <f t="shared" si="132"/>
        <v>33.333333333333336</v>
      </c>
      <c r="Y73" s="53" t="s">
        <v>1948</v>
      </c>
      <c r="Z73" s="53" t="s">
        <v>1947</v>
      </c>
      <c r="AA73" s="61">
        <f t="shared" si="133"/>
        <v>1</v>
      </c>
      <c r="AB73" s="61">
        <f t="shared" si="134"/>
        <v>0</v>
      </c>
      <c r="AC73" s="61">
        <f t="shared" si="135"/>
        <v>1</v>
      </c>
      <c r="AD73" s="61">
        <f t="shared" si="136"/>
        <v>50</v>
      </c>
      <c r="AE73" s="53" t="s">
        <v>1947</v>
      </c>
      <c r="AF73" s="53" t="s">
        <v>1947</v>
      </c>
      <c r="AG73" s="53" t="s">
        <v>1947</v>
      </c>
      <c r="AH73" s="53" t="s">
        <v>1947</v>
      </c>
      <c r="AI73" s="53" t="s">
        <v>1947</v>
      </c>
      <c r="AJ73" s="50">
        <f t="shared" si="137"/>
        <v>0</v>
      </c>
      <c r="AK73" s="50">
        <f t="shared" si="138"/>
        <v>0</v>
      </c>
      <c r="AL73" s="50">
        <f t="shared" si="139"/>
        <v>0</v>
      </c>
      <c r="AM73" s="50">
        <f t="shared" si="140"/>
        <v>0</v>
      </c>
      <c r="AN73" s="50">
        <f t="shared" si="141"/>
        <v>0</v>
      </c>
      <c r="AO73" s="50">
        <f t="shared" si="142"/>
        <v>0</v>
      </c>
      <c r="AP73" s="51">
        <f t="shared" si="143"/>
        <v>0</v>
      </c>
      <c r="AQ73" s="51">
        <f t="shared" si="144"/>
        <v>83.333333333333343</v>
      </c>
      <c r="AR73" s="53"/>
      <c r="AS73" s="53"/>
      <c r="AT73" s="53"/>
      <c r="AU73" s="50">
        <f t="shared" si="145"/>
        <v>0</v>
      </c>
      <c r="AV73" s="50">
        <f t="shared" si="146"/>
        <v>0</v>
      </c>
      <c r="AW73" s="50">
        <f t="shared" si="147"/>
        <v>0</v>
      </c>
      <c r="AX73" s="50">
        <f t="shared" si="148"/>
        <v>0</v>
      </c>
      <c r="AY73" s="50">
        <f t="shared" si="149"/>
        <v>0</v>
      </c>
      <c r="AZ73" s="36"/>
      <c r="BA73" s="36"/>
      <c r="BB73" s="36"/>
      <c r="BC73" s="36"/>
      <c r="BD73" s="37">
        <f t="shared" si="150"/>
        <v>0</v>
      </c>
      <c r="BE73" s="37">
        <f t="shared" si="151"/>
        <v>0</v>
      </c>
      <c r="BF73" s="37">
        <f t="shared" si="152"/>
        <v>0</v>
      </c>
      <c r="BG73" s="37">
        <f t="shared" si="153"/>
        <v>0</v>
      </c>
      <c r="BH73" s="37">
        <f t="shared" si="154"/>
        <v>0</v>
      </c>
      <c r="BI73" s="37">
        <f t="shared" si="155"/>
        <v>0</v>
      </c>
      <c r="BJ73" s="37">
        <f t="shared" si="156"/>
        <v>0</v>
      </c>
      <c r="BK73" s="37">
        <f t="shared" si="157"/>
        <v>0</v>
      </c>
      <c r="BL73" s="36" t="s">
        <v>2067</v>
      </c>
      <c r="BM73" s="36" t="s">
        <v>2067</v>
      </c>
      <c r="BN73" s="36" t="s">
        <v>2067</v>
      </c>
      <c r="BO73" s="37">
        <f t="shared" si="158"/>
        <v>0</v>
      </c>
      <c r="BP73" s="37">
        <f t="shared" si="159"/>
        <v>0</v>
      </c>
      <c r="BQ73" s="37">
        <f t="shared" si="160"/>
        <v>0</v>
      </c>
      <c r="BR73" s="37">
        <f t="shared" si="161"/>
        <v>0</v>
      </c>
      <c r="BS73" s="37">
        <f t="shared" si="162"/>
        <v>0</v>
      </c>
      <c r="BT73" s="37">
        <f t="shared" si="163"/>
        <v>0</v>
      </c>
      <c r="BU73" s="36"/>
      <c r="BV73" s="36"/>
      <c r="BW73" s="37"/>
      <c r="BX73" s="37"/>
      <c r="BY73" s="37"/>
      <c r="BZ73" s="37"/>
      <c r="CA73" s="36"/>
      <c r="CB73" s="36"/>
      <c r="CC73" s="37"/>
      <c r="CD73" s="37"/>
      <c r="CE73" s="37"/>
      <c r="CF73" s="37"/>
      <c r="CG73" s="36"/>
      <c r="CH73" s="36"/>
      <c r="CI73" s="37">
        <f t="shared" si="164"/>
        <v>1</v>
      </c>
      <c r="CJ73" s="37">
        <f t="shared" si="165"/>
        <v>0.75</v>
      </c>
      <c r="CK73" s="37">
        <f t="shared" si="166"/>
        <v>0.75</v>
      </c>
      <c r="CL73" s="37">
        <f t="shared" si="167"/>
        <v>0</v>
      </c>
      <c r="CM73" s="37">
        <f t="shared" si="168"/>
        <v>0</v>
      </c>
      <c r="CN73" s="36" t="s">
        <v>2166</v>
      </c>
      <c r="CO73" s="36" t="s">
        <v>2166</v>
      </c>
      <c r="CP73" s="36" t="s">
        <v>2166</v>
      </c>
      <c r="CQ73" s="37">
        <f t="shared" si="169"/>
        <v>1</v>
      </c>
      <c r="CR73" s="37">
        <f t="shared" si="170"/>
        <v>1</v>
      </c>
      <c r="CS73" s="37">
        <f t="shared" si="171"/>
        <v>1</v>
      </c>
      <c r="CT73" s="37">
        <f t="shared" si="172"/>
        <v>0</v>
      </c>
      <c r="CU73" s="37">
        <f t="shared" si="173"/>
        <v>0</v>
      </c>
      <c r="CV73" s="36"/>
      <c r="CW73" s="37">
        <f t="shared" si="174"/>
        <v>0</v>
      </c>
      <c r="CX73" s="37">
        <f t="shared" si="175"/>
        <v>0</v>
      </c>
      <c r="CY73" s="37">
        <f t="shared" si="176"/>
        <v>3.3333333333333339</v>
      </c>
      <c r="CZ73" s="37">
        <f t="shared" si="177"/>
        <v>5</v>
      </c>
      <c r="DA73" s="37">
        <f t="shared" si="178"/>
        <v>0</v>
      </c>
      <c r="DB73" s="37">
        <f t="shared" si="179"/>
        <v>0</v>
      </c>
      <c r="DC73" s="37">
        <f t="shared" si="180"/>
        <v>0</v>
      </c>
      <c r="DD73" s="37">
        <f t="shared" si="181"/>
        <v>0</v>
      </c>
      <c r="DE73" s="37">
        <f t="shared" si="182"/>
        <v>0</v>
      </c>
      <c r="DF73" s="37">
        <f t="shared" si="185"/>
        <v>0</v>
      </c>
      <c r="DG73" s="37">
        <f t="shared" si="183"/>
        <v>0</v>
      </c>
      <c r="DH73" s="37">
        <f t="shared" si="184"/>
        <v>8.3333333333333339</v>
      </c>
    </row>
    <row r="74" spans="1:112" ht="36.75" hidden="1" x14ac:dyDescent="0.25">
      <c r="A74" s="37">
        <v>70</v>
      </c>
      <c r="B74" s="156" t="s">
        <v>2236</v>
      </c>
      <c r="C74" s="37"/>
      <c r="D74" s="37"/>
      <c r="E74" s="37"/>
      <c r="F74" s="37"/>
      <c r="G74" s="37"/>
      <c r="H74" s="37"/>
      <c r="I74" s="37"/>
      <c r="J74" s="53" t="s">
        <v>1947</v>
      </c>
      <c r="K74" s="53" t="s">
        <v>1948</v>
      </c>
      <c r="L74" s="53" t="s">
        <v>1947</v>
      </c>
      <c r="M74" s="61">
        <f t="shared" si="124"/>
        <v>0</v>
      </c>
      <c r="N74" s="61">
        <f t="shared" si="125"/>
        <v>1</v>
      </c>
      <c r="O74" s="61">
        <f t="shared" si="126"/>
        <v>0</v>
      </c>
      <c r="P74" s="61">
        <f t="shared" si="127"/>
        <v>1</v>
      </c>
      <c r="Q74" s="53" t="s">
        <v>2165</v>
      </c>
      <c r="R74" s="53" t="s">
        <v>2165</v>
      </c>
      <c r="S74" s="53" t="s">
        <v>1948</v>
      </c>
      <c r="T74" s="61">
        <f t="shared" si="128"/>
        <v>0</v>
      </c>
      <c r="U74" s="61">
        <f t="shared" si="129"/>
        <v>0</v>
      </c>
      <c r="V74" s="61">
        <f t="shared" si="130"/>
        <v>1</v>
      </c>
      <c r="W74" s="61">
        <f t="shared" si="131"/>
        <v>1</v>
      </c>
      <c r="X74" s="61">
        <f t="shared" si="132"/>
        <v>33.333333333333336</v>
      </c>
      <c r="Y74" s="53" t="s">
        <v>1948</v>
      </c>
      <c r="Z74" s="53" t="s">
        <v>1947</v>
      </c>
      <c r="AA74" s="61">
        <f t="shared" si="133"/>
        <v>1</v>
      </c>
      <c r="AB74" s="61">
        <f t="shared" si="134"/>
        <v>0</v>
      </c>
      <c r="AC74" s="61">
        <f t="shared" si="135"/>
        <v>1</v>
      </c>
      <c r="AD74" s="61">
        <f t="shared" si="136"/>
        <v>50</v>
      </c>
      <c r="AE74" s="53" t="s">
        <v>1947</v>
      </c>
      <c r="AF74" s="53" t="s">
        <v>1947</v>
      </c>
      <c r="AG74" s="53" t="s">
        <v>1947</v>
      </c>
      <c r="AH74" s="53" t="s">
        <v>1947</v>
      </c>
      <c r="AI74" s="53" t="s">
        <v>1947</v>
      </c>
      <c r="AJ74" s="50">
        <f t="shared" si="137"/>
        <v>0</v>
      </c>
      <c r="AK74" s="50">
        <f t="shared" si="138"/>
        <v>0</v>
      </c>
      <c r="AL74" s="50">
        <f t="shared" si="139"/>
        <v>0</v>
      </c>
      <c r="AM74" s="50">
        <f t="shared" si="140"/>
        <v>0</v>
      </c>
      <c r="AN74" s="50">
        <f t="shared" si="141"/>
        <v>0</v>
      </c>
      <c r="AO74" s="50">
        <f t="shared" si="142"/>
        <v>0</v>
      </c>
      <c r="AP74" s="51">
        <f t="shared" si="143"/>
        <v>0</v>
      </c>
      <c r="AQ74" s="51">
        <f t="shared" si="144"/>
        <v>83.333333333333343</v>
      </c>
      <c r="AR74" s="53"/>
      <c r="AS74" s="53"/>
      <c r="AT74" s="53"/>
      <c r="AU74" s="50">
        <f t="shared" si="145"/>
        <v>0</v>
      </c>
      <c r="AV74" s="50">
        <f t="shared" si="146"/>
        <v>0</v>
      </c>
      <c r="AW74" s="50">
        <f t="shared" si="147"/>
        <v>0</v>
      </c>
      <c r="AX74" s="50">
        <f t="shared" si="148"/>
        <v>0</v>
      </c>
      <c r="AY74" s="50">
        <f t="shared" si="149"/>
        <v>0</v>
      </c>
      <c r="AZ74" s="36"/>
      <c r="BA74" s="36"/>
      <c r="BB74" s="36"/>
      <c r="BC74" s="36"/>
      <c r="BD74" s="37">
        <f t="shared" si="150"/>
        <v>0</v>
      </c>
      <c r="BE74" s="37">
        <f t="shared" si="151"/>
        <v>0</v>
      </c>
      <c r="BF74" s="37">
        <f t="shared" si="152"/>
        <v>0</v>
      </c>
      <c r="BG74" s="37">
        <f t="shared" si="153"/>
        <v>0</v>
      </c>
      <c r="BH74" s="37">
        <f t="shared" si="154"/>
        <v>0</v>
      </c>
      <c r="BI74" s="37">
        <f t="shared" si="155"/>
        <v>0</v>
      </c>
      <c r="BJ74" s="37">
        <f t="shared" si="156"/>
        <v>0</v>
      </c>
      <c r="BK74" s="37">
        <f t="shared" si="157"/>
        <v>0</v>
      </c>
      <c r="BL74" s="36" t="s">
        <v>2067</v>
      </c>
      <c r="BM74" s="36" t="s">
        <v>2067</v>
      </c>
      <c r="BN74" s="36" t="s">
        <v>2067</v>
      </c>
      <c r="BO74" s="37">
        <f t="shared" si="158"/>
        <v>0</v>
      </c>
      <c r="BP74" s="37">
        <f t="shared" si="159"/>
        <v>0</v>
      </c>
      <c r="BQ74" s="37">
        <f t="shared" si="160"/>
        <v>0</v>
      </c>
      <c r="BR74" s="37">
        <f t="shared" si="161"/>
        <v>0</v>
      </c>
      <c r="BS74" s="37">
        <f t="shared" si="162"/>
        <v>0</v>
      </c>
      <c r="BT74" s="37">
        <f t="shared" si="163"/>
        <v>0</v>
      </c>
      <c r="BU74" s="36"/>
      <c r="BV74" s="36"/>
      <c r="BW74" s="37"/>
      <c r="BX74" s="37"/>
      <c r="BY74" s="37"/>
      <c r="BZ74" s="37"/>
      <c r="CA74" s="36"/>
      <c r="CB74" s="36"/>
      <c r="CC74" s="37"/>
      <c r="CD74" s="37"/>
      <c r="CE74" s="37"/>
      <c r="CF74" s="37"/>
      <c r="CG74" s="36"/>
      <c r="CH74" s="36"/>
      <c r="CI74" s="37">
        <f t="shared" si="164"/>
        <v>1</v>
      </c>
      <c r="CJ74" s="37">
        <f t="shared" si="165"/>
        <v>0.75</v>
      </c>
      <c r="CK74" s="37">
        <f t="shared" si="166"/>
        <v>0.75</v>
      </c>
      <c r="CL74" s="37">
        <f t="shared" si="167"/>
        <v>0</v>
      </c>
      <c r="CM74" s="37">
        <f t="shared" si="168"/>
        <v>0</v>
      </c>
      <c r="CN74" s="36" t="s">
        <v>2166</v>
      </c>
      <c r="CO74" s="36" t="s">
        <v>2166</v>
      </c>
      <c r="CP74" s="36" t="s">
        <v>2166</v>
      </c>
      <c r="CQ74" s="37">
        <f t="shared" si="169"/>
        <v>1</v>
      </c>
      <c r="CR74" s="37">
        <f t="shared" si="170"/>
        <v>1</v>
      </c>
      <c r="CS74" s="37">
        <f t="shared" si="171"/>
        <v>1</v>
      </c>
      <c r="CT74" s="37">
        <f t="shared" si="172"/>
        <v>0</v>
      </c>
      <c r="CU74" s="37">
        <f t="shared" si="173"/>
        <v>0</v>
      </c>
      <c r="CV74" s="36"/>
      <c r="CW74" s="37">
        <f t="shared" si="174"/>
        <v>0</v>
      </c>
      <c r="CX74" s="37">
        <f t="shared" si="175"/>
        <v>0</v>
      </c>
      <c r="CY74" s="37">
        <f t="shared" si="176"/>
        <v>3.3333333333333339</v>
      </c>
      <c r="CZ74" s="37">
        <f t="shared" si="177"/>
        <v>5</v>
      </c>
      <c r="DA74" s="37">
        <f t="shared" si="178"/>
        <v>0</v>
      </c>
      <c r="DB74" s="37">
        <f t="shared" si="179"/>
        <v>0</v>
      </c>
      <c r="DC74" s="37">
        <f t="shared" si="180"/>
        <v>0</v>
      </c>
      <c r="DD74" s="37">
        <f t="shared" si="181"/>
        <v>0</v>
      </c>
      <c r="DE74" s="37">
        <f t="shared" si="182"/>
        <v>0</v>
      </c>
      <c r="DF74" s="37">
        <f t="shared" si="185"/>
        <v>0</v>
      </c>
      <c r="DG74" s="37">
        <f t="shared" si="183"/>
        <v>0</v>
      </c>
      <c r="DH74" s="37">
        <f t="shared" si="184"/>
        <v>8.3333333333333339</v>
      </c>
    </row>
    <row r="75" spans="1:112" ht="24.75" hidden="1" x14ac:dyDescent="0.25">
      <c r="A75" s="37">
        <v>71</v>
      </c>
      <c r="B75" s="156" t="s">
        <v>2237</v>
      </c>
      <c r="C75" s="37"/>
      <c r="D75" s="37"/>
      <c r="E75" s="37"/>
      <c r="F75" s="37"/>
      <c r="G75" s="37"/>
      <c r="H75" s="37"/>
      <c r="I75" s="37"/>
      <c r="J75" s="53" t="s">
        <v>1947</v>
      </c>
      <c r="K75" s="53" t="s">
        <v>1948</v>
      </c>
      <c r="L75" s="53" t="s">
        <v>1947</v>
      </c>
      <c r="M75" s="61">
        <f t="shared" si="124"/>
        <v>0</v>
      </c>
      <c r="N75" s="61">
        <f t="shared" si="125"/>
        <v>1</v>
      </c>
      <c r="O75" s="61">
        <f t="shared" si="126"/>
        <v>0</v>
      </c>
      <c r="P75" s="61">
        <f t="shared" si="127"/>
        <v>1</v>
      </c>
      <c r="Q75" s="53" t="s">
        <v>2165</v>
      </c>
      <c r="R75" s="53" t="s">
        <v>2165</v>
      </c>
      <c r="S75" s="53" t="s">
        <v>1948</v>
      </c>
      <c r="T75" s="61">
        <f t="shared" si="128"/>
        <v>0</v>
      </c>
      <c r="U75" s="61">
        <f t="shared" si="129"/>
        <v>0</v>
      </c>
      <c r="V75" s="61">
        <f t="shared" si="130"/>
        <v>1</v>
      </c>
      <c r="W75" s="61">
        <f t="shared" si="131"/>
        <v>1</v>
      </c>
      <c r="X75" s="61">
        <f t="shared" si="132"/>
        <v>33.333333333333336</v>
      </c>
      <c r="Y75" s="53" t="s">
        <v>1948</v>
      </c>
      <c r="Z75" s="53" t="s">
        <v>1947</v>
      </c>
      <c r="AA75" s="61">
        <f t="shared" si="133"/>
        <v>1</v>
      </c>
      <c r="AB75" s="61">
        <f t="shared" si="134"/>
        <v>0</v>
      </c>
      <c r="AC75" s="61">
        <f t="shared" si="135"/>
        <v>1</v>
      </c>
      <c r="AD75" s="61">
        <f t="shared" si="136"/>
        <v>50</v>
      </c>
      <c r="AE75" s="53" t="s">
        <v>1947</v>
      </c>
      <c r="AF75" s="53" t="s">
        <v>1947</v>
      </c>
      <c r="AG75" s="53" t="s">
        <v>1947</v>
      </c>
      <c r="AH75" s="53" t="s">
        <v>1947</v>
      </c>
      <c r="AI75" s="53" t="s">
        <v>1947</v>
      </c>
      <c r="AJ75" s="50">
        <f t="shared" si="137"/>
        <v>0</v>
      </c>
      <c r="AK75" s="50">
        <f t="shared" si="138"/>
        <v>0</v>
      </c>
      <c r="AL75" s="50">
        <f t="shared" si="139"/>
        <v>0</v>
      </c>
      <c r="AM75" s="50">
        <f t="shared" si="140"/>
        <v>0</v>
      </c>
      <c r="AN75" s="50">
        <f t="shared" si="141"/>
        <v>0</v>
      </c>
      <c r="AO75" s="50">
        <f t="shared" si="142"/>
        <v>0</v>
      </c>
      <c r="AP75" s="51">
        <f t="shared" si="143"/>
        <v>0</v>
      </c>
      <c r="AQ75" s="51">
        <f t="shared" si="144"/>
        <v>83.333333333333343</v>
      </c>
      <c r="AR75" s="53"/>
      <c r="AS75" s="53"/>
      <c r="AT75" s="53"/>
      <c r="AU75" s="50">
        <f t="shared" si="145"/>
        <v>0</v>
      </c>
      <c r="AV75" s="50">
        <f t="shared" si="146"/>
        <v>0</v>
      </c>
      <c r="AW75" s="50">
        <f t="shared" si="147"/>
        <v>0</v>
      </c>
      <c r="AX75" s="50">
        <f t="shared" si="148"/>
        <v>0</v>
      </c>
      <c r="AY75" s="50">
        <f t="shared" si="149"/>
        <v>0</v>
      </c>
      <c r="AZ75" s="36"/>
      <c r="BA75" s="36"/>
      <c r="BB75" s="36"/>
      <c r="BC75" s="36"/>
      <c r="BD75" s="37">
        <f t="shared" si="150"/>
        <v>0</v>
      </c>
      <c r="BE75" s="37">
        <f t="shared" si="151"/>
        <v>0</v>
      </c>
      <c r="BF75" s="37">
        <f t="shared" si="152"/>
        <v>0</v>
      </c>
      <c r="BG75" s="37">
        <f t="shared" si="153"/>
        <v>0</v>
      </c>
      <c r="BH75" s="37">
        <f t="shared" si="154"/>
        <v>0</v>
      </c>
      <c r="BI75" s="37">
        <f t="shared" si="155"/>
        <v>0</v>
      </c>
      <c r="BJ75" s="37">
        <f t="shared" si="156"/>
        <v>0</v>
      </c>
      <c r="BK75" s="37">
        <f t="shared" si="157"/>
        <v>0</v>
      </c>
      <c r="BL75" s="36" t="s">
        <v>2067</v>
      </c>
      <c r="BM75" s="36" t="s">
        <v>2067</v>
      </c>
      <c r="BN75" s="36" t="s">
        <v>2067</v>
      </c>
      <c r="BO75" s="37">
        <f t="shared" si="158"/>
        <v>0</v>
      </c>
      <c r="BP75" s="37">
        <f t="shared" si="159"/>
        <v>0</v>
      </c>
      <c r="BQ75" s="37">
        <f t="shared" si="160"/>
        <v>0</v>
      </c>
      <c r="BR75" s="37">
        <f t="shared" si="161"/>
        <v>0</v>
      </c>
      <c r="BS75" s="37">
        <f t="shared" si="162"/>
        <v>0</v>
      </c>
      <c r="BT75" s="37">
        <f t="shared" si="163"/>
        <v>0</v>
      </c>
      <c r="BU75" s="36"/>
      <c r="BV75" s="36"/>
      <c r="BW75" s="37"/>
      <c r="BX75" s="37"/>
      <c r="BY75" s="37"/>
      <c r="BZ75" s="37"/>
      <c r="CA75" s="36"/>
      <c r="CB75" s="36"/>
      <c r="CC75" s="37"/>
      <c r="CD75" s="37"/>
      <c r="CE75" s="37"/>
      <c r="CF75" s="37"/>
      <c r="CG75" s="36"/>
      <c r="CH75" s="36"/>
      <c r="CI75" s="37">
        <f t="shared" si="164"/>
        <v>1</v>
      </c>
      <c r="CJ75" s="37">
        <f t="shared" si="165"/>
        <v>0.75</v>
      </c>
      <c r="CK75" s="37">
        <f t="shared" si="166"/>
        <v>0.75</v>
      </c>
      <c r="CL75" s="37">
        <f t="shared" si="167"/>
        <v>0</v>
      </c>
      <c r="CM75" s="37">
        <f t="shared" si="168"/>
        <v>0</v>
      </c>
      <c r="CN75" s="36" t="s">
        <v>2166</v>
      </c>
      <c r="CO75" s="36" t="s">
        <v>2166</v>
      </c>
      <c r="CP75" s="36" t="s">
        <v>2166</v>
      </c>
      <c r="CQ75" s="37">
        <f t="shared" si="169"/>
        <v>1</v>
      </c>
      <c r="CR75" s="37">
        <f t="shared" si="170"/>
        <v>1</v>
      </c>
      <c r="CS75" s="37">
        <f t="shared" si="171"/>
        <v>1</v>
      </c>
      <c r="CT75" s="37">
        <f t="shared" si="172"/>
        <v>0</v>
      </c>
      <c r="CU75" s="37">
        <f t="shared" si="173"/>
        <v>0</v>
      </c>
      <c r="CV75" s="36"/>
      <c r="CW75" s="37">
        <f t="shared" si="174"/>
        <v>0</v>
      </c>
      <c r="CX75" s="37">
        <f t="shared" si="175"/>
        <v>0</v>
      </c>
      <c r="CY75" s="37">
        <f t="shared" si="176"/>
        <v>3.3333333333333339</v>
      </c>
      <c r="CZ75" s="37">
        <f t="shared" si="177"/>
        <v>5</v>
      </c>
      <c r="DA75" s="37">
        <f t="shared" si="178"/>
        <v>0</v>
      </c>
      <c r="DB75" s="37">
        <f t="shared" si="179"/>
        <v>0</v>
      </c>
      <c r="DC75" s="37">
        <f t="shared" si="180"/>
        <v>0</v>
      </c>
      <c r="DD75" s="37">
        <f t="shared" si="181"/>
        <v>0</v>
      </c>
      <c r="DE75" s="37">
        <f t="shared" si="182"/>
        <v>0</v>
      </c>
      <c r="DF75" s="37">
        <f t="shared" si="185"/>
        <v>0</v>
      </c>
      <c r="DG75" s="37">
        <f t="shared" si="183"/>
        <v>0</v>
      </c>
      <c r="DH75" s="37">
        <f t="shared" si="184"/>
        <v>8.3333333333333339</v>
      </c>
    </row>
    <row r="76" spans="1:112" ht="36.75" hidden="1" x14ac:dyDescent="0.25">
      <c r="A76" s="37">
        <v>72</v>
      </c>
      <c r="B76" s="156" t="s">
        <v>2238</v>
      </c>
      <c r="C76" s="37"/>
      <c r="D76" s="37"/>
      <c r="E76" s="37"/>
      <c r="F76" s="37"/>
      <c r="G76" s="37"/>
      <c r="H76" s="37"/>
      <c r="I76" s="37"/>
      <c r="J76" s="53" t="s">
        <v>1947</v>
      </c>
      <c r="K76" s="53" t="s">
        <v>1948</v>
      </c>
      <c r="L76" s="53" t="s">
        <v>1947</v>
      </c>
      <c r="M76" s="61">
        <f t="shared" si="124"/>
        <v>0</v>
      </c>
      <c r="N76" s="61">
        <f t="shared" si="125"/>
        <v>1</v>
      </c>
      <c r="O76" s="61">
        <f t="shared" si="126"/>
        <v>0</v>
      </c>
      <c r="P76" s="61">
        <f t="shared" si="127"/>
        <v>1</v>
      </c>
      <c r="Q76" s="53" t="s">
        <v>2165</v>
      </c>
      <c r="R76" s="53" t="s">
        <v>2165</v>
      </c>
      <c r="S76" s="53" t="s">
        <v>1948</v>
      </c>
      <c r="T76" s="61">
        <f t="shared" si="128"/>
        <v>0</v>
      </c>
      <c r="U76" s="61">
        <f t="shared" si="129"/>
        <v>0</v>
      </c>
      <c r="V76" s="61">
        <f t="shared" si="130"/>
        <v>1</v>
      </c>
      <c r="W76" s="61">
        <f t="shared" si="131"/>
        <v>1</v>
      </c>
      <c r="X76" s="61">
        <f t="shared" si="132"/>
        <v>33.333333333333336</v>
      </c>
      <c r="Y76" s="53" t="s">
        <v>1948</v>
      </c>
      <c r="Z76" s="53" t="s">
        <v>1947</v>
      </c>
      <c r="AA76" s="61">
        <f t="shared" si="133"/>
        <v>1</v>
      </c>
      <c r="AB76" s="61">
        <f t="shared" si="134"/>
        <v>0</v>
      </c>
      <c r="AC76" s="61">
        <f t="shared" si="135"/>
        <v>1</v>
      </c>
      <c r="AD76" s="61">
        <f t="shared" si="136"/>
        <v>50</v>
      </c>
      <c r="AE76" s="53" t="s">
        <v>1947</v>
      </c>
      <c r="AF76" s="53" t="s">
        <v>1947</v>
      </c>
      <c r="AG76" s="53" t="s">
        <v>1947</v>
      </c>
      <c r="AH76" s="53" t="s">
        <v>1947</v>
      </c>
      <c r="AI76" s="53" t="s">
        <v>1947</v>
      </c>
      <c r="AJ76" s="50">
        <f t="shared" si="137"/>
        <v>0</v>
      </c>
      <c r="AK76" s="50">
        <f t="shared" si="138"/>
        <v>0</v>
      </c>
      <c r="AL76" s="50">
        <f t="shared" si="139"/>
        <v>0</v>
      </c>
      <c r="AM76" s="50">
        <f t="shared" si="140"/>
        <v>0</v>
      </c>
      <c r="AN76" s="50">
        <f t="shared" si="141"/>
        <v>0</v>
      </c>
      <c r="AO76" s="50">
        <f t="shared" si="142"/>
        <v>0</v>
      </c>
      <c r="AP76" s="51">
        <f t="shared" si="143"/>
        <v>0</v>
      </c>
      <c r="AQ76" s="51">
        <f t="shared" si="144"/>
        <v>83.333333333333343</v>
      </c>
      <c r="AR76" s="53"/>
      <c r="AS76" s="53"/>
      <c r="AT76" s="53"/>
      <c r="AU76" s="50">
        <f t="shared" si="145"/>
        <v>0</v>
      </c>
      <c r="AV76" s="50">
        <f t="shared" si="146"/>
        <v>0</v>
      </c>
      <c r="AW76" s="50">
        <f t="shared" si="147"/>
        <v>0</v>
      </c>
      <c r="AX76" s="50">
        <f t="shared" si="148"/>
        <v>0</v>
      </c>
      <c r="AY76" s="50">
        <f t="shared" si="149"/>
        <v>0</v>
      </c>
      <c r="AZ76" s="36"/>
      <c r="BA76" s="36"/>
      <c r="BB76" s="36"/>
      <c r="BC76" s="36"/>
      <c r="BD76" s="37">
        <f t="shared" si="150"/>
        <v>0</v>
      </c>
      <c r="BE76" s="37">
        <f t="shared" si="151"/>
        <v>0</v>
      </c>
      <c r="BF76" s="37">
        <f t="shared" si="152"/>
        <v>0</v>
      </c>
      <c r="BG76" s="37">
        <f t="shared" si="153"/>
        <v>0</v>
      </c>
      <c r="BH76" s="37">
        <f t="shared" si="154"/>
        <v>0</v>
      </c>
      <c r="BI76" s="37">
        <f t="shared" si="155"/>
        <v>0</v>
      </c>
      <c r="BJ76" s="37">
        <f t="shared" si="156"/>
        <v>0</v>
      </c>
      <c r="BK76" s="37">
        <f t="shared" si="157"/>
        <v>0</v>
      </c>
      <c r="BL76" s="36" t="s">
        <v>2067</v>
      </c>
      <c r="BM76" s="36" t="s">
        <v>2067</v>
      </c>
      <c r="BN76" s="36" t="s">
        <v>2067</v>
      </c>
      <c r="BO76" s="37">
        <f t="shared" si="158"/>
        <v>0</v>
      </c>
      <c r="BP76" s="37">
        <f t="shared" si="159"/>
        <v>0</v>
      </c>
      <c r="BQ76" s="37">
        <f t="shared" si="160"/>
        <v>0</v>
      </c>
      <c r="BR76" s="37">
        <f t="shared" si="161"/>
        <v>0</v>
      </c>
      <c r="BS76" s="37">
        <f t="shared" si="162"/>
        <v>0</v>
      </c>
      <c r="BT76" s="37">
        <f t="shared" si="163"/>
        <v>0</v>
      </c>
      <c r="BU76" s="36"/>
      <c r="BV76" s="36"/>
      <c r="BW76" s="37"/>
      <c r="BX76" s="37"/>
      <c r="BY76" s="37"/>
      <c r="BZ76" s="37"/>
      <c r="CA76" s="36"/>
      <c r="CB76" s="36"/>
      <c r="CC76" s="37"/>
      <c r="CD76" s="37"/>
      <c r="CE76" s="37"/>
      <c r="CF76" s="37"/>
      <c r="CG76" s="36"/>
      <c r="CH76" s="36"/>
      <c r="CI76" s="37">
        <f t="shared" si="164"/>
        <v>1</v>
      </c>
      <c r="CJ76" s="37">
        <f t="shared" si="165"/>
        <v>0.75</v>
      </c>
      <c r="CK76" s="37">
        <f t="shared" si="166"/>
        <v>0.75</v>
      </c>
      <c r="CL76" s="37">
        <f t="shared" si="167"/>
        <v>0</v>
      </c>
      <c r="CM76" s="37">
        <f t="shared" si="168"/>
        <v>0</v>
      </c>
      <c r="CN76" s="36" t="s">
        <v>2166</v>
      </c>
      <c r="CO76" s="36" t="s">
        <v>2166</v>
      </c>
      <c r="CP76" s="36" t="s">
        <v>2166</v>
      </c>
      <c r="CQ76" s="37">
        <f t="shared" si="169"/>
        <v>1</v>
      </c>
      <c r="CR76" s="37">
        <f t="shared" si="170"/>
        <v>1</v>
      </c>
      <c r="CS76" s="37">
        <f t="shared" si="171"/>
        <v>1</v>
      </c>
      <c r="CT76" s="37">
        <f t="shared" si="172"/>
        <v>0</v>
      </c>
      <c r="CU76" s="37">
        <f t="shared" si="173"/>
        <v>0</v>
      </c>
      <c r="CV76" s="36"/>
      <c r="CW76" s="37">
        <f t="shared" si="174"/>
        <v>0</v>
      </c>
      <c r="CX76" s="37">
        <f t="shared" si="175"/>
        <v>0</v>
      </c>
      <c r="CY76" s="37">
        <f t="shared" si="176"/>
        <v>3.3333333333333339</v>
      </c>
      <c r="CZ76" s="37">
        <f t="shared" si="177"/>
        <v>5</v>
      </c>
      <c r="DA76" s="37">
        <f t="shared" si="178"/>
        <v>0</v>
      </c>
      <c r="DB76" s="37">
        <f t="shared" si="179"/>
        <v>0</v>
      </c>
      <c r="DC76" s="37">
        <f t="shared" si="180"/>
        <v>0</v>
      </c>
      <c r="DD76" s="37">
        <f t="shared" si="181"/>
        <v>0</v>
      </c>
      <c r="DE76" s="37">
        <f t="shared" si="182"/>
        <v>0</v>
      </c>
      <c r="DF76" s="37">
        <f t="shared" si="185"/>
        <v>0</v>
      </c>
      <c r="DG76" s="37">
        <f t="shared" si="183"/>
        <v>0</v>
      </c>
      <c r="DH76" s="37">
        <f t="shared" si="184"/>
        <v>8.3333333333333339</v>
      </c>
    </row>
    <row r="77" spans="1:112" ht="24.75" hidden="1" x14ac:dyDescent="0.25">
      <c r="A77" s="37">
        <v>73</v>
      </c>
      <c r="B77" s="156" t="s">
        <v>2239</v>
      </c>
      <c r="C77" s="37"/>
      <c r="D77" s="37"/>
      <c r="E77" s="37"/>
      <c r="F77" s="37"/>
      <c r="G77" s="37"/>
      <c r="H77" s="37"/>
      <c r="I77" s="37"/>
      <c r="J77" s="53" t="s">
        <v>1948</v>
      </c>
      <c r="K77" s="53" t="s">
        <v>1948</v>
      </c>
      <c r="L77" s="53" t="s">
        <v>1947</v>
      </c>
      <c r="M77" s="61">
        <f t="shared" si="124"/>
        <v>1</v>
      </c>
      <c r="N77" s="61">
        <f t="shared" si="125"/>
        <v>1</v>
      </c>
      <c r="O77" s="61">
        <f t="shared" si="126"/>
        <v>0</v>
      </c>
      <c r="P77" s="61">
        <f t="shared" si="127"/>
        <v>2</v>
      </c>
      <c r="Q77" s="53" t="s">
        <v>2165</v>
      </c>
      <c r="R77" s="53" t="s">
        <v>2165</v>
      </c>
      <c r="S77" s="53" t="s">
        <v>1948</v>
      </c>
      <c r="T77" s="61">
        <f t="shared" si="128"/>
        <v>0</v>
      </c>
      <c r="U77" s="61">
        <f t="shared" si="129"/>
        <v>0</v>
      </c>
      <c r="V77" s="61">
        <f t="shared" si="130"/>
        <v>1</v>
      </c>
      <c r="W77" s="61">
        <f t="shared" si="131"/>
        <v>1</v>
      </c>
      <c r="X77" s="61">
        <f t="shared" si="132"/>
        <v>50</v>
      </c>
      <c r="Y77" s="53" t="s">
        <v>1948</v>
      </c>
      <c r="Z77" s="53" t="s">
        <v>1948</v>
      </c>
      <c r="AA77" s="61">
        <f t="shared" si="133"/>
        <v>1</v>
      </c>
      <c r="AB77" s="61">
        <f t="shared" si="134"/>
        <v>1</v>
      </c>
      <c r="AC77" s="61">
        <f t="shared" si="135"/>
        <v>2</v>
      </c>
      <c r="AD77" s="61">
        <f t="shared" si="136"/>
        <v>100</v>
      </c>
      <c r="AE77" s="53" t="s">
        <v>1947</v>
      </c>
      <c r="AF77" s="53" t="s">
        <v>1947</v>
      </c>
      <c r="AG77" s="53" t="s">
        <v>1947</v>
      </c>
      <c r="AH77" s="53" t="s">
        <v>1947</v>
      </c>
      <c r="AI77" s="53" t="s">
        <v>1947</v>
      </c>
      <c r="AJ77" s="50">
        <f t="shared" si="137"/>
        <v>0</v>
      </c>
      <c r="AK77" s="50">
        <f t="shared" si="138"/>
        <v>0</v>
      </c>
      <c r="AL77" s="50">
        <f t="shared" si="139"/>
        <v>0</v>
      </c>
      <c r="AM77" s="50">
        <f t="shared" si="140"/>
        <v>0</v>
      </c>
      <c r="AN77" s="50">
        <f t="shared" si="141"/>
        <v>0</v>
      </c>
      <c r="AO77" s="50">
        <f t="shared" si="142"/>
        <v>0</v>
      </c>
      <c r="AP77" s="51">
        <f t="shared" si="143"/>
        <v>0</v>
      </c>
      <c r="AQ77" s="51">
        <f t="shared" si="144"/>
        <v>150</v>
      </c>
      <c r="AR77" s="53"/>
      <c r="AS77" s="53"/>
      <c r="AT77" s="53"/>
      <c r="AU77" s="50">
        <f t="shared" si="145"/>
        <v>0</v>
      </c>
      <c r="AV77" s="50">
        <f t="shared" si="146"/>
        <v>0</v>
      </c>
      <c r="AW77" s="50">
        <f t="shared" si="147"/>
        <v>0</v>
      </c>
      <c r="AX77" s="50">
        <f t="shared" si="148"/>
        <v>0</v>
      </c>
      <c r="AY77" s="50">
        <f t="shared" si="149"/>
        <v>0</v>
      </c>
      <c r="AZ77" s="36"/>
      <c r="BA77" s="36"/>
      <c r="BB77" s="36"/>
      <c r="BC77" s="36"/>
      <c r="BD77" s="37">
        <f t="shared" si="150"/>
        <v>0</v>
      </c>
      <c r="BE77" s="37">
        <f t="shared" si="151"/>
        <v>0</v>
      </c>
      <c r="BF77" s="37">
        <f t="shared" si="152"/>
        <v>0</v>
      </c>
      <c r="BG77" s="37">
        <f t="shared" si="153"/>
        <v>0</v>
      </c>
      <c r="BH77" s="37">
        <f t="shared" si="154"/>
        <v>0</v>
      </c>
      <c r="BI77" s="37">
        <f t="shared" si="155"/>
        <v>0</v>
      </c>
      <c r="BJ77" s="37">
        <f t="shared" si="156"/>
        <v>0</v>
      </c>
      <c r="BK77" s="37">
        <f t="shared" si="157"/>
        <v>0</v>
      </c>
      <c r="BL77" s="36" t="s">
        <v>2067</v>
      </c>
      <c r="BM77" s="36" t="s">
        <v>2067</v>
      </c>
      <c r="BN77" s="36" t="s">
        <v>2067</v>
      </c>
      <c r="BO77" s="37">
        <f t="shared" si="158"/>
        <v>0</v>
      </c>
      <c r="BP77" s="37">
        <f t="shared" si="159"/>
        <v>0</v>
      </c>
      <c r="BQ77" s="37">
        <f t="shared" si="160"/>
        <v>0</v>
      </c>
      <c r="BR77" s="37">
        <f t="shared" si="161"/>
        <v>0</v>
      </c>
      <c r="BS77" s="37">
        <f t="shared" si="162"/>
        <v>0</v>
      </c>
      <c r="BT77" s="37">
        <f t="shared" si="163"/>
        <v>0</v>
      </c>
      <c r="BU77" s="36"/>
      <c r="BV77" s="36"/>
      <c r="BW77" s="37"/>
      <c r="BX77" s="37"/>
      <c r="BY77" s="37"/>
      <c r="BZ77" s="37"/>
      <c r="CA77" s="36"/>
      <c r="CB77" s="36"/>
      <c r="CC77" s="37"/>
      <c r="CD77" s="37"/>
      <c r="CE77" s="37"/>
      <c r="CF77" s="37"/>
      <c r="CG77" s="36"/>
      <c r="CH77" s="36"/>
      <c r="CI77" s="37">
        <f t="shared" si="164"/>
        <v>1</v>
      </c>
      <c r="CJ77" s="37">
        <f t="shared" si="165"/>
        <v>0.75</v>
      </c>
      <c r="CK77" s="37">
        <f t="shared" si="166"/>
        <v>0.75</v>
      </c>
      <c r="CL77" s="37">
        <f t="shared" si="167"/>
        <v>0</v>
      </c>
      <c r="CM77" s="37">
        <f t="shared" si="168"/>
        <v>0</v>
      </c>
      <c r="CN77" s="36" t="s">
        <v>2166</v>
      </c>
      <c r="CO77" s="36" t="s">
        <v>2166</v>
      </c>
      <c r="CP77" s="36" t="s">
        <v>2166</v>
      </c>
      <c r="CQ77" s="37">
        <f t="shared" si="169"/>
        <v>1</v>
      </c>
      <c r="CR77" s="37">
        <f t="shared" si="170"/>
        <v>1</v>
      </c>
      <c r="CS77" s="37">
        <f t="shared" si="171"/>
        <v>1</v>
      </c>
      <c r="CT77" s="37">
        <f t="shared" si="172"/>
        <v>0</v>
      </c>
      <c r="CU77" s="37">
        <f t="shared" si="173"/>
        <v>0</v>
      </c>
      <c r="CV77" s="36"/>
      <c r="CW77" s="37">
        <f t="shared" si="174"/>
        <v>0</v>
      </c>
      <c r="CX77" s="37">
        <f t="shared" si="175"/>
        <v>0</v>
      </c>
      <c r="CY77" s="37">
        <f t="shared" si="176"/>
        <v>5</v>
      </c>
      <c r="CZ77" s="37">
        <f t="shared" si="177"/>
        <v>10</v>
      </c>
      <c r="DA77" s="37">
        <f t="shared" si="178"/>
        <v>0</v>
      </c>
      <c r="DB77" s="37">
        <f t="shared" si="179"/>
        <v>0</v>
      </c>
      <c r="DC77" s="37">
        <f t="shared" si="180"/>
        <v>0</v>
      </c>
      <c r="DD77" s="37">
        <f t="shared" si="181"/>
        <v>0</v>
      </c>
      <c r="DE77" s="37">
        <f t="shared" si="182"/>
        <v>0</v>
      </c>
      <c r="DF77" s="37">
        <f t="shared" si="185"/>
        <v>0</v>
      </c>
      <c r="DG77" s="37">
        <f t="shared" si="183"/>
        <v>0</v>
      </c>
      <c r="DH77" s="37">
        <f t="shared" si="184"/>
        <v>15</v>
      </c>
    </row>
    <row r="78" spans="1:112" ht="112.5" hidden="1" customHeight="1" x14ac:dyDescent="0.25">
      <c r="A78" s="37">
        <v>74</v>
      </c>
      <c r="B78" s="156" t="s">
        <v>2240</v>
      </c>
      <c r="C78" s="157" t="s">
        <v>2288</v>
      </c>
      <c r="D78" s="155" t="s">
        <v>2289</v>
      </c>
      <c r="E78" s="155" t="s">
        <v>2279</v>
      </c>
      <c r="F78" s="155"/>
      <c r="G78" s="155"/>
      <c r="H78" s="155"/>
      <c r="I78" s="155"/>
      <c r="J78" s="53" t="s">
        <v>1948</v>
      </c>
      <c r="K78" s="53" t="s">
        <v>1948</v>
      </c>
      <c r="L78" s="53" t="s">
        <v>1947</v>
      </c>
      <c r="M78" s="61">
        <f t="shared" si="124"/>
        <v>1</v>
      </c>
      <c r="N78" s="61">
        <f t="shared" si="125"/>
        <v>1</v>
      </c>
      <c r="O78" s="61">
        <f t="shared" si="126"/>
        <v>0</v>
      </c>
      <c r="P78" s="61">
        <f t="shared" si="127"/>
        <v>2</v>
      </c>
      <c r="Q78" s="53" t="s">
        <v>2165</v>
      </c>
      <c r="R78" s="53" t="s">
        <v>2165</v>
      </c>
      <c r="S78" s="53" t="s">
        <v>1948</v>
      </c>
      <c r="T78" s="61">
        <f t="shared" si="128"/>
        <v>0</v>
      </c>
      <c r="U78" s="61">
        <f t="shared" si="129"/>
        <v>0</v>
      </c>
      <c r="V78" s="61">
        <f t="shared" si="130"/>
        <v>1</v>
      </c>
      <c r="W78" s="61">
        <f t="shared" si="131"/>
        <v>1</v>
      </c>
      <c r="X78" s="61">
        <f t="shared" si="132"/>
        <v>50</v>
      </c>
      <c r="Y78" s="53" t="s">
        <v>1948</v>
      </c>
      <c r="Z78" s="53" t="s">
        <v>1948</v>
      </c>
      <c r="AA78" s="61">
        <f t="shared" si="133"/>
        <v>1</v>
      </c>
      <c r="AB78" s="61">
        <f t="shared" si="134"/>
        <v>1</v>
      </c>
      <c r="AC78" s="61">
        <f t="shared" si="135"/>
        <v>2</v>
      </c>
      <c r="AD78" s="61">
        <f t="shared" si="136"/>
        <v>100</v>
      </c>
      <c r="AE78" s="53" t="s">
        <v>1948</v>
      </c>
      <c r="AF78" s="53" t="s">
        <v>1947</v>
      </c>
      <c r="AG78" s="53" t="s">
        <v>1947</v>
      </c>
      <c r="AH78" s="53" t="s">
        <v>1947</v>
      </c>
      <c r="AI78" s="53" t="s">
        <v>1948</v>
      </c>
      <c r="AJ78" s="50">
        <f t="shared" si="137"/>
        <v>1</v>
      </c>
      <c r="AK78" s="50">
        <f t="shared" si="138"/>
        <v>0</v>
      </c>
      <c r="AL78" s="50">
        <f t="shared" si="139"/>
        <v>0</v>
      </c>
      <c r="AM78" s="50">
        <f t="shared" si="140"/>
        <v>0</v>
      </c>
      <c r="AN78" s="50">
        <f t="shared" si="141"/>
        <v>1</v>
      </c>
      <c r="AO78" s="50">
        <f t="shared" si="142"/>
        <v>2</v>
      </c>
      <c r="AP78" s="51">
        <f t="shared" si="143"/>
        <v>40</v>
      </c>
      <c r="AQ78" s="51">
        <f t="shared" si="144"/>
        <v>190</v>
      </c>
      <c r="AR78" s="53" t="s">
        <v>1948</v>
      </c>
      <c r="AS78" s="53" t="s">
        <v>1948</v>
      </c>
      <c r="AT78" s="53" t="s">
        <v>1948</v>
      </c>
      <c r="AU78" s="50">
        <f t="shared" si="145"/>
        <v>1</v>
      </c>
      <c r="AV78" s="50">
        <f t="shared" si="146"/>
        <v>1</v>
      </c>
      <c r="AW78" s="50">
        <f t="shared" si="147"/>
        <v>1</v>
      </c>
      <c r="AX78" s="50">
        <f t="shared" si="148"/>
        <v>3</v>
      </c>
      <c r="AY78" s="50">
        <f t="shared" si="149"/>
        <v>100</v>
      </c>
      <c r="AZ78" s="36" t="s">
        <v>2080</v>
      </c>
      <c r="BA78" s="36" t="s">
        <v>2080</v>
      </c>
      <c r="BB78" s="36" t="s">
        <v>2080</v>
      </c>
      <c r="BC78" s="36" t="s">
        <v>2080</v>
      </c>
      <c r="BD78" s="37">
        <f t="shared" si="150"/>
        <v>0</v>
      </c>
      <c r="BE78" s="37">
        <f t="shared" si="151"/>
        <v>0</v>
      </c>
      <c r="BF78" s="37">
        <f t="shared" si="152"/>
        <v>0</v>
      </c>
      <c r="BG78" s="37">
        <f t="shared" si="153"/>
        <v>0</v>
      </c>
      <c r="BH78" s="37">
        <f t="shared" si="154"/>
        <v>0</v>
      </c>
      <c r="BI78" s="37">
        <f t="shared" si="155"/>
        <v>0</v>
      </c>
      <c r="BJ78" s="37">
        <f t="shared" si="156"/>
        <v>0</v>
      </c>
      <c r="BK78" s="37">
        <f t="shared" si="157"/>
        <v>0</v>
      </c>
      <c r="BL78" s="36" t="s">
        <v>2067</v>
      </c>
      <c r="BM78" s="36" t="s">
        <v>2067</v>
      </c>
      <c r="BN78" s="36" t="s">
        <v>2067</v>
      </c>
      <c r="BO78" s="37">
        <f t="shared" si="158"/>
        <v>0</v>
      </c>
      <c r="BP78" s="37">
        <f t="shared" si="159"/>
        <v>0</v>
      </c>
      <c r="BQ78" s="37">
        <f t="shared" si="160"/>
        <v>0</v>
      </c>
      <c r="BR78" s="37">
        <f t="shared" si="161"/>
        <v>0</v>
      </c>
      <c r="BS78" s="37">
        <f t="shared" si="162"/>
        <v>0</v>
      </c>
      <c r="BT78" s="37">
        <f t="shared" si="163"/>
        <v>0</v>
      </c>
      <c r="BU78" s="36" t="s">
        <v>2167</v>
      </c>
      <c r="BV78" s="36" t="s">
        <v>2167</v>
      </c>
      <c r="BW78" s="37">
        <f>IF(BU78="ALTO",3,IF(BU78="MEDIO",2,1))</f>
        <v>1</v>
      </c>
      <c r="BX78" s="37">
        <f>IF(BV78="ALTO",2.25,IF(BV78="MEDIO",1.5,0.75))</f>
        <v>0.75</v>
      </c>
      <c r="BY78" s="37">
        <f>IF(BW78=1,BX78,BW78)</f>
        <v>0.75</v>
      </c>
      <c r="BZ78" s="37">
        <f>IF(BY78&gt;=2,BY78,0)</f>
        <v>0</v>
      </c>
      <c r="CA78" s="36" t="s">
        <v>2167</v>
      </c>
      <c r="CB78" s="36" t="s">
        <v>2167</v>
      </c>
      <c r="CC78" s="37">
        <f>IF(CA78="ALTO",3,IF(CA78="MEDIO",2,1))</f>
        <v>1</v>
      </c>
      <c r="CD78" s="37">
        <f>IF(CB78="ALTO",2.25,IF(CB78="MEDIO",1.5,0.75))</f>
        <v>0.75</v>
      </c>
      <c r="CE78" s="37">
        <f>IF(CC78=1,CD78,CC78)</f>
        <v>0.75</v>
      </c>
      <c r="CF78" s="37">
        <f>IF(CE78&gt;=2,CE78,0)</f>
        <v>0</v>
      </c>
      <c r="CG78" s="36" t="s">
        <v>2167</v>
      </c>
      <c r="CH78" s="36" t="s">
        <v>2167</v>
      </c>
      <c r="CI78" s="37">
        <f t="shared" si="164"/>
        <v>1</v>
      </c>
      <c r="CJ78" s="37">
        <f t="shared" si="165"/>
        <v>0.75</v>
      </c>
      <c r="CK78" s="37">
        <f t="shared" si="166"/>
        <v>0.75</v>
      </c>
      <c r="CL78" s="37">
        <f t="shared" si="167"/>
        <v>0</v>
      </c>
      <c r="CM78" s="37">
        <f t="shared" si="168"/>
        <v>0</v>
      </c>
      <c r="CN78" s="36" t="s">
        <v>2166</v>
      </c>
      <c r="CO78" s="36" t="s">
        <v>2166</v>
      </c>
      <c r="CP78" s="36" t="s">
        <v>2166</v>
      </c>
      <c r="CQ78" s="37">
        <f t="shared" si="169"/>
        <v>1</v>
      </c>
      <c r="CR78" s="37">
        <f t="shared" si="170"/>
        <v>1</v>
      </c>
      <c r="CS78" s="37">
        <f t="shared" si="171"/>
        <v>1</v>
      </c>
      <c r="CT78" s="37">
        <f t="shared" si="172"/>
        <v>0</v>
      </c>
      <c r="CU78" s="37">
        <f t="shared" si="173"/>
        <v>0</v>
      </c>
      <c r="CV78" s="36"/>
      <c r="CW78" s="37">
        <f t="shared" si="174"/>
        <v>0</v>
      </c>
      <c r="CX78" s="37">
        <f t="shared" si="175"/>
        <v>0</v>
      </c>
      <c r="CY78" s="37">
        <f t="shared" si="176"/>
        <v>5</v>
      </c>
      <c r="CZ78" s="37">
        <f t="shared" si="177"/>
        <v>10</v>
      </c>
      <c r="DA78" s="37">
        <f t="shared" si="178"/>
        <v>4</v>
      </c>
      <c r="DB78" s="37">
        <f t="shared" si="179"/>
        <v>10</v>
      </c>
      <c r="DC78" s="37">
        <f t="shared" si="180"/>
        <v>0</v>
      </c>
      <c r="DD78" s="37">
        <f t="shared" si="181"/>
        <v>0</v>
      </c>
      <c r="DE78" s="37">
        <f t="shared" si="182"/>
        <v>0</v>
      </c>
      <c r="DF78" s="37">
        <f t="shared" si="185"/>
        <v>0</v>
      </c>
      <c r="DG78" s="37">
        <f t="shared" si="183"/>
        <v>0</v>
      </c>
      <c r="DH78" s="37">
        <f t="shared" si="184"/>
        <v>29</v>
      </c>
    </row>
    <row r="79" spans="1:112" ht="36.75" hidden="1" x14ac:dyDescent="0.25">
      <c r="A79" s="37">
        <v>75</v>
      </c>
      <c r="B79" s="156" t="s">
        <v>2241</v>
      </c>
      <c r="C79" s="161"/>
      <c r="D79" s="161"/>
      <c r="E79" s="161"/>
      <c r="F79" s="161"/>
      <c r="G79" s="161"/>
      <c r="H79" s="161"/>
      <c r="I79" s="161"/>
      <c r="J79" s="53" t="s">
        <v>1947</v>
      </c>
      <c r="K79" s="53" t="s">
        <v>1948</v>
      </c>
      <c r="L79" s="53" t="s">
        <v>1947</v>
      </c>
      <c r="M79" s="61">
        <f t="shared" si="124"/>
        <v>0</v>
      </c>
      <c r="N79" s="61">
        <f t="shared" si="125"/>
        <v>1</v>
      </c>
      <c r="O79" s="61">
        <f t="shared" si="126"/>
        <v>0</v>
      </c>
      <c r="P79" s="61">
        <f t="shared" si="127"/>
        <v>1</v>
      </c>
      <c r="Q79" s="53" t="s">
        <v>2165</v>
      </c>
      <c r="R79" s="53" t="s">
        <v>2165</v>
      </c>
      <c r="S79" s="53" t="s">
        <v>1947</v>
      </c>
      <c r="T79" s="61">
        <f t="shared" si="128"/>
        <v>0</v>
      </c>
      <c r="U79" s="61">
        <f t="shared" si="129"/>
        <v>0</v>
      </c>
      <c r="V79" s="61">
        <f t="shared" si="130"/>
        <v>0</v>
      </c>
      <c r="W79" s="61">
        <f t="shared" si="131"/>
        <v>0</v>
      </c>
      <c r="X79" s="61">
        <f t="shared" si="132"/>
        <v>16.666666666666668</v>
      </c>
      <c r="Y79" s="53" t="s">
        <v>1948</v>
      </c>
      <c r="Z79" s="53" t="s">
        <v>1948</v>
      </c>
      <c r="AA79" s="61">
        <f t="shared" si="133"/>
        <v>1</v>
      </c>
      <c r="AB79" s="61">
        <f t="shared" si="134"/>
        <v>1</v>
      </c>
      <c r="AC79" s="61">
        <f t="shared" si="135"/>
        <v>2</v>
      </c>
      <c r="AD79" s="61">
        <f t="shared" si="136"/>
        <v>100</v>
      </c>
      <c r="AE79" s="53" t="s">
        <v>1947</v>
      </c>
      <c r="AF79" s="53" t="s">
        <v>1948</v>
      </c>
      <c r="AG79" s="53" t="s">
        <v>1948</v>
      </c>
      <c r="AH79" s="53" t="s">
        <v>1947</v>
      </c>
      <c r="AI79" s="53" t="s">
        <v>1947</v>
      </c>
      <c r="AJ79" s="50">
        <f t="shared" si="137"/>
        <v>0</v>
      </c>
      <c r="AK79" s="50">
        <f t="shared" si="138"/>
        <v>1</v>
      </c>
      <c r="AL79" s="50">
        <f t="shared" si="139"/>
        <v>1</v>
      </c>
      <c r="AM79" s="50">
        <f t="shared" si="140"/>
        <v>0</v>
      </c>
      <c r="AN79" s="50">
        <f t="shared" si="141"/>
        <v>0</v>
      </c>
      <c r="AO79" s="50">
        <f t="shared" si="142"/>
        <v>2</v>
      </c>
      <c r="AP79" s="51">
        <f t="shared" si="143"/>
        <v>40</v>
      </c>
      <c r="AQ79" s="51">
        <f t="shared" si="144"/>
        <v>156.66666666666666</v>
      </c>
      <c r="AR79" s="53"/>
      <c r="AS79" s="53"/>
      <c r="AT79" s="53"/>
      <c r="AU79" s="50">
        <f t="shared" si="145"/>
        <v>0</v>
      </c>
      <c r="AV79" s="50">
        <f t="shared" si="146"/>
        <v>0</v>
      </c>
      <c r="AW79" s="50">
        <f t="shared" si="147"/>
        <v>0</v>
      </c>
      <c r="AX79" s="50">
        <f t="shared" si="148"/>
        <v>0</v>
      </c>
      <c r="AY79" s="50">
        <f t="shared" si="149"/>
        <v>0</v>
      </c>
      <c r="AZ79" s="36"/>
      <c r="BA79" s="36"/>
      <c r="BB79" s="36"/>
      <c r="BC79" s="36"/>
      <c r="BD79" s="37">
        <f t="shared" si="150"/>
        <v>0</v>
      </c>
      <c r="BE79" s="37">
        <f t="shared" si="151"/>
        <v>0</v>
      </c>
      <c r="BF79" s="37">
        <f t="shared" si="152"/>
        <v>0</v>
      </c>
      <c r="BG79" s="37">
        <f t="shared" si="153"/>
        <v>0</v>
      </c>
      <c r="BH79" s="37">
        <f t="shared" si="154"/>
        <v>0</v>
      </c>
      <c r="BI79" s="37">
        <f t="shared" si="155"/>
        <v>0</v>
      </c>
      <c r="BJ79" s="37">
        <f t="shared" si="156"/>
        <v>0</v>
      </c>
      <c r="BK79" s="37">
        <f t="shared" si="157"/>
        <v>0</v>
      </c>
      <c r="BL79" s="36"/>
      <c r="BM79" s="36"/>
      <c r="BN79" s="36"/>
      <c r="BO79" s="37">
        <f t="shared" si="158"/>
        <v>3</v>
      </c>
      <c r="BP79" s="37">
        <f t="shared" si="159"/>
        <v>4</v>
      </c>
      <c r="BQ79" s="37">
        <f t="shared" si="160"/>
        <v>4</v>
      </c>
      <c r="BR79" s="37">
        <f t="shared" si="161"/>
        <v>100</v>
      </c>
      <c r="BS79" s="37">
        <f t="shared" si="162"/>
        <v>100</v>
      </c>
      <c r="BT79" s="37">
        <f t="shared" si="163"/>
        <v>100</v>
      </c>
      <c r="BU79" s="36"/>
      <c r="BV79" s="36"/>
      <c r="BW79" s="37"/>
      <c r="BX79" s="37"/>
      <c r="BY79" s="37"/>
      <c r="BZ79" s="37"/>
      <c r="CA79" s="36"/>
      <c r="CB79" s="36"/>
      <c r="CC79" s="37"/>
      <c r="CD79" s="37"/>
      <c r="CE79" s="37"/>
      <c r="CF79" s="37"/>
      <c r="CG79" s="36"/>
      <c r="CH79" s="36"/>
      <c r="CI79" s="37">
        <f t="shared" si="164"/>
        <v>1</v>
      </c>
      <c r="CJ79" s="37">
        <f t="shared" si="165"/>
        <v>0.75</v>
      </c>
      <c r="CK79" s="37">
        <f t="shared" si="166"/>
        <v>0.75</v>
      </c>
      <c r="CL79" s="37">
        <f t="shared" si="167"/>
        <v>0</v>
      </c>
      <c r="CM79" s="37">
        <f t="shared" si="168"/>
        <v>0</v>
      </c>
      <c r="CN79" s="36" t="s">
        <v>2166</v>
      </c>
      <c r="CO79" s="36" t="s">
        <v>2166</v>
      </c>
      <c r="CP79" s="36" t="s">
        <v>2166</v>
      </c>
      <c r="CQ79" s="37">
        <f t="shared" si="169"/>
        <v>1</v>
      </c>
      <c r="CR79" s="37">
        <f t="shared" si="170"/>
        <v>1</v>
      </c>
      <c r="CS79" s="37">
        <f t="shared" si="171"/>
        <v>1</v>
      </c>
      <c r="CT79" s="37">
        <f t="shared" si="172"/>
        <v>0</v>
      </c>
      <c r="CU79" s="37">
        <f t="shared" si="173"/>
        <v>0</v>
      </c>
      <c r="CV79" s="36"/>
      <c r="CW79" s="37">
        <f t="shared" si="174"/>
        <v>0</v>
      </c>
      <c r="CX79" s="37">
        <f t="shared" si="175"/>
        <v>0</v>
      </c>
      <c r="CY79" s="37">
        <f t="shared" si="176"/>
        <v>1.666666666666667</v>
      </c>
      <c r="CZ79" s="37">
        <f t="shared" si="177"/>
        <v>10</v>
      </c>
      <c r="DA79" s="37">
        <f t="shared" si="178"/>
        <v>4</v>
      </c>
      <c r="DB79" s="37">
        <f t="shared" si="179"/>
        <v>0</v>
      </c>
      <c r="DC79" s="37">
        <f t="shared" si="180"/>
        <v>0</v>
      </c>
      <c r="DD79" s="37">
        <f t="shared" si="181"/>
        <v>10</v>
      </c>
      <c r="DE79" s="37">
        <f t="shared" si="182"/>
        <v>0</v>
      </c>
      <c r="DF79" s="37">
        <f t="shared" si="185"/>
        <v>0</v>
      </c>
      <c r="DG79" s="37">
        <f t="shared" si="183"/>
        <v>0</v>
      </c>
      <c r="DH79" s="37">
        <f t="shared" si="184"/>
        <v>25.666666666666668</v>
      </c>
    </row>
    <row r="80" spans="1:112" ht="24.75" hidden="1" x14ac:dyDescent="0.25">
      <c r="A80" s="37">
        <v>76</v>
      </c>
      <c r="B80" s="156" t="s">
        <v>2242</v>
      </c>
      <c r="C80" s="161"/>
      <c r="D80" s="161"/>
      <c r="E80" s="161"/>
      <c r="F80" s="161"/>
      <c r="G80" s="161"/>
      <c r="H80" s="161"/>
      <c r="I80" s="161"/>
      <c r="J80" s="53" t="s">
        <v>1947</v>
      </c>
      <c r="K80" s="53" t="s">
        <v>1948</v>
      </c>
      <c r="L80" s="53" t="s">
        <v>1947</v>
      </c>
      <c r="M80" s="61">
        <f t="shared" si="124"/>
        <v>0</v>
      </c>
      <c r="N80" s="61">
        <f t="shared" si="125"/>
        <v>1</v>
      </c>
      <c r="O80" s="61">
        <f t="shared" si="126"/>
        <v>0</v>
      </c>
      <c r="P80" s="61">
        <f t="shared" si="127"/>
        <v>1</v>
      </c>
      <c r="Q80" s="53" t="s">
        <v>2165</v>
      </c>
      <c r="R80" s="53" t="s">
        <v>2165</v>
      </c>
      <c r="S80" s="53" t="s">
        <v>1947</v>
      </c>
      <c r="T80" s="61">
        <f t="shared" si="128"/>
        <v>0</v>
      </c>
      <c r="U80" s="61">
        <f t="shared" si="129"/>
        <v>0</v>
      </c>
      <c r="V80" s="61">
        <f t="shared" si="130"/>
        <v>0</v>
      </c>
      <c r="W80" s="61">
        <f t="shared" si="131"/>
        <v>0</v>
      </c>
      <c r="X80" s="61">
        <f t="shared" si="132"/>
        <v>16.666666666666668</v>
      </c>
      <c r="Y80" s="53" t="s">
        <v>1948</v>
      </c>
      <c r="Z80" s="53" t="s">
        <v>1948</v>
      </c>
      <c r="AA80" s="61">
        <f t="shared" si="133"/>
        <v>1</v>
      </c>
      <c r="AB80" s="61">
        <f t="shared" si="134"/>
        <v>1</v>
      </c>
      <c r="AC80" s="61">
        <f t="shared" si="135"/>
        <v>2</v>
      </c>
      <c r="AD80" s="61">
        <f t="shared" si="136"/>
        <v>100</v>
      </c>
      <c r="AE80" s="53" t="s">
        <v>1947</v>
      </c>
      <c r="AF80" s="53" t="s">
        <v>1948</v>
      </c>
      <c r="AG80" s="53" t="s">
        <v>1947</v>
      </c>
      <c r="AH80" s="53" t="s">
        <v>1947</v>
      </c>
      <c r="AI80" s="53" t="s">
        <v>1947</v>
      </c>
      <c r="AJ80" s="50">
        <f t="shared" si="137"/>
        <v>0</v>
      </c>
      <c r="AK80" s="50">
        <f t="shared" si="138"/>
        <v>1</v>
      </c>
      <c r="AL80" s="50">
        <f t="shared" si="139"/>
        <v>0</v>
      </c>
      <c r="AM80" s="50">
        <f t="shared" si="140"/>
        <v>0</v>
      </c>
      <c r="AN80" s="50">
        <f t="shared" si="141"/>
        <v>0</v>
      </c>
      <c r="AO80" s="50">
        <f t="shared" si="142"/>
        <v>1</v>
      </c>
      <c r="AP80" s="51">
        <f t="shared" si="143"/>
        <v>20</v>
      </c>
      <c r="AQ80" s="51">
        <f t="shared" si="144"/>
        <v>136.66666666666666</v>
      </c>
      <c r="AR80" s="53"/>
      <c r="AS80" s="53"/>
      <c r="AT80" s="53"/>
      <c r="AU80" s="50">
        <f t="shared" si="145"/>
        <v>0</v>
      </c>
      <c r="AV80" s="50">
        <f t="shared" si="146"/>
        <v>0</v>
      </c>
      <c r="AW80" s="50">
        <f t="shared" si="147"/>
        <v>0</v>
      </c>
      <c r="AX80" s="50">
        <f t="shared" si="148"/>
        <v>0</v>
      </c>
      <c r="AY80" s="50">
        <f t="shared" si="149"/>
        <v>0</v>
      </c>
      <c r="AZ80" s="36"/>
      <c r="BA80" s="36"/>
      <c r="BB80" s="36"/>
      <c r="BC80" s="36"/>
      <c r="BD80" s="37">
        <f t="shared" si="150"/>
        <v>0</v>
      </c>
      <c r="BE80" s="37">
        <f t="shared" si="151"/>
        <v>0</v>
      </c>
      <c r="BF80" s="37">
        <f t="shared" si="152"/>
        <v>0</v>
      </c>
      <c r="BG80" s="37">
        <f t="shared" si="153"/>
        <v>0</v>
      </c>
      <c r="BH80" s="37">
        <f t="shared" si="154"/>
        <v>0</v>
      </c>
      <c r="BI80" s="37">
        <f t="shared" si="155"/>
        <v>0</v>
      </c>
      <c r="BJ80" s="37">
        <f t="shared" si="156"/>
        <v>0</v>
      </c>
      <c r="BK80" s="37">
        <f t="shared" si="157"/>
        <v>0</v>
      </c>
      <c r="BL80" s="36"/>
      <c r="BM80" s="36"/>
      <c r="BN80" s="36"/>
      <c r="BO80" s="37">
        <f t="shared" si="158"/>
        <v>3</v>
      </c>
      <c r="BP80" s="37">
        <f t="shared" si="159"/>
        <v>4</v>
      </c>
      <c r="BQ80" s="37">
        <f t="shared" si="160"/>
        <v>4</v>
      </c>
      <c r="BR80" s="37">
        <f t="shared" si="161"/>
        <v>100</v>
      </c>
      <c r="BS80" s="37">
        <f t="shared" si="162"/>
        <v>100</v>
      </c>
      <c r="BT80" s="37">
        <f t="shared" si="163"/>
        <v>100</v>
      </c>
      <c r="BU80" s="36"/>
      <c r="BV80" s="36"/>
      <c r="BW80" s="37"/>
      <c r="BX80" s="37"/>
      <c r="BY80" s="37"/>
      <c r="BZ80" s="37"/>
      <c r="CA80" s="36"/>
      <c r="CB80" s="36"/>
      <c r="CC80" s="37"/>
      <c r="CD80" s="37"/>
      <c r="CE80" s="37"/>
      <c r="CF80" s="37"/>
      <c r="CG80" s="36"/>
      <c r="CH80" s="36"/>
      <c r="CI80" s="37">
        <f t="shared" si="164"/>
        <v>1</v>
      </c>
      <c r="CJ80" s="37">
        <f t="shared" si="165"/>
        <v>0.75</v>
      </c>
      <c r="CK80" s="37">
        <f t="shared" si="166"/>
        <v>0.75</v>
      </c>
      <c r="CL80" s="37">
        <f t="shared" si="167"/>
        <v>0</v>
      </c>
      <c r="CM80" s="37">
        <f t="shared" si="168"/>
        <v>0</v>
      </c>
      <c r="CN80" s="36" t="s">
        <v>2166</v>
      </c>
      <c r="CO80" s="36" t="s">
        <v>2166</v>
      </c>
      <c r="CP80" s="36" t="s">
        <v>2166</v>
      </c>
      <c r="CQ80" s="37">
        <f t="shared" si="169"/>
        <v>1</v>
      </c>
      <c r="CR80" s="37">
        <f t="shared" si="170"/>
        <v>1</v>
      </c>
      <c r="CS80" s="37">
        <f t="shared" si="171"/>
        <v>1</v>
      </c>
      <c r="CT80" s="37">
        <f t="shared" si="172"/>
        <v>0</v>
      </c>
      <c r="CU80" s="37">
        <f t="shared" si="173"/>
        <v>0</v>
      </c>
      <c r="CV80" s="36"/>
      <c r="CW80" s="37">
        <f t="shared" si="174"/>
        <v>0</v>
      </c>
      <c r="CX80" s="37">
        <f t="shared" si="175"/>
        <v>0</v>
      </c>
      <c r="CY80" s="37">
        <f t="shared" si="176"/>
        <v>1.666666666666667</v>
      </c>
      <c r="CZ80" s="37">
        <f t="shared" si="177"/>
        <v>10</v>
      </c>
      <c r="DA80" s="37">
        <f t="shared" si="178"/>
        <v>2</v>
      </c>
      <c r="DB80" s="37">
        <f t="shared" si="179"/>
        <v>0</v>
      </c>
      <c r="DC80" s="37">
        <f t="shared" si="180"/>
        <v>0</v>
      </c>
      <c r="DD80" s="37">
        <f t="shared" si="181"/>
        <v>10</v>
      </c>
      <c r="DE80" s="37">
        <f t="shared" si="182"/>
        <v>0</v>
      </c>
      <c r="DF80" s="37">
        <f t="shared" si="185"/>
        <v>0</v>
      </c>
      <c r="DG80" s="37">
        <f t="shared" si="183"/>
        <v>0</v>
      </c>
      <c r="DH80" s="37">
        <f t="shared" si="184"/>
        <v>23.666666666666668</v>
      </c>
    </row>
    <row r="81" spans="1:112" ht="24.75" hidden="1" x14ac:dyDescent="0.25">
      <c r="A81" s="37">
        <v>77</v>
      </c>
      <c r="B81" s="156" t="s">
        <v>2243</v>
      </c>
      <c r="C81" s="161"/>
      <c r="D81" s="161"/>
      <c r="E81" s="161"/>
      <c r="F81" s="161"/>
      <c r="G81" s="161"/>
      <c r="H81" s="161"/>
      <c r="I81" s="161"/>
      <c r="J81" s="53" t="s">
        <v>1947</v>
      </c>
      <c r="K81" s="53" t="s">
        <v>1948</v>
      </c>
      <c r="L81" s="53" t="s">
        <v>1947</v>
      </c>
      <c r="M81" s="61">
        <f t="shared" si="124"/>
        <v>0</v>
      </c>
      <c r="N81" s="61">
        <f t="shared" si="125"/>
        <v>1</v>
      </c>
      <c r="O81" s="61">
        <f t="shared" si="126"/>
        <v>0</v>
      </c>
      <c r="P81" s="61">
        <f t="shared" si="127"/>
        <v>1</v>
      </c>
      <c r="Q81" s="53" t="s">
        <v>2165</v>
      </c>
      <c r="R81" s="53" t="s">
        <v>2165</v>
      </c>
      <c r="S81" s="53" t="s">
        <v>1947</v>
      </c>
      <c r="T81" s="61">
        <f t="shared" si="128"/>
        <v>0</v>
      </c>
      <c r="U81" s="61">
        <f t="shared" si="129"/>
        <v>0</v>
      </c>
      <c r="V81" s="61">
        <f t="shared" si="130"/>
        <v>0</v>
      </c>
      <c r="W81" s="61">
        <f t="shared" si="131"/>
        <v>0</v>
      </c>
      <c r="X81" s="61">
        <f t="shared" si="132"/>
        <v>16.666666666666668</v>
      </c>
      <c r="Y81" s="53" t="s">
        <v>1948</v>
      </c>
      <c r="Z81" s="53" t="s">
        <v>1948</v>
      </c>
      <c r="AA81" s="61">
        <f t="shared" si="133"/>
        <v>1</v>
      </c>
      <c r="AB81" s="61">
        <f t="shared" si="134"/>
        <v>1</v>
      </c>
      <c r="AC81" s="61">
        <f t="shared" si="135"/>
        <v>2</v>
      </c>
      <c r="AD81" s="61">
        <f t="shared" si="136"/>
        <v>100</v>
      </c>
      <c r="AE81" s="53" t="s">
        <v>1947</v>
      </c>
      <c r="AF81" s="53" t="s">
        <v>1948</v>
      </c>
      <c r="AG81" s="53" t="s">
        <v>1947</v>
      </c>
      <c r="AH81" s="53" t="s">
        <v>1947</v>
      </c>
      <c r="AI81" s="53" t="s">
        <v>1947</v>
      </c>
      <c r="AJ81" s="50">
        <f t="shared" si="137"/>
        <v>0</v>
      </c>
      <c r="AK81" s="50">
        <f t="shared" si="138"/>
        <v>1</v>
      </c>
      <c r="AL81" s="50">
        <f t="shared" si="139"/>
        <v>0</v>
      </c>
      <c r="AM81" s="50">
        <f t="shared" si="140"/>
        <v>0</v>
      </c>
      <c r="AN81" s="50">
        <f t="shared" si="141"/>
        <v>0</v>
      </c>
      <c r="AO81" s="50">
        <f t="shared" si="142"/>
        <v>1</v>
      </c>
      <c r="AP81" s="51">
        <f t="shared" si="143"/>
        <v>20</v>
      </c>
      <c r="AQ81" s="51">
        <f t="shared" si="144"/>
        <v>136.66666666666666</v>
      </c>
      <c r="AR81" s="53"/>
      <c r="AS81" s="53"/>
      <c r="AT81" s="53"/>
      <c r="AU81" s="50">
        <f t="shared" si="145"/>
        <v>0</v>
      </c>
      <c r="AV81" s="50">
        <f t="shared" si="146"/>
        <v>0</v>
      </c>
      <c r="AW81" s="50">
        <f t="shared" si="147"/>
        <v>0</v>
      </c>
      <c r="AX81" s="50">
        <f t="shared" si="148"/>
        <v>0</v>
      </c>
      <c r="AY81" s="50">
        <f t="shared" si="149"/>
        <v>0</v>
      </c>
      <c r="AZ81" s="36"/>
      <c r="BA81" s="36"/>
      <c r="BB81" s="36"/>
      <c r="BC81" s="36"/>
      <c r="BD81" s="37">
        <f t="shared" si="150"/>
        <v>0</v>
      </c>
      <c r="BE81" s="37">
        <f t="shared" si="151"/>
        <v>0</v>
      </c>
      <c r="BF81" s="37">
        <f t="shared" si="152"/>
        <v>0</v>
      </c>
      <c r="BG81" s="37">
        <f t="shared" si="153"/>
        <v>0</v>
      </c>
      <c r="BH81" s="37">
        <f t="shared" si="154"/>
        <v>0</v>
      </c>
      <c r="BI81" s="37">
        <f t="shared" si="155"/>
        <v>0</v>
      </c>
      <c r="BJ81" s="37">
        <f t="shared" si="156"/>
        <v>0</v>
      </c>
      <c r="BK81" s="37">
        <f t="shared" si="157"/>
        <v>0</v>
      </c>
      <c r="BL81" s="36"/>
      <c r="BM81" s="36"/>
      <c r="BN81" s="36"/>
      <c r="BO81" s="37">
        <f t="shared" si="158"/>
        <v>3</v>
      </c>
      <c r="BP81" s="37">
        <f t="shared" si="159"/>
        <v>4</v>
      </c>
      <c r="BQ81" s="37">
        <f t="shared" si="160"/>
        <v>4</v>
      </c>
      <c r="BR81" s="37">
        <f t="shared" si="161"/>
        <v>100</v>
      </c>
      <c r="BS81" s="37">
        <f t="shared" si="162"/>
        <v>100</v>
      </c>
      <c r="BT81" s="37">
        <f t="shared" si="163"/>
        <v>100</v>
      </c>
      <c r="BU81" s="36"/>
      <c r="BV81" s="36"/>
      <c r="BW81" s="37"/>
      <c r="BX81" s="37"/>
      <c r="BY81" s="37"/>
      <c r="BZ81" s="37"/>
      <c r="CA81" s="36"/>
      <c r="CB81" s="36"/>
      <c r="CC81" s="37"/>
      <c r="CD81" s="37"/>
      <c r="CE81" s="37"/>
      <c r="CF81" s="37"/>
      <c r="CG81" s="36"/>
      <c r="CH81" s="36"/>
      <c r="CI81" s="37">
        <f t="shared" si="164"/>
        <v>1</v>
      </c>
      <c r="CJ81" s="37">
        <f t="shared" si="165"/>
        <v>0.75</v>
      </c>
      <c r="CK81" s="37">
        <f t="shared" si="166"/>
        <v>0.75</v>
      </c>
      <c r="CL81" s="37">
        <f t="shared" si="167"/>
        <v>0</v>
      </c>
      <c r="CM81" s="37">
        <f t="shared" si="168"/>
        <v>0</v>
      </c>
      <c r="CN81" s="36" t="s">
        <v>2166</v>
      </c>
      <c r="CO81" s="36" t="s">
        <v>2166</v>
      </c>
      <c r="CP81" s="36" t="s">
        <v>2166</v>
      </c>
      <c r="CQ81" s="37">
        <f t="shared" si="169"/>
        <v>1</v>
      </c>
      <c r="CR81" s="37">
        <f t="shared" si="170"/>
        <v>1</v>
      </c>
      <c r="CS81" s="37">
        <f t="shared" si="171"/>
        <v>1</v>
      </c>
      <c r="CT81" s="37">
        <f t="shared" si="172"/>
        <v>0</v>
      </c>
      <c r="CU81" s="37">
        <f t="shared" si="173"/>
        <v>0</v>
      </c>
      <c r="CV81" s="36"/>
      <c r="CW81" s="37">
        <f t="shared" si="174"/>
        <v>0</v>
      </c>
      <c r="CX81" s="37">
        <f t="shared" si="175"/>
        <v>0</v>
      </c>
      <c r="CY81" s="37">
        <f t="shared" si="176"/>
        <v>1.666666666666667</v>
      </c>
      <c r="CZ81" s="37">
        <f t="shared" si="177"/>
        <v>10</v>
      </c>
      <c r="DA81" s="37">
        <f t="shared" si="178"/>
        <v>2</v>
      </c>
      <c r="DB81" s="37">
        <f t="shared" si="179"/>
        <v>0</v>
      </c>
      <c r="DC81" s="37">
        <f t="shared" si="180"/>
        <v>0</v>
      </c>
      <c r="DD81" s="37">
        <f t="shared" si="181"/>
        <v>10</v>
      </c>
      <c r="DE81" s="37">
        <f t="shared" si="182"/>
        <v>0</v>
      </c>
      <c r="DF81" s="37">
        <f t="shared" si="185"/>
        <v>0</v>
      </c>
      <c r="DG81" s="37">
        <f t="shared" si="183"/>
        <v>0</v>
      </c>
      <c r="DH81" s="37">
        <f t="shared" si="184"/>
        <v>23.666666666666668</v>
      </c>
    </row>
    <row r="82" spans="1:112" ht="49.5" hidden="1" customHeight="1" x14ac:dyDescent="0.25">
      <c r="A82" s="37">
        <v>78</v>
      </c>
      <c r="B82" s="156" t="s">
        <v>2244</v>
      </c>
      <c r="C82" s="158" t="s">
        <v>2290</v>
      </c>
      <c r="D82" s="156"/>
      <c r="E82" s="156"/>
      <c r="F82" s="156"/>
      <c r="G82" s="156"/>
      <c r="H82" s="156"/>
      <c r="I82" s="156"/>
      <c r="J82" s="53" t="s">
        <v>1948</v>
      </c>
      <c r="K82" s="53" t="s">
        <v>1948</v>
      </c>
      <c r="L82" s="53" t="s">
        <v>1947</v>
      </c>
      <c r="M82" s="61">
        <f t="shared" si="124"/>
        <v>1</v>
      </c>
      <c r="N82" s="61">
        <f t="shared" si="125"/>
        <v>1</v>
      </c>
      <c r="O82" s="61">
        <f t="shared" si="126"/>
        <v>0</v>
      </c>
      <c r="P82" s="61">
        <f t="shared" si="127"/>
        <v>2</v>
      </c>
      <c r="Q82" s="53" t="s">
        <v>2165</v>
      </c>
      <c r="R82" s="53" t="s">
        <v>2165</v>
      </c>
      <c r="S82" s="53" t="s">
        <v>1948</v>
      </c>
      <c r="T82" s="61">
        <f t="shared" si="128"/>
        <v>0</v>
      </c>
      <c r="U82" s="61">
        <f t="shared" si="129"/>
        <v>0</v>
      </c>
      <c r="V82" s="61">
        <f t="shared" si="130"/>
        <v>1</v>
      </c>
      <c r="W82" s="61">
        <f t="shared" si="131"/>
        <v>1</v>
      </c>
      <c r="X82" s="61">
        <f t="shared" si="132"/>
        <v>50</v>
      </c>
      <c r="Y82" s="53" t="s">
        <v>1948</v>
      </c>
      <c r="Z82" s="53" t="s">
        <v>1948</v>
      </c>
      <c r="AA82" s="61">
        <f t="shared" si="133"/>
        <v>1</v>
      </c>
      <c r="AB82" s="61">
        <f t="shared" si="134"/>
        <v>1</v>
      </c>
      <c r="AC82" s="61">
        <f t="shared" si="135"/>
        <v>2</v>
      </c>
      <c r="AD82" s="61">
        <f t="shared" si="136"/>
        <v>100</v>
      </c>
      <c r="AE82" s="53" t="s">
        <v>1947</v>
      </c>
      <c r="AF82" s="53" t="s">
        <v>1947</v>
      </c>
      <c r="AG82" s="53" t="s">
        <v>1947</v>
      </c>
      <c r="AH82" s="53" t="s">
        <v>1947</v>
      </c>
      <c r="AI82" s="53" t="s">
        <v>1947</v>
      </c>
      <c r="AJ82" s="50">
        <f t="shared" si="137"/>
        <v>0</v>
      </c>
      <c r="AK82" s="50">
        <f t="shared" si="138"/>
        <v>0</v>
      </c>
      <c r="AL82" s="50">
        <f t="shared" si="139"/>
        <v>0</v>
      </c>
      <c r="AM82" s="50">
        <f t="shared" si="140"/>
        <v>0</v>
      </c>
      <c r="AN82" s="50">
        <f t="shared" si="141"/>
        <v>0</v>
      </c>
      <c r="AO82" s="50">
        <f t="shared" si="142"/>
        <v>0</v>
      </c>
      <c r="AP82" s="51">
        <f t="shared" si="143"/>
        <v>0</v>
      </c>
      <c r="AQ82" s="51">
        <f t="shared" si="144"/>
        <v>150</v>
      </c>
      <c r="AR82" s="53"/>
      <c r="AS82" s="53"/>
      <c r="AT82" s="53"/>
      <c r="AU82" s="50">
        <f t="shared" si="145"/>
        <v>0</v>
      </c>
      <c r="AV82" s="50">
        <f t="shared" si="146"/>
        <v>0</v>
      </c>
      <c r="AW82" s="50">
        <f t="shared" si="147"/>
        <v>0</v>
      </c>
      <c r="AX82" s="50">
        <f t="shared" si="148"/>
        <v>0</v>
      </c>
      <c r="AY82" s="50">
        <f t="shared" si="149"/>
        <v>0</v>
      </c>
      <c r="AZ82" s="36"/>
      <c r="BA82" s="36"/>
      <c r="BB82" s="36"/>
      <c r="BC82" s="36"/>
      <c r="BD82" s="37">
        <f t="shared" si="150"/>
        <v>0</v>
      </c>
      <c r="BE82" s="37">
        <f t="shared" si="151"/>
        <v>0</v>
      </c>
      <c r="BF82" s="37">
        <f t="shared" si="152"/>
        <v>0</v>
      </c>
      <c r="BG82" s="37">
        <f t="shared" si="153"/>
        <v>0</v>
      </c>
      <c r="BH82" s="37">
        <f t="shared" si="154"/>
        <v>0</v>
      </c>
      <c r="BI82" s="37">
        <f t="shared" si="155"/>
        <v>0</v>
      </c>
      <c r="BJ82" s="37">
        <f t="shared" si="156"/>
        <v>0</v>
      </c>
      <c r="BK82" s="37">
        <f t="shared" si="157"/>
        <v>0</v>
      </c>
      <c r="BL82" s="36"/>
      <c r="BM82" s="36"/>
      <c r="BN82" s="36"/>
      <c r="BO82" s="37">
        <f t="shared" si="158"/>
        <v>3</v>
      </c>
      <c r="BP82" s="37">
        <f t="shared" si="159"/>
        <v>4</v>
      </c>
      <c r="BQ82" s="37">
        <f t="shared" si="160"/>
        <v>4</v>
      </c>
      <c r="BR82" s="37">
        <f t="shared" si="161"/>
        <v>100</v>
      </c>
      <c r="BS82" s="37">
        <f t="shared" si="162"/>
        <v>100</v>
      </c>
      <c r="BT82" s="37">
        <f t="shared" si="163"/>
        <v>100</v>
      </c>
      <c r="BU82" s="36"/>
      <c r="BV82" s="36"/>
      <c r="BW82" s="37"/>
      <c r="BX82" s="37"/>
      <c r="BY82" s="37"/>
      <c r="BZ82" s="37"/>
      <c r="CA82" s="36"/>
      <c r="CB82" s="36"/>
      <c r="CC82" s="37"/>
      <c r="CD82" s="37"/>
      <c r="CE82" s="37"/>
      <c r="CF82" s="37"/>
      <c r="CG82" s="36"/>
      <c r="CH82" s="36"/>
      <c r="CI82" s="37">
        <f t="shared" si="164"/>
        <v>1</v>
      </c>
      <c r="CJ82" s="37">
        <f t="shared" si="165"/>
        <v>0.75</v>
      </c>
      <c r="CK82" s="37">
        <f t="shared" si="166"/>
        <v>0.75</v>
      </c>
      <c r="CL82" s="37">
        <f t="shared" si="167"/>
        <v>0</v>
      </c>
      <c r="CM82" s="37">
        <f t="shared" si="168"/>
        <v>0</v>
      </c>
      <c r="CN82" s="36" t="s">
        <v>2166</v>
      </c>
      <c r="CO82" s="36" t="s">
        <v>2166</v>
      </c>
      <c r="CP82" s="36" t="s">
        <v>2166</v>
      </c>
      <c r="CQ82" s="37">
        <f t="shared" si="169"/>
        <v>1</v>
      </c>
      <c r="CR82" s="37">
        <f t="shared" si="170"/>
        <v>1</v>
      </c>
      <c r="CS82" s="37">
        <f t="shared" si="171"/>
        <v>1</v>
      </c>
      <c r="CT82" s="37">
        <f t="shared" si="172"/>
        <v>0</v>
      </c>
      <c r="CU82" s="37">
        <f t="shared" si="173"/>
        <v>0</v>
      </c>
      <c r="CV82" s="36"/>
      <c r="CW82" s="37">
        <f t="shared" si="174"/>
        <v>0</v>
      </c>
      <c r="CX82" s="37">
        <f t="shared" si="175"/>
        <v>0</v>
      </c>
      <c r="CY82" s="37">
        <f t="shared" si="176"/>
        <v>5</v>
      </c>
      <c r="CZ82" s="37">
        <f t="shared" si="177"/>
        <v>10</v>
      </c>
      <c r="DA82" s="37">
        <f t="shared" si="178"/>
        <v>0</v>
      </c>
      <c r="DB82" s="37">
        <f t="shared" si="179"/>
        <v>0</v>
      </c>
      <c r="DC82" s="37">
        <f t="shared" si="180"/>
        <v>0</v>
      </c>
      <c r="DD82" s="37">
        <f t="shared" si="181"/>
        <v>10</v>
      </c>
      <c r="DE82" s="37">
        <f t="shared" si="182"/>
        <v>0</v>
      </c>
      <c r="DF82" s="37">
        <f t="shared" si="185"/>
        <v>0</v>
      </c>
      <c r="DG82" s="37">
        <f t="shared" si="183"/>
        <v>0</v>
      </c>
      <c r="DH82" s="37">
        <f t="shared" si="184"/>
        <v>25</v>
      </c>
    </row>
    <row r="83" spans="1:112" ht="150.75" customHeight="1" x14ac:dyDescent="0.25">
      <c r="A83" s="159">
        <v>79</v>
      </c>
      <c r="B83" s="156" t="s">
        <v>2245</v>
      </c>
      <c r="C83" s="157" t="s">
        <v>2291</v>
      </c>
      <c r="D83" s="155" t="s">
        <v>2292</v>
      </c>
      <c r="E83" s="155" t="s">
        <v>2283</v>
      </c>
      <c r="F83" s="155" t="s">
        <v>2293</v>
      </c>
      <c r="G83" s="155"/>
      <c r="H83" s="155"/>
      <c r="I83" s="155"/>
      <c r="J83" s="53" t="s">
        <v>1948</v>
      </c>
      <c r="K83" s="53" t="s">
        <v>1948</v>
      </c>
      <c r="L83" s="53" t="s">
        <v>1947</v>
      </c>
      <c r="M83" s="61">
        <f t="shared" si="124"/>
        <v>1</v>
      </c>
      <c r="N83" s="61">
        <f t="shared" si="125"/>
        <v>1</v>
      </c>
      <c r="O83" s="61">
        <f t="shared" si="126"/>
        <v>0</v>
      </c>
      <c r="P83" s="61">
        <f t="shared" si="127"/>
        <v>2</v>
      </c>
      <c r="Q83" s="53" t="s">
        <v>2165</v>
      </c>
      <c r="R83" s="53" t="s">
        <v>2165</v>
      </c>
      <c r="S83" s="53" t="s">
        <v>1948</v>
      </c>
      <c r="T83" s="61">
        <f t="shared" si="128"/>
        <v>0</v>
      </c>
      <c r="U83" s="61">
        <f t="shared" si="129"/>
        <v>0</v>
      </c>
      <c r="V83" s="61">
        <f t="shared" si="130"/>
        <v>1</v>
      </c>
      <c r="W83" s="61">
        <f t="shared" si="131"/>
        <v>1</v>
      </c>
      <c r="X83" s="61">
        <f t="shared" si="132"/>
        <v>50</v>
      </c>
      <c r="Y83" s="53" t="s">
        <v>1948</v>
      </c>
      <c r="Z83" s="53" t="s">
        <v>1948</v>
      </c>
      <c r="AA83" s="61">
        <f t="shared" si="133"/>
        <v>1</v>
      </c>
      <c r="AB83" s="61">
        <f t="shared" si="134"/>
        <v>1</v>
      </c>
      <c r="AC83" s="61">
        <f t="shared" si="135"/>
        <v>2</v>
      </c>
      <c r="AD83" s="61">
        <f t="shared" si="136"/>
        <v>100</v>
      </c>
      <c r="AE83" s="53" t="s">
        <v>1948</v>
      </c>
      <c r="AF83" s="53" t="s">
        <v>1947</v>
      </c>
      <c r="AG83" s="53" t="s">
        <v>1947</v>
      </c>
      <c r="AH83" s="53" t="s">
        <v>1947</v>
      </c>
      <c r="AI83" s="53" t="s">
        <v>1948</v>
      </c>
      <c r="AJ83" s="50">
        <f t="shared" si="137"/>
        <v>1</v>
      </c>
      <c r="AK83" s="50">
        <f t="shared" si="138"/>
        <v>0</v>
      </c>
      <c r="AL83" s="50">
        <f t="shared" si="139"/>
        <v>0</v>
      </c>
      <c r="AM83" s="50">
        <f t="shared" si="140"/>
        <v>0</v>
      </c>
      <c r="AN83" s="50">
        <f t="shared" si="141"/>
        <v>1</v>
      </c>
      <c r="AO83" s="50">
        <f t="shared" si="142"/>
        <v>2</v>
      </c>
      <c r="AP83" s="51">
        <f t="shared" si="143"/>
        <v>40</v>
      </c>
      <c r="AQ83" s="51">
        <f t="shared" si="144"/>
        <v>190</v>
      </c>
      <c r="AR83" s="53" t="s">
        <v>1948</v>
      </c>
      <c r="AS83" s="53" t="s">
        <v>1948</v>
      </c>
      <c r="AT83" s="53" t="s">
        <v>1948</v>
      </c>
      <c r="AU83" s="50">
        <f t="shared" si="145"/>
        <v>1</v>
      </c>
      <c r="AV83" s="50">
        <f t="shared" si="146"/>
        <v>1</v>
      </c>
      <c r="AW83" s="50">
        <f t="shared" si="147"/>
        <v>1</v>
      </c>
      <c r="AX83" s="50">
        <f t="shared" si="148"/>
        <v>3</v>
      </c>
      <c r="AY83" s="50">
        <f t="shared" si="149"/>
        <v>100</v>
      </c>
      <c r="AZ83" s="36" t="s">
        <v>2284</v>
      </c>
      <c r="BA83" s="36" t="s">
        <v>2067</v>
      </c>
      <c r="BB83" s="36" t="s">
        <v>2067</v>
      </c>
      <c r="BC83" s="36" t="s">
        <v>2284</v>
      </c>
      <c r="BD83" s="37">
        <f t="shared" si="150"/>
        <v>2</v>
      </c>
      <c r="BE83" s="37">
        <f t="shared" si="151"/>
        <v>100</v>
      </c>
      <c r="BF83" s="37">
        <f t="shared" si="152"/>
        <v>100</v>
      </c>
      <c r="BG83" s="37">
        <f t="shared" si="153"/>
        <v>50</v>
      </c>
      <c r="BH83" s="37">
        <f t="shared" si="154"/>
        <v>66.666666666666657</v>
      </c>
      <c r="BI83" s="37">
        <f t="shared" si="155"/>
        <v>83.333333333333343</v>
      </c>
      <c r="BJ83" s="37">
        <f t="shared" si="156"/>
        <v>150</v>
      </c>
      <c r="BK83" s="37">
        <f t="shared" si="157"/>
        <v>75</v>
      </c>
      <c r="BL83" s="36" t="s">
        <v>2067</v>
      </c>
      <c r="BM83" s="36" t="s">
        <v>2167</v>
      </c>
      <c r="BN83" s="36" t="s">
        <v>2167</v>
      </c>
      <c r="BO83" s="37">
        <f t="shared" si="158"/>
        <v>0</v>
      </c>
      <c r="BP83" s="37">
        <f t="shared" si="159"/>
        <v>3</v>
      </c>
      <c r="BQ83" s="37">
        <f t="shared" si="160"/>
        <v>3</v>
      </c>
      <c r="BR83" s="37">
        <f t="shared" si="161"/>
        <v>0</v>
      </c>
      <c r="BS83" s="37">
        <f t="shared" si="162"/>
        <v>75</v>
      </c>
      <c r="BT83" s="37">
        <f t="shared" si="163"/>
        <v>37.5</v>
      </c>
      <c r="BU83" s="36" t="s">
        <v>2167</v>
      </c>
      <c r="BV83" s="36" t="s">
        <v>2067</v>
      </c>
      <c r="BW83" s="37">
        <f>IF(BU83="ALTO",3,IF(BU83="MEDIO",2,1))</f>
        <v>1</v>
      </c>
      <c r="BX83" s="37">
        <f>IF(BV83="ALTO",2.25,IF(BV83="MEDIO",1.5,0.75))</f>
        <v>2.25</v>
      </c>
      <c r="BY83" s="37">
        <f>IF(BW83=1,BX83,BW83)</f>
        <v>2.25</v>
      </c>
      <c r="BZ83" s="37">
        <f>IF(BY83&gt;=2,BY83,0)</f>
        <v>2.25</v>
      </c>
      <c r="CA83" s="36" t="s">
        <v>2167</v>
      </c>
      <c r="CB83" s="36" t="s">
        <v>2067</v>
      </c>
      <c r="CC83" s="37">
        <f>IF(CA83="ALTO",3,IF(CA83="MEDIO",2,1))</f>
        <v>1</v>
      </c>
      <c r="CD83" s="37">
        <f>IF(CB83="ALTO",2.25,IF(CB83="MEDIO",1.5,0.75))</f>
        <v>2.25</v>
      </c>
      <c r="CE83" s="37">
        <f>IF(CC83=1,CD83,CC83)</f>
        <v>2.25</v>
      </c>
      <c r="CF83" s="37">
        <f>IF(CE83&gt;=2,CE83,0)</f>
        <v>2.25</v>
      </c>
      <c r="CG83" s="36" t="s">
        <v>2167</v>
      </c>
      <c r="CH83" s="36" t="s">
        <v>2067</v>
      </c>
      <c r="CI83" s="37">
        <f t="shared" si="164"/>
        <v>1</v>
      </c>
      <c r="CJ83" s="37">
        <f t="shared" si="165"/>
        <v>2.25</v>
      </c>
      <c r="CK83" s="37">
        <f t="shared" si="166"/>
        <v>2.25</v>
      </c>
      <c r="CL83" s="37">
        <f t="shared" si="167"/>
        <v>2.25</v>
      </c>
      <c r="CM83" s="37">
        <f t="shared" si="168"/>
        <v>75</v>
      </c>
      <c r="CN83" s="36" t="s">
        <v>2285</v>
      </c>
      <c r="CO83" s="36" t="s">
        <v>2111</v>
      </c>
      <c r="CP83" s="36" t="s">
        <v>2285</v>
      </c>
      <c r="CQ83" s="37">
        <f t="shared" si="169"/>
        <v>2</v>
      </c>
      <c r="CR83" s="37">
        <f t="shared" si="170"/>
        <v>3</v>
      </c>
      <c r="CS83" s="37">
        <f t="shared" si="171"/>
        <v>2</v>
      </c>
      <c r="CT83" s="37">
        <f t="shared" si="172"/>
        <v>7</v>
      </c>
      <c r="CU83" s="37">
        <f t="shared" si="173"/>
        <v>77.777777777777771</v>
      </c>
      <c r="CV83" s="36" t="s">
        <v>2284</v>
      </c>
      <c r="CW83" s="37">
        <f t="shared" si="174"/>
        <v>3</v>
      </c>
      <c r="CX83" s="37">
        <f t="shared" si="175"/>
        <v>75</v>
      </c>
      <c r="CY83" s="37">
        <f t="shared" si="176"/>
        <v>5</v>
      </c>
      <c r="CZ83" s="37">
        <f t="shared" si="177"/>
        <v>10</v>
      </c>
      <c r="DA83" s="37">
        <f t="shared" si="178"/>
        <v>4</v>
      </c>
      <c r="DB83" s="37">
        <f t="shared" si="179"/>
        <v>10</v>
      </c>
      <c r="DC83" s="37">
        <f t="shared" si="180"/>
        <v>15</v>
      </c>
      <c r="DD83" s="37">
        <f t="shared" si="181"/>
        <v>3.75</v>
      </c>
      <c r="DE83" s="37">
        <f t="shared" si="182"/>
        <v>15</v>
      </c>
      <c r="DF83" s="37">
        <f t="shared" si="185"/>
        <v>3.75</v>
      </c>
      <c r="DG83" s="37">
        <f t="shared" si="183"/>
        <v>3.75</v>
      </c>
      <c r="DH83" s="37">
        <f t="shared" si="184"/>
        <v>70.25</v>
      </c>
    </row>
    <row r="84" spans="1:112" ht="59.25" hidden="1" customHeight="1" x14ac:dyDescent="0.25">
      <c r="A84" s="37">
        <v>80</v>
      </c>
      <c r="B84" s="156" t="s">
        <v>2246</v>
      </c>
      <c r="C84" s="162" t="s">
        <v>2283</v>
      </c>
      <c r="D84" s="156" t="s">
        <v>2287</v>
      </c>
      <c r="E84" s="155" t="s">
        <v>2294</v>
      </c>
      <c r="F84" s="156"/>
      <c r="G84" s="156"/>
      <c r="H84" s="156"/>
      <c r="I84" s="155"/>
      <c r="J84" s="53" t="s">
        <v>1948</v>
      </c>
      <c r="K84" s="53" t="s">
        <v>1948</v>
      </c>
      <c r="L84" s="53" t="s">
        <v>1947</v>
      </c>
      <c r="M84" s="61">
        <f t="shared" si="124"/>
        <v>1</v>
      </c>
      <c r="N84" s="61">
        <f t="shared" si="125"/>
        <v>1</v>
      </c>
      <c r="O84" s="61">
        <f t="shared" si="126"/>
        <v>0</v>
      </c>
      <c r="P84" s="61">
        <f t="shared" si="127"/>
        <v>2</v>
      </c>
      <c r="Q84" s="53" t="s">
        <v>2165</v>
      </c>
      <c r="R84" s="53" t="s">
        <v>2165</v>
      </c>
      <c r="S84" s="53" t="s">
        <v>1948</v>
      </c>
      <c r="T84" s="61">
        <f t="shared" si="128"/>
        <v>0</v>
      </c>
      <c r="U84" s="61">
        <f t="shared" si="129"/>
        <v>0</v>
      </c>
      <c r="V84" s="61">
        <f t="shared" si="130"/>
        <v>1</v>
      </c>
      <c r="W84" s="61">
        <f t="shared" si="131"/>
        <v>1</v>
      </c>
      <c r="X84" s="61">
        <f t="shared" si="132"/>
        <v>50</v>
      </c>
      <c r="Y84" s="53" t="s">
        <v>1948</v>
      </c>
      <c r="Z84" s="53" t="s">
        <v>1948</v>
      </c>
      <c r="AA84" s="61">
        <f t="shared" si="133"/>
        <v>1</v>
      </c>
      <c r="AB84" s="61">
        <f t="shared" si="134"/>
        <v>1</v>
      </c>
      <c r="AC84" s="61">
        <f t="shared" si="135"/>
        <v>2</v>
      </c>
      <c r="AD84" s="61">
        <f t="shared" si="136"/>
        <v>100</v>
      </c>
      <c r="AE84" s="53" t="s">
        <v>1948</v>
      </c>
      <c r="AF84" s="53" t="s">
        <v>1947</v>
      </c>
      <c r="AG84" s="53" t="s">
        <v>1947</v>
      </c>
      <c r="AH84" s="53" t="s">
        <v>1948</v>
      </c>
      <c r="AI84" s="53" t="s">
        <v>1948</v>
      </c>
      <c r="AJ84" s="50">
        <f t="shared" si="137"/>
        <v>1</v>
      </c>
      <c r="AK84" s="50">
        <f t="shared" si="138"/>
        <v>0</v>
      </c>
      <c r="AL84" s="50">
        <f t="shared" si="139"/>
        <v>0</v>
      </c>
      <c r="AM84" s="50">
        <f t="shared" si="140"/>
        <v>1</v>
      </c>
      <c r="AN84" s="50">
        <f t="shared" si="141"/>
        <v>1</v>
      </c>
      <c r="AO84" s="50">
        <f t="shared" si="142"/>
        <v>3</v>
      </c>
      <c r="AP84" s="51">
        <f t="shared" si="143"/>
        <v>60</v>
      </c>
      <c r="AQ84" s="51">
        <f t="shared" si="144"/>
        <v>210</v>
      </c>
      <c r="AR84" s="53" t="s">
        <v>1948</v>
      </c>
      <c r="AS84" s="53" t="s">
        <v>1948</v>
      </c>
      <c r="AT84" s="53" t="s">
        <v>1948</v>
      </c>
      <c r="AU84" s="50">
        <f t="shared" si="145"/>
        <v>1</v>
      </c>
      <c r="AV84" s="50">
        <f t="shared" si="146"/>
        <v>1</v>
      </c>
      <c r="AW84" s="50">
        <f t="shared" si="147"/>
        <v>1</v>
      </c>
      <c r="AX84" s="50">
        <f t="shared" si="148"/>
        <v>3</v>
      </c>
      <c r="AY84" s="50">
        <f t="shared" si="149"/>
        <v>100</v>
      </c>
      <c r="AZ84" s="36" t="s">
        <v>2080</v>
      </c>
      <c r="BA84" s="36" t="s">
        <v>2080</v>
      </c>
      <c r="BB84" s="36" t="s">
        <v>2080</v>
      </c>
      <c r="BC84" s="36" t="s">
        <v>2080</v>
      </c>
      <c r="BD84" s="37">
        <f t="shared" si="150"/>
        <v>0</v>
      </c>
      <c r="BE84" s="37">
        <f t="shared" si="151"/>
        <v>0</v>
      </c>
      <c r="BF84" s="37">
        <f t="shared" si="152"/>
        <v>0</v>
      </c>
      <c r="BG84" s="37">
        <f t="shared" si="153"/>
        <v>0</v>
      </c>
      <c r="BH84" s="37">
        <f t="shared" si="154"/>
        <v>0</v>
      </c>
      <c r="BI84" s="37">
        <f t="shared" si="155"/>
        <v>0</v>
      </c>
      <c r="BJ84" s="37">
        <f t="shared" si="156"/>
        <v>0</v>
      </c>
      <c r="BK84" s="37">
        <f t="shared" si="157"/>
        <v>0</v>
      </c>
      <c r="BL84" s="36" t="s">
        <v>2067</v>
      </c>
      <c r="BM84" s="36" t="s">
        <v>2067</v>
      </c>
      <c r="BN84" s="36" t="s">
        <v>2067</v>
      </c>
      <c r="BO84" s="37">
        <f t="shared" si="158"/>
        <v>0</v>
      </c>
      <c r="BP84" s="37">
        <f t="shared" si="159"/>
        <v>0</v>
      </c>
      <c r="BQ84" s="37">
        <f t="shared" si="160"/>
        <v>0</v>
      </c>
      <c r="BR84" s="37">
        <f t="shared" si="161"/>
        <v>0</v>
      </c>
      <c r="BS84" s="37">
        <f t="shared" si="162"/>
        <v>0</v>
      </c>
      <c r="BT84" s="37">
        <f t="shared" si="163"/>
        <v>0</v>
      </c>
      <c r="BU84" s="36" t="s">
        <v>2167</v>
      </c>
      <c r="BV84" s="36" t="s">
        <v>2167</v>
      </c>
      <c r="BW84" s="37">
        <f>IF(BU84="ALTO",3,IF(BU84="MEDIO",2,1))</f>
        <v>1</v>
      </c>
      <c r="BX84" s="37">
        <f>IF(BV84="ALTO",2.25,IF(BV84="MEDIO",1.5,0.75))</f>
        <v>0.75</v>
      </c>
      <c r="BY84" s="37">
        <f>IF(BW84=1,BX84,BW84)</f>
        <v>0.75</v>
      </c>
      <c r="BZ84" s="37">
        <f>IF(BY84&gt;=2,BY84,0)</f>
        <v>0</v>
      </c>
      <c r="CA84" s="36" t="s">
        <v>2167</v>
      </c>
      <c r="CB84" s="36" t="s">
        <v>2167</v>
      </c>
      <c r="CC84" s="37">
        <f>IF(CA84="ALTO",3,IF(CA84="MEDIO",2,1))</f>
        <v>1</v>
      </c>
      <c r="CD84" s="37">
        <f>IF(CB84="ALTO",2.25,IF(CB84="MEDIO",1.5,0.75))</f>
        <v>0.75</v>
      </c>
      <c r="CE84" s="37">
        <f>IF(CC84=1,CD84,CC84)</f>
        <v>0.75</v>
      </c>
      <c r="CF84" s="37">
        <f>IF(CE84&gt;=2,CE84,0)</f>
        <v>0</v>
      </c>
      <c r="CG84" s="36" t="s">
        <v>2167</v>
      </c>
      <c r="CH84" s="36" t="s">
        <v>2167</v>
      </c>
      <c r="CI84" s="37">
        <f t="shared" si="164"/>
        <v>1</v>
      </c>
      <c r="CJ84" s="37">
        <f t="shared" si="165"/>
        <v>0.75</v>
      </c>
      <c r="CK84" s="37">
        <f t="shared" si="166"/>
        <v>0.75</v>
      </c>
      <c r="CL84" s="37">
        <f t="shared" si="167"/>
        <v>0</v>
      </c>
      <c r="CM84" s="37">
        <f t="shared" si="168"/>
        <v>0</v>
      </c>
      <c r="CN84" s="36" t="s">
        <v>2166</v>
      </c>
      <c r="CO84" s="36" t="s">
        <v>2166</v>
      </c>
      <c r="CP84" s="36" t="s">
        <v>2166</v>
      </c>
      <c r="CQ84" s="37">
        <f t="shared" si="169"/>
        <v>1</v>
      </c>
      <c r="CR84" s="37">
        <f t="shared" si="170"/>
        <v>1</v>
      </c>
      <c r="CS84" s="37">
        <f t="shared" si="171"/>
        <v>1</v>
      </c>
      <c r="CT84" s="37">
        <f t="shared" si="172"/>
        <v>0</v>
      </c>
      <c r="CU84" s="37">
        <f t="shared" si="173"/>
        <v>0</v>
      </c>
      <c r="CV84" s="36"/>
      <c r="CW84" s="37">
        <f t="shared" si="174"/>
        <v>0</v>
      </c>
      <c r="CX84" s="37">
        <f t="shared" si="175"/>
        <v>0</v>
      </c>
      <c r="CY84" s="37">
        <f t="shared" si="176"/>
        <v>5</v>
      </c>
      <c r="CZ84" s="37">
        <f t="shared" si="177"/>
        <v>10</v>
      </c>
      <c r="DA84" s="37">
        <f t="shared" si="178"/>
        <v>6</v>
      </c>
      <c r="DB84" s="37">
        <f t="shared" si="179"/>
        <v>10</v>
      </c>
      <c r="DC84" s="37">
        <f t="shared" si="180"/>
        <v>0</v>
      </c>
      <c r="DD84" s="37">
        <f t="shared" si="181"/>
        <v>0</v>
      </c>
      <c r="DE84" s="37">
        <f t="shared" si="182"/>
        <v>0</v>
      </c>
      <c r="DF84" s="37">
        <f t="shared" si="185"/>
        <v>0</v>
      </c>
      <c r="DG84" s="37">
        <f t="shared" si="183"/>
        <v>0</v>
      </c>
      <c r="DH84" s="37">
        <f t="shared" si="184"/>
        <v>31</v>
      </c>
    </row>
    <row r="85" spans="1:112" ht="24.75" hidden="1" x14ac:dyDescent="0.25">
      <c r="A85" s="37">
        <v>81</v>
      </c>
      <c r="B85" s="156" t="s">
        <v>2247</v>
      </c>
      <c r="C85" s="163" t="s">
        <v>2295</v>
      </c>
      <c r="D85" s="156" t="s">
        <v>2287</v>
      </c>
      <c r="E85" s="156" t="s">
        <v>2274</v>
      </c>
      <c r="F85" s="156"/>
      <c r="G85" s="156"/>
      <c r="H85" s="156"/>
      <c r="I85" s="156"/>
      <c r="J85" s="53" t="s">
        <v>1947</v>
      </c>
      <c r="K85" s="53" t="s">
        <v>1948</v>
      </c>
      <c r="L85" s="53" t="s">
        <v>1947</v>
      </c>
      <c r="M85" s="61">
        <f t="shared" si="124"/>
        <v>0</v>
      </c>
      <c r="N85" s="61">
        <f t="shared" si="125"/>
        <v>1</v>
      </c>
      <c r="O85" s="61">
        <f t="shared" si="126"/>
        <v>0</v>
      </c>
      <c r="P85" s="61">
        <f t="shared" si="127"/>
        <v>1</v>
      </c>
      <c r="Q85" s="53" t="s">
        <v>2165</v>
      </c>
      <c r="R85" s="53" t="s">
        <v>2165</v>
      </c>
      <c r="S85" s="53" t="s">
        <v>1948</v>
      </c>
      <c r="T85" s="61">
        <f t="shared" si="128"/>
        <v>0</v>
      </c>
      <c r="U85" s="61">
        <f t="shared" si="129"/>
        <v>0</v>
      </c>
      <c r="V85" s="61">
        <f t="shared" si="130"/>
        <v>1</v>
      </c>
      <c r="W85" s="61">
        <f t="shared" si="131"/>
        <v>1</v>
      </c>
      <c r="X85" s="61">
        <f t="shared" si="132"/>
        <v>33.333333333333336</v>
      </c>
      <c r="Y85" s="53" t="s">
        <v>1948</v>
      </c>
      <c r="Z85" s="53" t="s">
        <v>1948</v>
      </c>
      <c r="AA85" s="61">
        <f t="shared" si="133"/>
        <v>1</v>
      </c>
      <c r="AB85" s="61">
        <f t="shared" si="134"/>
        <v>1</v>
      </c>
      <c r="AC85" s="61">
        <f t="shared" si="135"/>
        <v>2</v>
      </c>
      <c r="AD85" s="61">
        <f t="shared" si="136"/>
        <v>100</v>
      </c>
      <c r="AE85" s="53" t="s">
        <v>1948</v>
      </c>
      <c r="AF85" s="53" t="s">
        <v>1947</v>
      </c>
      <c r="AG85" s="53" t="s">
        <v>1947</v>
      </c>
      <c r="AH85" s="53" t="s">
        <v>1948</v>
      </c>
      <c r="AI85" s="53" t="s">
        <v>1948</v>
      </c>
      <c r="AJ85" s="50">
        <f t="shared" si="137"/>
        <v>1</v>
      </c>
      <c r="AK85" s="50">
        <f t="shared" si="138"/>
        <v>0</v>
      </c>
      <c r="AL85" s="50">
        <f t="shared" si="139"/>
        <v>0</v>
      </c>
      <c r="AM85" s="50">
        <f t="shared" si="140"/>
        <v>1</v>
      </c>
      <c r="AN85" s="50">
        <f t="shared" si="141"/>
        <v>1</v>
      </c>
      <c r="AO85" s="50">
        <f t="shared" si="142"/>
        <v>3</v>
      </c>
      <c r="AP85" s="51">
        <f t="shared" si="143"/>
        <v>60</v>
      </c>
      <c r="AQ85" s="51">
        <f t="shared" si="144"/>
        <v>193.33333333333334</v>
      </c>
      <c r="AR85" s="53" t="s">
        <v>1948</v>
      </c>
      <c r="AS85" s="53" t="s">
        <v>1948</v>
      </c>
      <c r="AT85" s="53" t="s">
        <v>1948</v>
      </c>
      <c r="AU85" s="50">
        <f t="shared" si="145"/>
        <v>1</v>
      </c>
      <c r="AV85" s="50">
        <f t="shared" si="146"/>
        <v>1</v>
      </c>
      <c r="AW85" s="50">
        <f t="shared" si="147"/>
        <v>1</v>
      </c>
      <c r="AX85" s="50">
        <f t="shared" si="148"/>
        <v>3</v>
      </c>
      <c r="AY85" s="50">
        <f t="shared" si="149"/>
        <v>100</v>
      </c>
      <c r="AZ85" s="36" t="s">
        <v>2080</v>
      </c>
      <c r="BA85" s="36" t="s">
        <v>2080</v>
      </c>
      <c r="BB85" s="36" t="s">
        <v>2080</v>
      </c>
      <c r="BC85" s="36" t="s">
        <v>2080</v>
      </c>
      <c r="BD85" s="37">
        <f t="shared" si="150"/>
        <v>0</v>
      </c>
      <c r="BE85" s="37">
        <f t="shared" si="151"/>
        <v>0</v>
      </c>
      <c r="BF85" s="37">
        <f t="shared" si="152"/>
        <v>0</v>
      </c>
      <c r="BG85" s="37">
        <f t="shared" si="153"/>
        <v>0</v>
      </c>
      <c r="BH85" s="37">
        <f t="shared" si="154"/>
        <v>0</v>
      </c>
      <c r="BI85" s="37">
        <f t="shared" si="155"/>
        <v>0</v>
      </c>
      <c r="BJ85" s="37">
        <f t="shared" si="156"/>
        <v>0</v>
      </c>
      <c r="BK85" s="37">
        <f t="shared" si="157"/>
        <v>0</v>
      </c>
      <c r="BL85" s="36" t="s">
        <v>2067</v>
      </c>
      <c r="BM85" s="36" t="s">
        <v>2067</v>
      </c>
      <c r="BN85" s="36" t="s">
        <v>2067</v>
      </c>
      <c r="BO85" s="37">
        <f t="shared" si="158"/>
        <v>0</v>
      </c>
      <c r="BP85" s="37">
        <f t="shared" si="159"/>
        <v>0</v>
      </c>
      <c r="BQ85" s="37">
        <f t="shared" si="160"/>
        <v>0</v>
      </c>
      <c r="BR85" s="37">
        <f t="shared" si="161"/>
        <v>0</v>
      </c>
      <c r="BS85" s="37">
        <f t="shared" si="162"/>
        <v>0</v>
      </c>
      <c r="BT85" s="37">
        <f t="shared" si="163"/>
        <v>0</v>
      </c>
      <c r="BU85" s="36" t="s">
        <v>2167</v>
      </c>
      <c r="BV85" s="36" t="s">
        <v>2167</v>
      </c>
      <c r="BW85" s="37">
        <f>IF(BU85="ALTO",3,IF(BU85="MEDIO",2,1))</f>
        <v>1</v>
      </c>
      <c r="BX85" s="37">
        <f>IF(BV85="ALTO",2.25,IF(BV85="MEDIO",1.5,0.75))</f>
        <v>0.75</v>
      </c>
      <c r="BY85" s="37">
        <f>IF(BW85=1,BX85,BW85)</f>
        <v>0.75</v>
      </c>
      <c r="BZ85" s="37">
        <f>IF(BY85&gt;=2,BY85,0)</f>
        <v>0</v>
      </c>
      <c r="CA85" s="36" t="s">
        <v>2167</v>
      </c>
      <c r="CB85" s="36" t="s">
        <v>2167</v>
      </c>
      <c r="CC85" s="37">
        <f>IF(CA85="ALTO",3,IF(CA85="MEDIO",2,1))</f>
        <v>1</v>
      </c>
      <c r="CD85" s="37">
        <f>IF(CB85="ALTO",2.25,IF(CB85="MEDIO",1.5,0.75))</f>
        <v>0.75</v>
      </c>
      <c r="CE85" s="37">
        <f>IF(CC85=1,CD85,CC85)</f>
        <v>0.75</v>
      </c>
      <c r="CF85" s="37">
        <f>IF(CE85&gt;=2,CE85,0)</f>
        <v>0</v>
      </c>
      <c r="CG85" s="36" t="s">
        <v>2167</v>
      </c>
      <c r="CH85" s="36" t="s">
        <v>2167</v>
      </c>
      <c r="CI85" s="37">
        <f t="shared" si="164"/>
        <v>1</v>
      </c>
      <c r="CJ85" s="37">
        <f t="shared" si="165"/>
        <v>0.75</v>
      </c>
      <c r="CK85" s="37">
        <f t="shared" si="166"/>
        <v>0.75</v>
      </c>
      <c r="CL85" s="37">
        <f t="shared" si="167"/>
        <v>0</v>
      </c>
      <c r="CM85" s="37">
        <f t="shared" si="168"/>
        <v>0</v>
      </c>
      <c r="CN85" s="36" t="s">
        <v>2166</v>
      </c>
      <c r="CO85" s="36" t="s">
        <v>2166</v>
      </c>
      <c r="CP85" s="36" t="s">
        <v>2166</v>
      </c>
      <c r="CQ85" s="37">
        <f t="shared" si="169"/>
        <v>1</v>
      </c>
      <c r="CR85" s="37">
        <f t="shared" si="170"/>
        <v>1</v>
      </c>
      <c r="CS85" s="37">
        <f t="shared" si="171"/>
        <v>1</v>
      </c>
      <c r="CT85" s="37">
        <f t="shared" si="172"/>
        <v>0</v>
      </c>
      <c r="CU85" s="37">
        <f t="shared" si="173"/>
        <v>0</v>
      </c>
      <c r="CV85" s="36"/>
      <c r="CW85" s="37">
        <f t="shared" si="174"/>
        <v>0</v>
      </c>
      <c r="CX85" s="37">
        <f t="shared" si="175"/>
        <v>0</v>
      </c>
      <c r="CY85" s="37">
        <f t="shared" si="176"/>
        <v>3.3333333333333339</v>
      </c>
      <c r="CZ85" s="37">
        <f t="shared" si="177"/>
        <v>10</v>
      </c>
      <c r="DA85" s="37">
        <f t="shared" si="178"/>
        <v>6</v>
      </c>
      <c r="DB85" s="37">
        <f t="shared" si="179"/>
        <v>10</v>
      </c>
      <c r="DC85" s="37">
        <f t="shared" si="180"/>
        <v>0</v>
      </c>
      <c r="DD85" s="37">
        <f t="shared" si="181"/>
        <v>0</v>
      </c>
      <c r="DE85" s="37">
        <f t="shared" si="182"/>
        <v>0</v>
      </c>
      <c r="DF85" s="37">
        <f t="shared" si="185"/>
        <v>0</v>
      </c>
      <c r="DG85" s="37">
        <f t="shared" si="183"/>
        <v>0</v>
      </c>
      <c r="DH85" s="37">
        <f t="shared" si="184"/>
        <v>29.333333333333336</v>
      </c>
    </row>
  </sheetData>
  <autoFilter ref="A4:DH85" xr:uid="{00000000-0009-0000-0000-00000C000000}"/>
  <mergeCells count="27">
    <mergeCell ref="CN3:CU3"/>
    <mergeCell ref="CV3:CX3"/>
    <mergeCell ref="CN1:CX1"/>
    <mergeCell ref="J2:X2"/>
    <mergeCell ref="Y2:AD2"/>
    <mergeCell ref="AE2:AP2"/>
    <mergeCell ref="AR2:AY2"/>
    <mergeCell ref="AZ2:CM2"/>
    <mergeCell ref="CN2:CU2"/>
    <mergeCell ref="CV2:CX2"/>
    <mergeCell ref="F1:F3"/>
    <mergeCell ref="G1:G3"/>
    <mergeCell ref="I1:I3"/>
    <mergeCell ref="J1:AY1"/>
    <mergeCell ref="AZ1:CM1"/>
    <mergeCell ref="J3:X3"/>
    <mergeCell ref="Y3:AD3"/>
    <mergeCell ref="AE3:AP3"/>
    <mergeCell ref="AR3:AY3"/>
    <mergeCell ref="AZ3:BK3"/>
    <mergeCell ref="BL3:BT3"/>
    <mergeCell ref="BU3:CM3"/>
    <mergeCell ref="A1:A3"/>
    <mergeCell ref="B1:B3"/>
    <mergeCell ref="C1:C3"/>
    <mergeCell ref="D1:D3"/>
    <mergeCell ref="E1:E3"/>
  </mergeCells>
  <conditionalFormatting sqref="X5:X85">
    <cfRule type="cellIs" dxfId="7" priority="2" operator="lessThan">
      <formula>50</formula>
    </cfRule>
  </conditionalFormatting>
  <conditionalFormatting sqref="AQ5:AQ85">
    <cfRule type="cellIs" dxfId="6" priority="3" operator="lessThan">
      <formula>170</formula>
    </cfRule>
  </conditionalFormatting>
  <conditionalFormatting sqref="AP5:AP85">
    <cfRule type="cellIs" dxfId="5" priority="4" operator="lessThan">
      <formula>20</formula>
    </cfRule>
  </conditionalFormatting>
  <conditionalFormatting sqref="X5:X85">
    <cfRule type="cellIs" dxfId="4" priority="5" operator="greaterThanOrEqual">
      <formula>50</formula>
    </cfRule>
  </conditionalFormatting>
  <conditionalFormatting sqref="AD5:AD85">
    <cfRule type="cellIs" dxfId="3" priority="6" operator="lessThan">
      <formula>100</formula>
    </cfRule>
    <cfRule type="cellIs" dxfId="2" priority="7" operator="equal">
      <formula>100</formula>
    </cfRule>
  </conditionalFormatting>
  <conditionalFormatting sqref="AP5:AP85">
    <cfRule type="cellIs" dxfId="1" priority="8" operator="greaterThanOrEqual">
      <formula>20</formula>
    </cfRule>
  </conditionalFormatting>
  <conditionalFormatting sqref="AQ5:AQ85">
    <cfRule type="cellIs" dxfId="0" priority="9" operator="greaterThanOrEqual">
      <formula>170</formula>
    </cfRule>
  </conditionalFormatting>
  <pageMargins left="0.7" right="0.7" top="0.75" bottom="0.75" header="0.51180555555555496" footer="0.51180555555555496"/>
  <pageSetup firstPageNumber="0" orientation="portrait" horizontalDpi="300" verticalDpi="300"/>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C00-000000000000}">
          <x14:formula1>
            <xm:f>Valores!$E$1:$E$4</xm:f>
          </x14:formula1>
          <x14:formula2>
            <xm:f>0</xm:f>
          </x14:formula2>
          <xm:sqref>AZ5:BC85 BM5:BN85 CV5:CV85</xm:sqref>
        </x14:dataValidation>
        <x14:dataValidation type="list" allowBlank="1" showInputMessage="1" showErrorMessage="1" xr:uid="{00000000-0002-0000-0C00-000001000000}">
          <x14:formula1>
            <xm:f>Valores!$D$1:$D$3</xm:f>
          </x14:formula1>
          <x14:formula2>
            <xm:f>0</xm:f>
          </x14:formula2>
          <xm:sqref>BL5:BL85 BU5:BV85 CA5:CB85 CG5:CH85</xm:sqref>
        </x14:dataValidation>
        <x14:dataValidation type="list" allowBlank="1" showInputMessage="1" showErrorMessage="1" xr:uid="{00000000-0002-0000-0C00-000002000000}">
          <x14:formula1>
            <xm:f>Valores!$C$1:$C$3</xm:f>
          </x14:formula1>
          <x14:formula2>
            <xm:f>0</xm:f>
          </x14:formula2>
          <xm:sqref>CN5:CP85</xm:sqref>
        </x14:dataValidation>
        <x14:dataValidation type="list" allowBlank="1" showInputMessage="1" showErrorMessage="1" xr:uid="{00000000-0002-0000-0C00-000003000000}">
          <x14:formula1>
            <xm:f>Valores!$B$1:$B$2</xm:f>
          </x14:formula1>
          <x14:formula2>
            <xm:f>0</xm:f>
          </x14:formula2>
          <xm:sqref>Q5:R85</xm:sqref>
        </x14:dataValidation>
        <x14:dataValidation type="list" allowBlank="1" showInputMessage="1" showErrorMessage="1" xr:uid="{00000000-0002-0000-0C00-000004000000}">
          <x14:formula1>
            <xm:f>Valores!$A$1:$A$2</xm:f>
          </x14:formula1>
          <x14:formula2>
            <xm:f>0</xm:f>
          </x14:formula2>
          <xm:sqref>J5:L85 S5:S85 Y5:Z85 AE5:AI85 AR5:AT85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E4"/>
  <sheetViews>
    <sheetView zoomScale="75" zoomScaleNormal="75" workbookViewId="0">
      <selection activeCell="E6" sqref="E6"/>
    </sheetView>
  </sheetViews>
  <sheetFormatPr baseColWidth="10" defaultColWidth="9.140625" defaultRowHeight="15" x14ac:dyDescent="0.25"/>
  <cols>
    <col min="1" max="1025" width="10.5703125" customWidth="1"/>
  </cols>
  <sheetData>
    <row r="1" spans="1:5" x14ac:dyDescent="0.25">
      <c r="A1" t="s">
        <v>1948</v>
      </c>
      <c r="B1" t="s">
        <v>2296</v>
      </c>
      <c r="C1" t="s">
        <v>2166</v>
      </c>
      <c r="D1" t="s">
        <v>2067</v>
      </c>
      <c r="E1" t="s">
        <v>2067</v>
      </c>
    </row>
    <row r="2" spans="1:5" x14ac:dyDescent="0.25">
      <c r="A2" t="s">
        <v>1947</v>
      </c>
      <c r="B2" t="s">
        <v>2165</v>
      </c>
      <c r="C2" t="s">
        <v>2285</v>
      </c>
      <c r="D2" t="s">
        <v>2284</v>
      </c>
      <c r="E2" t="s">
        <v>2284</v>
      </c>
    </row>
    <row r="3" spans="1:5" x14ac:dyDescent="0.25">
      <c r="C3" t="s">
        <v>2111</v>
      </c>
      <c r="D3" t="s">
        <v>2167</v>
      </c>
      <c r="E3" t="s">
        <v>2167</v>
      </c>
    </row>
    <row r="4" spans="1:5" x14ac:dyDescent="0.25">
      <c r="E4" t="s">
        <v>2080</v>
      </c>
    </row>
  </sheetData>
  <pageMargins left="0.7" right="0.7" top="0.75" bottom="0.75" header="0.51180555555555496" footer="0.51180555555555496"/>
  <pageSetup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C55A11"/>
  </sheetPr>
  <dimension ref="A1:D64"/>
  <sheetViews>
    <sheetView topLeftCell="A17" zoomScale="75" zoomScaleNormal="75" workbookViewId="0">
      <selection activeCell="B41" sqref="B41"/>
    </sheetView>
  </sheetViews>
  <sheetFormatPr baseColWidth="10" defaultColWidth="9.140625" defaultRowHeight="15" x14ac:dyDescent="0.25"/>
  <cols>
    <col min="1" max="1" width="8.85546875" customWidth="1"/>
    <col min="2" max="2" width="117.5703125" customWidth="1"/>
    <col min="3" max="3" width="11.5703125" customWidth="1"/>
    <col min="4" max="4" width="77" customWidth="1"/>
    <col min="5" max="1025" width="10.5703125" customWidth="1"/>
  </cols>
  <sheetData>
    <row r="1" spans="1:4" x14ac:dyDescent="0.25">
      <c r="A1" s="37" t="s">
        <v>157</v>
      </c>
      <c r="B1" s="164" t="s">
        <v>158</v>
      </c>
      <c r="C1" s="164" t="s">
        <v>159</v>
      </c>
      <c r="D1" s="164" t="s">
        <v>160</v>
      </c>
    </row>
    <row r="2" spans="1:4" ht="186" customHeight="1" x14ac:dyDescent="0.25">
      <c r="A2" s="37">
        <v>1</v>
      </c>
      <c r="B2" s="165" t="s">
        <v>161</v>
      </c>
      <c r="C2" s="37">
        <v>7514</v>
      </c>
      <c r="D2" s="166" t="s">
        <v>162</v>
      </c>
    </row>
    <row r="3" spans="1:4" ht="172.5" customHeight="1" x14ac:dyDescent="0.25">
      <c r="A3" s="37">
        <v>2</v>
      </c>
      <c r="B3" s="165" t="s">
        <v>2297</v>
      </c>
      <c r="C3" s="37">
        <v>6851</v>
      </c>
      <c r="D3" s="37"/>
    </row>
    <row r="4" spans="1:4" ht="168" customHeight="1" x14ac:dyDescent="0.25">
      <c r="A4" s="37">
        <v>3</v>
      </c>
      <c r="B4" s="165" t="s">
        <v>2298</v>
      </c>
      <c r="C4" s="37">
        <v>6684</v>
      </c>
      <c r="D4" s="37"/>
    </row>
    <row r="5" spans="1:4" ht="180" x14ac:dyDescent="0.25">
      <c r="A5" s="37">
        <v>4</v>
      </c>
      <c r="B5" s="165" t="s">
        <v>2299</v>
      </c>
      <c r="C5" s="37">
        <v>6389</v>
      </c>
      <c r="D5" s="37"/>
    </row>
    <row r="6" spans="1:4" ht="195" x14ac:dyDescent="0.25">
      <c r="A6" s="37">
        <v>5</v>
      </c>
      <c r="B6" s="165" t="s">
        <v>163</v>
      </c>
      <c r="C6" s="37">
        <v>4134</v>
      </c>
      <c r="D6" s="37"/>
    </row>
    <row r="7" spans="1:4" ht="120" x14ac:dyDescent="0.25">
      <c r="A7" s="37">
        <v>6</v>
      </c>
      <c r="B7" s="165" t="s">
        <v>165</v>
      </c>
      <c r="C7" s="37">
        <v>1577</v>
      </c>
      <c r="D7" s="37" t="s">
        <v>2300</v>
      </c>
    </row>
    <row r="8" spans="1:4" ht="135" x14ac:dyDescent="0.25">
      <c r="A8" s="37">
        <v>7</v>
      </c>
      <c r="B8" s="165" t="s">
        <v>167</v>
      </c>
      <c r="C8" s="37">
        <v>884</v>
      </c>
      <c r="D8" s="37" t="s">
        <v>168</v>
      </c>
    </row>
    <row r="9" spans="1:4" ht="149.25" customHeight="1" x14ac:dyDescent="0.25">
      <c r="A9" s="37">
        <v>8</v>
      </c>
      <c r="B9" s="165" t="s">
        <v>169</v>
      </c>
      <c r="C9" s="37">
        <v>1205</v>
      </c>
      <c r="D9" s="37" t="s">
        <v>170</v>
      </c>
    </row>
    <row r="10" spans="1:4" ht="120" x14ac:dyDescent="0.25">
      <c r="A10" s="37">
        <v>9</v>
      </c>
      <c r="B10" s="165" t="s">
        <v>171</v>
      </c>
      <c r="C10" s="37">
        <v>967</v>
      </c>
      <c r="D10" s="37" t="s">
        <v>172</v>
      </c>
    </row>
    <row r="11" spans="1:4" ht="135" x14ac:dyDescent="0.25">
      <c r="A11" s="37">
        <v>10</v>
      </c>
      <c r="B11" s="165" t="s">
        <v>173</v>
      </c>
      <c r="C11" s="37">
        <v>478</v>
      </c>
      <c r="D11" s="37" t="s">
        <v>174</v>
      </c>
    </row>
    <row r="12" spans="1:4" ht="60" x14ac:dyDescent="0.25">
      <c r="A12" s="37">
        <v>11</v>
      </c>
      <c r="B12" s="165" t="s">
        <v>175</v>
      </c>
      <c r="C12" s="37">
        <v>1680</v>
      </c>
      <c r="D12" s="161" t="s">
        <v>176</v>
      </c>
    </row>
    <row r="13" spans="1:4" ht="135" x14ac:dyDescent="0.25">
      <c r="A13" s="37">
        <v>12</v>
      </c>
      <c r="B13" s="165" t="s">
        <v>177</v>
      </c>
      <c r="C13" s="37">
        <v>4</v>
      </c>
      <c r="D13" s="161" t="s">
        <v>178</v>
      </c>
    </row>
    <row r="14" spans="1:4" ht="135" x14ac:dyDescent="0.25">
      <c r="A14" s="37">
        <v>13</v>
      </c>
      <c r="B14" s="167" t="s">
        <v>179</v>
      </c>
      <c r="C14" s="37">
        <v>42</v>
      </c>
      <c r="D14" s="161" t="s">
        <v>180</v>
      </c>
    </row>
    <row r="15" spans="1:4" ht="135" x14ac:dyDescent="0.25">
      <c r="A15" s="37">
        <v>14</v>
      </c>
      <c r="B15" s="165" t="s">
        <v>181</v>
      </c>
      <c r="C15" s="37">
        <v>14592</v>
      </c>
      <c r="D15" s="161" t="s">
        <v>182</v>
      </c>
    </row>
    <row r="16" spans="1:4" ht="149.25" customHeight="1" x14ac:dyDescent="0.25">
      <c r="A16" s="37">
        <v>15</v>
      </c>
      <c r="B16" s="165" t="s">
        <v>183</v>
      </c>
      <c r="C16" s="37">
        <v>5</v>
      </c>
      <c r="D16" s="161" t="s">
        <v>184</v>
      </c>
    </row>
    <row r="17" spans="1:4" ht="149.25" customHeight="1" x14ac:dyDescent="0.25">
      <c r="A17" s="161"/>
      <c r="B17" s="161"/>
      <c r="C17" s="161"/>
      <c r="D17" s="161"/>
    </row>
    <row r="18" spans="1:4" ht="45" x14ac:dyDescent="0.25">
      <c r="A18" s="37">
        <v>16</v>
      </c>
      <c r="B18" s="168" t="s">
        <v>186</v>
      </c>
      <c r="C18" s="37">
        <v>1365</v>
      </c>
      <c r="D18" s="161" t="s">
        <v>187</v>
      </c>
    </row>
    <row r="19" spans="1:4" ht="60" x14ac:dyDescent="0.25">
      <c r="A19" s="37">
        <v>17</v>
      </c>
      <c r="B19" s="168" t="s">
        <v>188</v>
      </c>
      <c r="C19" s="37">
        <v>36685</v>
      </c>
      <c r="D19" s="161" t="s">
        <v>189</v>
      </c>
    </row>
    <row r="20" spans="1:4" ht="60" x14ac:dyDescent="0.25">
      <c r="A20" s="37">
        <v>19</v>
      </c>
      <c r="B20" s="37" t="s">
        <v>190</v>
      </c>
      <c r="C20" s="37">
        <v>50</v>
      </c>
      <c r="D20" s="161" t="s">
        <v>191</v>
      </c>
    </row>
    <row r="21" spans="1:4" ht="30" x14ac:dyDescent="0.25">
      <c r="A21" s="37">
        <v>21</v>
      </c>
      <c r="B21" s="159" t="s">
        <v>192</v>
      </c>
      <c r="C21" s="37">
        <v>102</v>
      </c>
      <c r="D21" s="161" t="s">
        <v>193</v>
      </c>
    </row>
    <row r="22" spans="1:4" ht="30" x14ac:dyDescent="0.25">
      <c r="A22" s="37">
        <v>23</v>
      </c>
      <c r="B22" s="37" t="s">
        <v>194</v>
      </c>
      <c r="C22" s="37">
        <v>152</v>
      </c>
      <c r="D22" s="161" t="s">
        <v>195</v>
      </c>
    </row>
    <row r="23" spans="1:4" x14ac:dyDescent="0.25">
      <c r="A23" s="37"/>
      <c r="B23" s="37"/>
      <c r="C23" s="37"/>
      <c r="D23" s="37"/>
    </row>
    <row r="24" spans="1:4" x14ac:dyDescent="0.25">
      <c r="A24" s="37">
        <v>24</v>
      </c>
      <c r="B24" s="169" t="s">
        <v>2301</v>
      </c>
      <c r="C24" s="37">
        <v>613</v>
      </c>
      <c r="D24" s="37"/>
    </row>
    <row r="25" spans="1:4" x14ac:dyDescent="0.25">
      <c r="A25" s="37">
        <v>25</v>
      </c>
      <c r="B25" s="169" t="s">
        <v>2302</v>
      </c>
      <c r="C25" s="37">
        <v>33</v>
      </c>
      <c r="D25" s="37"/>
    </row>
    <row r="26" spans="1:4" x14ac:dyDescent="0.25">
      <c r="A26" s="37">
        <v>26</v>
      </c>
      <c r="B26" s="37" t="s">
        <v>2303</v>
      </c>
      <c r="C26" s="37">
        <v>0</v>
      </c>
      <c r="D26" s="37"/>
    </row>
    <row r="27" spans="1:4" x14ac:dyDescent="0.25">
      <c r="A27" s="37">
        <v>27</v>
      </c>
      <c r="B27" s="37" t="s">
        <v>2304</v>
      </c>
      <c r="C27" s="37">
        <v>173</v>
      </c>
      <c r="D27" s="37"/>
    </row>
    <row r="28" spans="1:4" x14ac:dyDescent="0.25">
      <c r="A28" s="37">
        <v>28</v>
      </c>
      <c r="B28" s="37" t="s">
        <v>2305</v>
      </c>
      <c r="C28" s="37">
        <v>0</v>
      </c>
      <c r="D28" s="37"/>
    </row>
    <row r="29" spans="1:4" x14ac:dyDescent="0.25">
      <c r="A29" s="37">
        <v>29</v>
      </c>
      <c r="B29" s="37" t="s">
        <v>2306</v>
      </c>
      <c r="C29" s="37">
        <v>208</v>
      </c>
      <c r="D29" s="37"/>
    </row>
    <row r="30" spans="1:4" x14ac:dyDescent="0.25">
      <c r="A30" s="37">
        <v>30</v>
      </c>
      <c r="B30" s="37" t="s">
        <v>2307</v>
      </c>
      <c r="C30" s="37">
        <v>0</v>
      </c>
      <c r="D30" s="37"/>
    </row>
    <row r="31" spans="1:4" x14ac:dyDescent="0.25">
      <c r="A31" s="37">
        <v>31</v>
      </c>
      <c r="B31" s="37" t="s">
        <v>2308</v>
      </c>
      <c r="C31" s="37">
        <v>792</v>
      </c>
      <c r="D31" s="37"/>
    </row>
    <row r="32" spans="1:4" x14ac:dyDescent="0.25">
      <c r="A32" s="37">
        <v>32</v>
      </c>
      <c r="B32" s="37" t="s">
        <v>2309</v>
      </c>
      <c r="C32" s="37">
        <v>400</v>
      </c>
      <c r="D32" s="37"/>
    </row>
    <row r="33" spans="1:4" x14ac:dyDescent="0.25">
      <c r="A33" s="37">
        <v>33</v>
      </c>
      <c r="B33" s="37" t="s">
        <v>2310</v>
      </c>
      <c r="C33" s="37">
        <v>652</v>
      </c>
      <c r="D33" s="37"/>
    </row>
    <row r="34" spans="1:4" x14ac:dyDescent="0.25">
      <c r="A34" s="37">
        <v>34</v>
      </c>
      <c r="B34" s="37" t="s">
        <v>2311</v>
      </c>
      <c r="C34" s="37">
        <v>52</v>
      </c>
      <c r="D34" s="37"/>
    </row>
    <row r="35" spans="1:4" x14ac:dyDescent="0.25">
      <c r="A35" s="37">
        <v>35</v>
      </c>
      <c r="B35" s="37" t="s">
        <v>2312</v>
      </c>
      <c r="C35" s="37">
        <v>2</v>
      </c>
      <c r="D35" s="37"/>
    </row>
    <row r="36" spans="1:4" x14ac:dyDescent="0.25">
      <c r="A36" s="37">
        <v>36</v>
      </c>
      <c r="B36" s="37" t="s">
        <v>2313</v>
      </c>
      <c r="C36" s="37">
        <v>147</v>
      </c>
      <c r="D36" s="37"/>
    </row>
    <row r="37" spans="1:4" x14ac:dyDescent="0.25">
      <c r="A37" s="37">
        <v>37</v>
      </c>
      <c r="B37" s="37" t="s">
        <v>201</v>
      </c>
      <c r="C37" s="37">
        <v>2</v>
      </c>
      <c r="D37" s="37"/>
    </row>
    <row r="38" spans="1:4" x14ac:dyDescent="0.25">
      <c r="A38" s="37">
        <v>38</v>
      </c>
      <c r="B38" s="37" t="s">
        <v>233</v>
      </c>
      <c r="C38" s="37">
        <v>13</v>
      </c>
      <c r="D38" s="37"/>
    </row>
    <row r="39" spans="1:4" x14ac:dyDescent="0.25">
      <c r="A39" s="37">
        <v>39</v>
      </c>
      <c r="B39" s="37" t="s">
        <v>234</v>
      </c>
      <c r="C39" s="37">
        <v>31</v>
      </c>
      <c r="D39" s="37"/>
    </row>
    <row r="40" spans="1:4" x14ac:dyDescent="0.25">
      <c r="A40" s="37">
        <v>40</v>
      </c>
      <c r="B40" s="37" t="s">
        <v>2314</v>
      </c>
      <c r="C40" s="37">
        <v>6</v>
      </c>
      <c r="D40" s="37"/>
    </row>
    <row r="41" spans="1:4" x14ac:dyDescent="0.25">
      <c r="A41" s="37">
        <v>41</v>
      </c>
      <c r="B41" s="37" t="s">
        <v>2305</v>
      </c>
      <c r="C41" s="37">
        <v>0</v>
      </c>
      <c r="D41" s="37"/>
    </row>
    <row r="42" spans="1:4" x14ac:dyDescent="0.25">
      <c r="A42" s="37">
        <v>42</v>
      </c>
      <c r="B42" s="37" t="s">
        <v>235</v>
      </c>
      <c r="C42" s="37">
        <v>0</v>
      </c>
      <c r="D42" s="37"/>
    </row>
    <row r="43" spans="1:4" x14ac:dyDescent="0.25">
      <c r="A43" s="37">
        <v>43</v>
      </c>
      <c r="B43" s="37" t="s">
        <v>236</v>
      </c>
      <c r="C43" s="37">
        <v>0</v>
      </c>
      <c r="D43" s="37"/>
    </row>
    <row r="44" spans="1:4" x14ac:dyDescent="0.25">
      <c r="A44" s="37">
        <v>44</v>
      </c>
      <c r="B44" s="37" t="s">
        <v>2315</v>
      </c>
      <c r="C44" s="37">
        <v>4</v>
      </c>
      <c r="D44" s="37"/>
    </row>
    <row r="45" spans="1:4" x14ac:dyDescent="0.25">
      <c r="A45" s="37">
        <v>45</v>
      </c>
      <c r="B45" s="37" t="s">
        <v>2316</v>
      </c>
      <c r="C45" s="37">
        <v>5072</v>
      </c>
      <c r="D45" s="37"/>
    </row>
    <row r="46" spans="1:4" x14ac:dyDescent="0.25">
      <c r="A46" s="37">
        <v>46</v>
      </c>
      <c r="B46" s="37" t="s">
        <v>2317</v>
      </c>
      <c r="C46" s="37">
        <v>63</v>
      </c>
      <c r="D46" s="37"/>
    </row>
    <row r="47" spans="1:4" x14ac:dyDescent="0.25">
      <c r="A47" s="37">
        <v>47</v>
      </c>
      <c r="B47" s="37" t="s">
        <v>2318</v>
      </c>
      <c r="C47" s="37">
        <v>59</v>
      </c>
      <c r="D47" s="37"/>
    </row>
    <row r="48" spans="1:4" x14ac:dyDescent="0.25">
      <c r="A48" s="37">
        <v>48</v>
      </c>
      <c r="B48" s="37" t="s">
        <v>2319</v>
      </c>
      <c r="C48" s="37">
        <v>732</v>
      </c>
      <c r="D48" s="37"/>
    </row>
    <row r="49" spans="1:4" x14ac:dyDescent="0.25">
      <c r="A49" s="37">
        <v>49</v>
      </c>
      <c r="B49" s="37" t="s">
        <v>2320</v>
      </c>
      <c r="C49" s="37">
        <v>0</v>
      </c>
      <c r="D49" s="37"/>
    </row>
    <row r="50" spans="1:4" x14ac:dyDescent="0.25">
      <c r="A50" s="37">
        <v>50</v>
      </c>
      <c r="B50" s="37" t="s">
        <v>256</v>
      </c>
      <c r="C50" s="37">
        <v>79</v>
      </c>
      <c r="D50" s="37"/>
    </row>
    <row r="51" spans="1:4" x14ac:dyDescent="0.25">
      <c r="A51" s="37">
        <v>51</v>
      </c>
      <c r="B51" s="37" t="s">
        <v>2321</v>
      </c>
      <c r="C51" s="37">
        <v>81</v>
      </c>
      <c r="D51" s="37"/>
    </row>
    <row r="52" spans="1:4" x14ac:dyDescent="0.25">
      <c r="A52" s="37">
        <v>52</v>
      </c>
      <c r="B52" s="37" t="s">
        <v>204</v>
      </c>
      <c r="C52" s="37">
        <v>0</v>
      </c>
      <c r="D52" s="37"/>
    </row>
    <row r="53" spans="1:4" x14ac:dyDescent="0.25">
      <c r="A53" s="37">
        <v>53</v>
      </c>
      <c r="B53" s="37" t="s">
        <v>205</v>
      </c>
      <c r="C53" s="37">
        <v>0</v>
      </c>
      <c r="D53" s="37"/>
    </row>
    <row r="54" spans="1:4" x14ac:dyDescent="0.25">
      <c r="A54" s="37">
        <v>54</v>
      </c>
      <c r="B54" s="37" t="s">
        <v>2322</v>
      </c>
      <c r="C54" s="37">
        <v>68</v>
      </c>
      <c r="D54" s="37"/>
    </row>
    <row r="55" spans="1:4" x14ac:dyDescent="0.25">
      <c r="A55" s="37"/>
      <c r="B55" s="37"/>
      <c r="C55" s="37"/>
      <c r="D55" s="37"/>
    </row>
    <row r="56" spans="1:4" x14ac:dyDescent="0.25">
      <c r="A56" s="37"/>
      <c r="B56" s="37"/>
      <c r="C56" s="37"/>
      <c r="D56" s="37"/>
    </row>
    <row r="57" spans="1:4" ht="209.25" customHeight="1" x14ac:dyDescent="0.25">
      <c r="A57" s="37"/>
      <c r="B57" s="170" t="s">
        <v>2323</v>
      </c>
      <c r="C57" s="37">
        <v>14638</v>
      </c>
      <c r="D57" s="37" t="s">
        <v>2324</v>
      </c>
    </row>
    <row r="58" spans="1:4" ht="209.25" customHeight="1" x14ac:dyDescent="0.25">
      <c r="A58" s="37"/>
      <c r="B58" s="170" t="s">
        <v>2325</v>
      </c>
      <c r="C58" s="37">
        <v>3894</v>
      </c>
      <c r="D58" s="37"/>
    </row>
    <row r="59" spans="1:4" ht="180" x14ac:dyDescent="0.25">
      <c r="A59" s="37"/>
      <c r="B59" s="170" t="s">
        <v>2326</v>
      </c>
      <c r="C59" s="37">
        <v>1262</v>
      </c>
      <c r="D59" s="37"/>
    </row>
    <row r="60" spans="1:4" ht="180" x14ac:dyDescent="0.25">
      <c r="A60" s="37"/>
      <c r="B60" s="171" t="s">
        <v>2327</v>
      </c>
      <c r="C60" s="37">
        <v>709</v>
      </c>
      <c r="D60" s="37"/>
    </row>
    <row r="61" spans="1:4" ht="120" x14ac:dyDescent="0.25">
      <c r="A61" s="37"/>
      <c r="B61" s="170" t="s">
        <v>2328</v>
      </c>
      <c r="C61" s="37">
        <v>0</v>
      </c>
      <c r="D61" s="37"/>
    </row>
    <row r="62" spans="1:4" ht="120" x14ac:dyDescent="0.25">
      <c r="A62" s="37"/>
      <c r="B62" s="171" t="s">
        <v>2329</v>
      </c>
      <c r="C62" s="37">
        <v>4</v>
      </c>
      <c r="D62" s="37"/>
    </row>
    <row r="63" spans="1:4" ht="120" x14ac:dyDescent="0.25">
      <c r="A63" s="37"/>
      <c r="B63" s="171" t="s">
        <v>2330</v>
      </c>
      <c r="C63" s="37">
        <v>6</v>
      </c>
      <c r="D63" s="37"/>
    </row>
    <row r="64" spans="1:4" ht="162.4" customHeight="1" x14ac:dyDescent="0.25">
      <c r="A64" s="37"/>
      <c r="B64" s="171" t="s">
        <v>2331</v>
      </c>
      <c r="C64" s="37">
        <v>37</v>
      </c>
      <c r="D64" s="37"/>
    </row>
  </sheetData>
  <pageMargins left="0.7" right="0.7" top="0.75" bottom="0.75" header="0.51180555555555496" footer="0.51180555555555496"/>
  <pageSetup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A1:A22"/>
  <sheetViews>
    <sheetView topLeftCell="A4" zoomScale="75" zoomScaleNormal="75" workbookViewId="0">
      <selection activeCell="A21" sqref="A21"/>
    </sheetView>
  </sheetViews>
  <sheetFormatPr baseColWidth="10" defaultColWidth="9.140625" defaultRowHeight="15" x14ac:dyDescent="0.25"/>
  <cols>
    <col min="1" max="1" width="14.140625" customWidth="1"/>
    <col min="2" max="1025" width="10.5703125" customWidth="1"/>
  </cols>
  <sheetData>
    <row r="1" spans="1:1" x14ac:dyDescent="0.25">
      <c r="A1" t="s">
        <v>2332</v>
      </c>
    </row>
    <row r="2" spans="1:1" x14ac:dyDescent="0.25">
      <c r="A2" t="s">
        <v>2333</v>
      </c>
    </row>
    <row r="3" spans="1:1" x14ac:dyDescent="0.25">
      <c r="A3" t="s">
        <v>2334</v>
      </c>
    </row>
    <row r="4" spans="1:1" x14ac:dyDescent="0.25">
      <c r="A4" t="s">
        <v>2335</v>
      </c>
    </row>
    <row r="5" spans="1:1" x14ac:dyDescent="0.25">
      <c r="A5" t="s">
        <v>2336</v>
      </c>
    </row>
    <row r="6" spans="1:1" x14ac:dyDescent="0.25">
      <c r="A6" t="s">
        <v>2337</v>
      </c>
    </row>
    <row r="7" spans="1:1" x14ac:dyDescent="0.25">
      <c r="A7" t="s">
        <v>2338</v>
      </c>
    </row>
    <row r="8" spans="1:1" x14ac:dyDescent="0.25">
      <c r="A8" t="s">
        <v>2339</v>
      </c>
    </row>
    <row r="9" spans="1:1" x14ac:dyDescent="0.25">
      <c r="A9" t="s">
        <v>2340</v>
      </c>
    </row>
    <row r="10" spans="1:1" x14ac:dyDescent="0.25">
      <c r="A10" t="s">
        <v>2341</v>
      </c>
    </row>
    <row r="11" spans="1:1" x14ac:dyDescent="0.25">
      <c r="A11" t="s">
        <v>2342</v>
      </c>
    </row>
    <row r="12" spans="1:1" x14ac:dyDescent="0.25">
      <c r="A12" t="s">
        <v>2343</v>
      </c>
    </row>
    <row r="13" spans="1:1" x14ac:dyDescent="0.25">
      <c r="A13" t="s">
        <v>2344</v>
      </c>
    </row>
    <row r="14" spans="1:1" x14ac:dyDescent="0.25">
      <c r="A14" t="s">
        <v>2345</v>
      </c>
    </row>
    <row r="15" spans="1:1" x14ac:dyDescent="0.25">
      <c r="A15" t="s">
        <v>2346</v>
      </c>
    </row>
    <row r="16" spans="1:1" x14ac:dyDescent="0.25">
      <c r="A16" t="s">
        <v>2347</v>
      </c>
    </row>
    <row r="17" spans="1:1" x14ac:dyDescent="0.25">
      <c r="A17" t="s">
        <v>2348</v>
      </c>
    </row>
    <row r="18" spans="1:1" x14ac:dyDescent="0.25">
      <c r="A18" t="s">
        <v>2349</v>
      </c>
    </row>
    <row r="19" spans="1:1" x14ac:dyDescent="0.25">
      <c r="A19" t="s">
        <v>2350</v>
      </c>
    </row>
    <row r="20" spans="1:1" x14ac:dyDescent="0.25">
      <c r="A20" t="s">
        <v>2351</v>
      </c>
    </row>
    <row r="21" spans="1:1" x14ac:dyDescent="0.25">
      <c r="A21" t="s">
        <v>2352</v>
      </c>
    </row>
    <row r="22" spans="1:1" x14ac:dyDescent="0.25">
      <c r="A22" t="s">
        <v>2353</v>
      </c>
    </row>
  </sheetData>
  <pageMargins left="0.7" right="0.7" top="0.75" bottom="0.75" header="0.51180555555555496" footer="0.51180555555555496"/>
  <pageSetup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A1:G4"/>
  <sheetViews>
    <sheetView zoomScale="75" zoomScaleNormal="75" workbookViewId="0">
      <selection activeCell="G34" sqref="G34"/>
    </sheetView>
  </sheetViews>
  <sheetFormatPr baseColWidth="10" defaultColWidth="9.140625" defaultRowHeight="15" x14ac:dyDescent="0.25"/>
  <cols>
    <col min="1" max="1" width="30.140625" customWidth="1"/>
    <col min="2" max="2" width="18.42578125" customWidth="1"/>
    <col min="3" max="3" width="14" customWidth="1"/>
    <col min="4" max="4" width="19" customWidth="1"/>
    <col min="5" max="5" width="14.42578125" customWidth="1"/>
    <col min="6" max="6" width="77.140625" customWidth="1"/>
    <col min="7" max="7" width="82.7109375" customWidth="1"/>
    <col min="8" max="1025" width="10.5703125" customWidth="1"/>
  </cols>
  <sheetData>
    <row r="1" spans="1:7" x14ac:dyDescent="0.25">
      <c r="A1" t="s">
        <v>2354</v>
      </c>
      <c r="B1" t="s">
        <v>2355</v>
      </c>
      <c r="C1" s="56" t="s">
        <v>2356</v>
      </c>
      <c r="E1" t="s">
        <v>2357</v>
      </c>
      <c r="F1" t="s">
        <v>2358</v>
      </c>
      <c r="G1" t="s">
        <v>2359</v>
      </c>
    </row>
    <row r="2" spans="1:7" x14ac:dyDescent="0.25">
      <c r="C2" t="s">
        <v>2360</v>
      </c>
      <c r="F2" t="str">
        <f>_xlfn.CONCAT("TS=",C2)</f>
        <v>TS=("advanced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c r="G2" t="str">
        <f>_xlfn.CONCAT("TI=",C2)</f>
        <v>TI=("advanced engineering informatics" AND "advances in natural computation, pt 2, proceedings" AND "applied soft computing" AND "artificial intelligence review" AND "cognitive systems research" AND "computer vision - accv 2006, pt ii" AND "computer vision and image understanding" AND "connection science" AND "evolutionary computation" AND "expert systems with applications" AND "ieee transactions on affective computing" AND "ieee transactions on cybernetics" AND "ieee transactions on image processing" AND "ieee transactions on neural networks and learning systems" AND "ieee transactions on pattern analysis and machine intelligence" AND "ieee transactions on systems man and cybernetics part b-cybernetics" AND "iet computer vision" AND "iet image processing" AND "image and vision computing" AND "information fusion" AND "intelligent automation and soft computing" AND "international journal of computer vision" AND "international journal of innovative computing information and control" AND "international journal of machine learning and cybernetics" AND "international journal of neural systems" AND "international journal of pattern recognition and artificial intelligence" AND "international journal of semantic computing" AND "international journal on artificial intelligence tools" AND "international journal on document analysis and recognition" AND "journal of advanced computational intelligence and intelligent informatics" AND "journal of ambient intelligence and humanized computing" AND "journal of ambient intelligence and smart environments" AND "journal of intelligent &amp; robotic systems" AND "journal of mathematical imaging and vision" AND "journal of real-time image processing" AND "machine vision and applications" AND "micai 2005: advances in artificial intelligence" AND "neural computation" AND "neural computing &amp; applications" AND "neural network world" AND "neural networks" AND neurocomputing AND "pattern analysis and applications" AND "pattern recognition" AND "pattern recognition letters" AND "pattern recognition, proceedings" AND "progress in artificial intelligence, proceedings" AND "robotics and autonomous systems")</v>
      </c>
    </row>
    <row r="3" spans="1:7" x14ac:dyDescent="0.25">
      <c r="A3" s="91"/>
      <c r="C3" s="52" t="s">
        <v>2361</v>
      </c>
    </row>
    <row r="4" spans="1:7" x14ac:dyDescent="0.25">
      <c r="C4" t="s">
        <v>2362</v>
      </c>
      <c r="F4" t="str">
        <f>_xlfn.CONCAT("TS=",C4)</f>
        <v>TS=("advanced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c r="G4" t="str">
        <f>_xlfn.CONCAT("TI=",C4)</f>
        <v>TI=("advanced engineering informatics" OR "advances in natural computation, pt 2, proceedings" OR "applied soft computing" OR "artificial intelligence review" OR "cognitive systems research" OR "computer vision - accv 2006, pt ii" OR "computer vision and image understanding" OR "connection science" OR "evolutionary computation" OR "expert systems with applications" OR "ieee transactions on affective computing" OR "ieee transactions on cybernetics" OR "ieee transactions on image processing" OR "ieee transactions on neural networks and learning systems" OR "ieee transactions on pattern analysis and machine intelligence" OR "ieee transactions on systems man and cybernetics part b-cybernetics" OR "iet computer vision" OR "iet image processing" OR "image and vision computing" OR "information fusion" OR "intelligent automation and soft computing" OR "international journal of computer vision" OR "international journal of innovative computing information and control" OR "international journal of machine learning and cybernetics" OR "international journal of neural systems" OR "international journal of pattern recognition and artificial intelligence" OR "international journal of semantic computing" OR "international journal on artificial intelligence tools" OR "international journal on document analysis and recognition" OR "journal of advanced computational intelligence and intelligent informatics" OR "journal of ambient intelligence and humanized computing" OR "journal of ambient intelligence and smart environments" OR "journal of intelligent &amp; robotic systems" OR "journal of mathematical imaging and vision" OR "journal of real-time image processing" OR "machine vision and applications" OR "micai 2005: advances in artificial intelligence" OR "neural computation" OR "neural computing &amp; applications" OR "neural network world" OR "neural networks" OR neurocomputing OR "pattern analysis and applications" OR "pattern recognition" OR "pattern recognition letters" OR "pattern recognition, proceedings" OR "progress in artificial intelligence, proceedings" OR "robotics and autonomous systems")</v>
      </c>
    </row>
  </sheetData>
  <pageMargins left="0.7" right="0.7" top="0.75" bottom="0.75" header="0.51180555555555496" footer="0.51180555555555496"/>
  <pageSetup firstPageNumber="0"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C55A11"/>
  </sheetPr>
  <dimension ref="A1:AN528"/>
  <sheetViews>
    <sheetView zoomScale="75" zoomScaleNormal="75" workbookViewId="0">
      <selection activeCell="G34" sqref="G34"/>
    </sheetView>
  </sheetViews>
  <sheetFormatPr baseColWidth="10" defaultColWidth="9.140625" defaultRowHeight="15" x14ac:dyDescent="0.25"/>
  <cols>
    <col min="1" max="256" width="9.140625" customWidth="1"/>
    <col min="257" max="1025" width="11.42578125"/>
  </cols>
  <sheetData>
    <row r="1" spans="1:12" x14ac:dyDescent="0.25">
      <c r="A1" t="s">
        <v>2363</v>
      </c>
    </row>
    <row r="2" spans="1:12" x14ac:dyDescent="0.25">
      <c r="A2" t="s">
        <v>2364</v>
      </c>
    </row>
    <row r="6" spans="1:12" x14ac:dyDescent="0.25">
      <c r="C6" t="s">
        <v>2365</v>
      </c>
      <c r="L6" t="s">
        <v>2366</v>
      </c>
    </row>
    <row r="23" spans="1:40" x14ac:dyDescent="0.25">
      <c r="A23" t="s">
        <v>2367</v>
      </c>
      <c r="B23">
        <v>828</v>
      </c>
    </row>
    <row r="24" spans="1:40" x14ac:dyDescent="0.25">
      <c r="A24" t="s">
        <v>2368</v>
      </c>
      <c r="B24">
        <v>34585</v>
      </c>
    </row>
    <row r="25" spans="1:40" x14ac:dyDescent="0.25">
      <c r="A25" t="s">
        <v>2369</v>
      </c>
      <c r="B25">
        <v>41.77</v>
      </c>
    </row>
    <row r="26" spans="1:40" x14ac:dyDescent="0.25">
      <c r="A26" t="s">
        <v>2370</v>
      </c>
      <c r="B26">
        <v>71</v>
      </c>
    </row>
    <row r="28" spans="1:40" x14ac:dyDescent="0.25">
      <c r="A28" t="s">
        <v>2371</v>
      </c>
      <c r="B28" t="s">
        <v>348</v>
      </c>
      <c r="C28" t="s">
        <v>2372</v>
      </c>
      <c r="D28" t="s">
        <v>2373</v>
      </c>
      <c r="E28" t="s">
        <v>2374</v>
      </c>
      <c r="F28" t="s">
        <v>2375</v>
      </c>
      <c r="G28" t="s">
        <v>2376</v>
      </c>
      <c r="H28" t="s">
        <v>2377</v>
      </c>
      <c r="I28" t="s">
        <v>2378</v>
      </c>
      <c r="J28" t="s">
        <v>2379</v>
      </c>
      <c r="K28" t="s">
        <v>2380</v>
      </c>
      <c r="L28" t="s">
        <v>2381</v>
      </c>
      <c r="M28" t="s">
        <v>2382</v>
      </c>
      <c r="N28" t="s">
        <v>2383</v>
      </c>
      <c r="O28" t="s">
        <v>2384</v>
      </c>
      <c r="P28" t="s">
        <v>2385</v>
      </c>
      <c r="Q28" t="s">
        <v>2386</v>
      </c>
      <c r="R28" t="s">
        <v>2387</v>
      </c>
      <c r="S28" t="s">
        <v>2388</v>
      </c>
      <c r="T28" t="s">
        <v>2389</v>
      </c>
      <c r="U28" t="s">
        <v>2390</v>
      </c>
      <c r="V28">
        <v>2001</v>
      </c>
      <c r="W28">
        <v>2002</v>
      </c>
      <c r="X28">
        <v>2003</v>
      </c>
      <c r="Y28">
        <v>2004</v>
      </c>
      <c r="Z28">
        <v>2005</v>
      </c>
      <c r="AA28">
        <v>2006</v>
      </c>
      <c r="AB28">
        <v>2007</v>
      </c>
      <c r="AC28">
        <v>2008</v>
      </c>
      <c r="AD28">
        <v>2009</v>
      </c>
      <c r="AE28">
        <v>2010</v>
      </c>
      <c r="AF28">
        <v>2011</v>
      </c>
      <c r="AG28">
        <v>2012</v>
      </c>
      <c r="AH28">
        <v>2013</v>
      </c>
      <c r="AI28">
        <v>2014</v>
      </c>
      <c r="AJ28">
        <v>2015</v>
      </c>
      <c r="AK28">
        <v>2016</v>
      </c>
      <c r="AL28">
        <v>2017</v>
      </c>
      <c r="AM28">
        <v>2018</v>
      </c>
      <c r="AN28">
        <v>2019</v>
      </c>
    </row>
    <row r="29" spans="1:40" x14ac:dyDescent="0.25">
      <c r="A29" t="s">
        <v>1236</v>
      </c>
      <c r="B29" t="s">
        <v>1238</v>
      </c>
      <c r="F29" t="s">
        <v>298</v>
      </c>
      <c r="G29" t="s">
        <v>2391</v>
      </c>
      <c r="H29">
        <v>2008</v>
      </c>
      <c r="I29">
        <v>110</v>
      </c>
      <c r="J29">
        <v>3</v>
      </c>
      <c r="N29">
        <v>346</v>
      </c>
      <c r="O29">
        <v>359</v>
      </c>
      <c r="Q29" t="s">
        <v>2392</v>
      </c>
      <c r="T29">
        <v>5623</v>
      </c>
      <c r="U29">
        <v>468.58</v>
      </c>
      <c r="V29">
        <v>0</v>
      </c>
      <c r="W29">
        <v>0</v>
      </c>
      <c r="X29">
        <v>0</v>
      </c>
      <c r="Y29">
        <v>0</v>
      </c>
      <c r="Z29">
        <v>0</v>
      </c>
      <c r="AA29">
        <v>0</v>
      </c>
      <c r="AB29">
        <v>4</v>
      </c>
      <c r="AC29">
        <v>2</v>
      </c>
      <c r="AD29">
        <v>90</v>
      </c>
      <c r="AE29">
        <v>191</v>
      </c>
      <c r="AF29">
        <v>305</v>
      </c>
      <c r="AG29">
        <v>442</v>
      </c>
      <c r="AH29">
        <v>603</v>
      </c>
      <c r="AI29">
        <v>666</v>
      </c>
      <c r="AJ29">
        <v>823</v>
      </c>
      <c r="AK29">
        <v>812</v>
      </c>
      <c r="AL29">
        <v>872</v>
      </c>
      <c r="AM29">
        <v>762</v>
      </c>
      <c r="AN29">
        <v>51</v>
      </c>
    </row>
    <row r="30" spans="1:40" x14ac:dyDescent="0.25">
      <c r="A30" t="s">
        <v>1524</v>
      </c>
      <c r="B30" t="s">
        <v>1526</v>
      </c>
      <c r="F30" t="s">
        <v>303</v>
      </c>
      <c r="G30" t="s">
        <v>2393</v>
      </c>
      <c r="H30">
        <v>2015</v>
      </c>
      <c r="I30">
        <v>115</v>
      </c>
      <c r="J30">
        <v>3</v>
      </c>
      <c r="N30">
        <v>211</v>
      </c>
      <c r="O30">
        <v>252</v>
      </c>
      <c r="Q30" t="s">
        <v>2394</v>
      </c>
      <c r="T30">
        <v>2374</v>
      </c>
      <c r="U30">
        <v>474.8</v>
      </c>
      <c r="V30">
        <v>0</v>
      </c>
      <c r="W30">
        <v>0</v>
      </c>
      <c r="X30">
        <v>0</v>
      </c>
      <c r="Y30">
        <v>0</v>
      </c>
      <c r="Z30">
        <v>0</v>
      </c>
      <c r="AA30">
        <v>0</v>
      </c>
      <c r="AB30">
        <v>0</v>
      </c>
      <c r="AC30">
        <v>0</v>
      </c>
      <c r="AD30">
        <v>0</v>
      </c>
      <c r="AE30">
        <v>0</v>
      </c>
      <c r="AF30">
        <v>0</v>
      </c>
      <c r="AG30">
        <v>0</v>
      </c>
      <c r="AH30">
        <v>0</v>
      </c>
      <c r="AI30">
        <v>1</v>
      </c>
      <c r="AJ30">
        <v>3</v>
      </c>
      <c r="AK30">
        <v>316</v>
      </c>
      <c r="AL30">
        <v>913</v>
      </c>
      <c r="AM30">
        <v>1056</v>
      </c>
      <c r="AN30">
        <v>85</v>
      </c>
    </row>
    <row r="31" spans="1:40" x14ac:dyDescent="0.25">
      <c r="A31" t="s">
        <v>1248</v>
      </c>
      <c r="B31" t="s">
        <v>1250</v>
      </c>
      <c r="F31" t="s">
        <v>298</v>
      </c>
      <c r="G31" t="s">
        <v>2395</v>
      </c>
      <c r="H31">
        <v>2006</v>
      </c>
      <c r="I31">
        <v>104</v>
      </c>
      <c r="J31" t="s">
        <v>2396</v>
      </c>
      <c r="N31">
        <v>90</v>
      </c>
      <c r="O31">
        <v>126</v>
      </c>
      <c r="Q31" t="s">
        <v>2397</v>
      </c>
      <c r="T31">
        <v>1184</v>
      </c>
      <c r="U31">
        <v>84.57</v>
      </c>
      <c r="V31">
        <v>0</v>
      </c>
      <c r="W31">
        <v>0</v>
      </c>
      <c r="X31">
        <v>0</v>
      </c>
      <c r="Y31">
        <v>0</v>
      </c>
      <c r="Z31">
        <v>0</v>
      </c>
      <c r="AA31">
        <v>0</v>
      </c>
      <c r="AB31">
        <v>28</v>
      </c>
      <c r="AC31">
        <v>79</v>
      </c>
      <c r="AD31">
        <v>80</v>
      </c>
      <c r="AE31">
        <v>113</v>
      </c>
      <c r="AF31">
        <v>118</v>
      </c>
      <c r="AG31">
        <v>125</v>
      </c>
      <c r="AH31">
        <v>127</v>
      </c>
      <c r="AI31">
        <v>125</v>
      </c>
      <c r="AJ31">
        <v>127</v>
      </c>
      <c r="AK31">
        <v>110</v>
      </c>
      <c r="AL31">
        <v>80</v>
      </c>
      <c r="AM31">
        <v>68</v>
      </c>
      <c r="AN31">
        <v>4</v>
      </c>
    </row>
    <row r="32" spans="1:40" x14ac:dyDescent="0.25">
      <c r="A32" t="s">
        <v>1347</v>
      </c>
      <c r="B32" t="s">
        <v>1349</v>
      </c>
      <c r="F32" t="s">
        <v>300</v>
      </c>
      <c r="G32" t="s">
        <v>2398</v>
      </c>
      <c r="H32">
        <v>2012</v>
      </c>
      <c r="I32">
        <v>34</v>
      </c>
      <c r="J32">
        <v>4</v>
      </c>
      <c r="N32">
        <v>743</v>
      </c>
      <c r="O32">
        <v>761</v>
      </c>
      <c r="Q32" t="s">
        <v>2399</v>
      </c>
      <c r="T32">
        <v>930</v>
      </c>
      <c r="U32">
        <v>116.25</v>
      </c>
      <c r="V32">
        <v>0</v>
      </c>
      <c r="W32">
        <v>0</v>
      </c>
      <c r="X32">
        <v>0</v>
      </c>
      <c r="Y32">
        <v>0</v>
      </c>
      <c r="Z32">
        <v>0</v>
      </c>
      <c r="AA32">
        <v>0</v>
      </c>
      <c r="AB32">
        <v>0</v>
      </c>
      <c r="AC32">
        <v>0</v>
      </c>
      <c r="AD32">
        <v>0</v>
      </c>
      <c r="AE32">
        <v>0</v>
      </c>
      <c r="AF32">
        <v>0</v>
      </c>
      <c r="AG32">
        <v>17</v>
      </c>
      <c r="AH32">
        <v>87</v>
      </c>
      <c r="AI32">
        <v>122</v>
      </c>
      <c r="AJ32">
        <v>166</v>
      </c>
      <c r="AK32">
        <v>180</v>
      </c>
      <c r="AL32">
        <v>214</v>
      </c>
      <c r="AM32">
        <v>133</v>
      </c>
      <c r="AN32">
        <v>11</v>
      </c>
    </row>
    <row r="33" spans="1:40" x14ac:dyDescent="0.25">
      <c r="A33" t="s">
        <v>1374</v>
      </c>
      <c r="B33" t="s">
        <v>1376</v>
      </c>
      <c r="F33" t="s">
        <v>300</v>
      </c>
      <c r="G33" t="s">
        <v>2400</v>
      </c>
      <c r="H33">
        <v>2007</v>
      </c>
      <c r="I33">
        <v>29</v>
      </c>
      <c r="J33">
        <v>3</v>
      </c>
      <c r="N33">
        <v>411</v>
      </c>
      <c r="O33">
        <v>426</v>
      </c>
      <c r="Q33" t="s">
        <v>2401</v>
      </c>
      <c r="T33">
        <v>798</v>
      </c>
      <c r="U33">
        <v>61.38</v>
      </c>
      <c r="V33">
        <v>0</v>
      </c>
      <c r="W33">
        <v>0</v>
      </c>
      <c r="X33">
        <v>0</v>
      </c>
      <c r="Y33">
        <v>0</v>
      </c>
      <c r="Z33">
        <v>0</v>
      </c>
      <c r="AA33">
        <v>0</v>
      </c>
      <c r="AB33">
        <v>17</v>
      </c>
      <c r="AC33">
        <v>43</v>
      </c>
      <c r="AD33">
        <v>48</v>
      </c>
      <c r="AE33">
        <v>71</v>
      </c>
      <c r="AF33">
        <v>67</v>
      </c>
      <c r="AG33">
        <v>79</v>
      </c>
      <c r="AH33">
        <v>85</v>
      </c>
      <c r="AI33">
        <v>118</v>
      </c>
      <c r="AJ33">
        <v>94</v>
      </c>
      <c r="AK33">
        <v>68</v>
      </c>
      <c r="AL33">
        <v>65</v>
      </c>
      <c r="AM33">
        <v>39</v>
      </c>
      <c r="AN33">
        <v>4</v>
      </c>
    </row>
    <row r="34" spans="1:40" x14ac:dyDescent="0.25">
      <c r="A34" t="s">
        <v>2402</v>
      </c>
      <c r="B34" t="s">
        <v>2403</v>
      </c>
      <c r="F34" t="s">
        <v>300</v>
      </c>
      <c r="G34" t="s">
        <v>2404</v>
      </c>
      <c r="H34">
        <v>2010</v>
      </c>
      <c r="I34">
        <v>32</v>
      </c>
      <c r="J34">
        <v>12</v>
      </c>
      <c r="N34">
        <v>2262</v>
      </c>
      <c r="O34">
        <v>2275</v>
      </c>
      <c r="Q34" t="s">
        <v>2405</v>
      </c>
      <c r="T34">
        <v>720</v>
      </c>
      <c r="U34">
        <v>72</v>
      </c>
      <c r="V34">
        <v>0</v>
      </c>
      <c r="W34">
        <v>0</v>
      </c>
      <c r="X34">
        <v>0</v>
      </c>
      <c r="Y34">
        <v>0</v>
      </c>
      <c r="Z34">
        <v>0</v>
      </c>
      <c r="AA34">
        <v>0</v>
      </c>
      <c r="AB34">
        <v>0</v>
      </c>
      <c r="AC34">
        <v>0</v>
      </c>
      <c r="AD34">
        <v>0</v>
      </c>
      <c r="AE34">
        <v>0</v>
      </c>
      <c r="AF34">
        <v>16</v>
      </c>
      <c r="AG34">
        <v>40</v>
      </c>
      <c r="AH34">
        <v>49</v>
      </c>
      <c r="AI34">
        <v>81</v>
      </c>
      <c r="AJ34">
        <v>128</v>
      </c>
      <c r="AK34">
        <v>138</v>
      </c>
      <c r="AL34">
        <v>138</v>
      </c>
      <c r="AM34">
        <v>124</v>
      </c>
      <c r="AN34">
        <v>6</v>
      </c>
    </row>
    <row r="35" spans="1:40" x14ac:dyDescent="0.25">
      <c r="A35" t="s">
        <v>2406</v>
      </c>
      <c r="B35" t="s">
        <v>2407</v>
      </c>
      <c r="F35" t="s">
        <v>303</v>
      </c>
      <c r="G35" t="s">
        <v>2408</v>
      </c>
      <c r="H35">
        <v>2001</v>
      </c>
      <c r="I35">
        <v>45</v>
      </c>
      <c r="J35">
        <v>2</v>
      </c>
      <c r="N35">
        <v>83</v>
      </c>
      <c r="O35">
        <v>105</v>
      </c>
      <c r="Q35" t="s">
        <v>2409</v>
      </c>
      <c r="T35">
        <v>672</v>
      </c>
      <c r="U35">
        <v>35.369999999999997</v>
      </c>
      <c r="V35">
        <v>0</v>
      </c>
      <c r="W35">
        <v>1</v>
      </c>
      <c r="X35">
        <v>5</v>
      </c>
      <c r="Y35">
        <v>17</v>
      </c>
      <c r="Z35">
        <v>37</v>
      </c>
      <c r="AA35">
        <v>44</v>
      </c>
      <c r="AB35">
        <v>59</v>
      </c>
      <c r="AC35">
        <v>68</v>
      </c>
      <c r="AD35">
        <v>60</v>
      </c>
      <c r="AE35">
        <v>63</v>
      </c>
      <c r="AF35">
        <v>51</v>
      </c>
      <c r="AG35">
        <v>50</v>
      </c>
      <c r="AH35">
        <v>55</v>
      </c>
      <c r="AI35">
        <v>53</v>
      </c>
      <c r="AJ35">
        <v>32</v>
      </c>
      <c r="AK35">
        <v>31</v>
      </c>
      <c r="AL35">
        <v>25</v>
      </c>
      <c r="AM35">
        <v>21</v>
      </c>
      <c r="AN35">
        <v>0</v>
      </c>
    </row>
    <row r="36" spans="1:40" x14ac:dyDescent="0.25">
      <c r="A36" t="s">
        <v>2410</v>
      </c>
      <c r="B36" t="s">
        <v>2411</v>
      </c>
      <c r="F36" t="s">
        <v>300</v>
      </c>
      <c r="G36" t="s">
        <v>2412</v>
      </c>
      <c r="H36">
        <v>2015</v>
      </c>
      <c r="I36">
        <v>37</v>
      </c>
      <c r="J36">
        <v>3</v>
      </c>
      <c r="N36">
        <v>569</v>
      </c>
      <c r="O36">
        <v>582</v>
      </c>
      <c r="Q36" t="s">
        <v>2413</v>
      </c>
      <c r="T36">
        <v>632</v>
      </c>
      <c r="U36">
        <v>126.4</v>
      </c>
      <c r="V36">
        <v>0</v>
      </c>
      <c r="W36">
        <v>0</v>
      </c>
      <c r="X36">
        <v>0</v>
      </c>
      <c r="Y36">
        <v>0</v>
      </c>
      <c r="Z36">
        <v>0</v>
      </c>
      <c r="AA36">
        <v>0</v>
      </c>
      <c r="AB36">
        <v>0</v>
      </c>
      <c r="AC36">
        <v>0</v>
      </c>
      <c r="AD36">
        <v>0</v>
      </c>
      <c r="AE36">
        <v>0</v>
      </c>
      <c r="AF36">
        <v>0</v>
      </c>
      <c r="AG36">
        <v>0</v>
      </c>
      <c r="AH36">
        <v>0</v>
      </c>
      <c r="AI36">
        <v>0</v>
      </c>
      <c r="AJ36">
        <v>52</v>
      </c>
      <c r="AK36">
        <v>157</v>
      </c>
      <c r="AL36">
        <v>201</v>
      </c>
      <c r="AM36">
        <v>205</v>
      </c>
      <c r="AN36">
        <v>17</v>
      </c>
    </row>
    <row r="37" spans="1:40" x14ac:dyDescent="0.25">
      <c r="A37" t="s">
        <v>2414</v>
      </c>
      <c r="B37" t="s">
        <v>2415</v>
      </c>
      <c r="F37" t="s">
        <v>300</v>
      </c>
      <c r="G37" t="s">
        <v>2416</v>
      </c>
      <c r="H37">
        <v>2005</v>
      </c>
      <c r="I37">
        <v>27</v>
      </c>
      <c r="J37">
        <v>8</v>
      </c>
      <c r="N37">
        <v>1265</v>
      </c>
      <c r="O37">
        <v>1278</v>
      </c>
      <c r="Q37" t="s">
        <v>2417</v>
      </c>
      <c r="T37">
        <v>582</v>
      </c>
      <c r="U37">
        <v>38.799999999999997</v>
      </c>
      <c r="V37">
        <v>0</v>
      </c>
      <c r="W37">
        <v>0</v>
      </c>
      <c r="X37">
        <v>0</v>
      </c>
      <c r="Y37">
        <v>0</v>
      </c>
      <c r="Z37">
        <v>3</v>
      </c>
      <c r="AA37">
        <v>6</v>
      </c>
      <c r="AB37">
        <v>15</v>
      </c>
      <c r="AC37">
        <v>18</v>
      </c>
      <c r="AD37">
        <v>34</v>
      </c>
      <c r="AE37">
        <v>30</v>
      </c>
      <c r="AF37">
        <v>40</v>
      </c>
      <c r="AG37">
        <v>47</v>
      </c>
      <c r="AH37">
        <v>72</v>
      </c>
      <c r="AI37">
        <v>67</v>
      </c>
      <c r="AJ37">
        <v>76</v>
      </c>
      <c r="AK37">
        <v>62</v>
      </c>
      <c r="AL37">
        <v>60</v>
      </c>
      <c r="AM37">
        <v>46</v>
      </c>
      <c r="AN37">
        <v>6</v>
      </c>
    </row>
    <row r="38" spans="1:40" x14ac:dyDescent="0.25">
      <c r="A38" t="s">
        <v>2418</v>
      </c>
      <c r="B38" t="s">
        <v>2419</v>
      </c>
      <c r="F38" t="s">
        <v>300</v>
      </c>
      <c r="G38" t="s">
        <v>2420</v>
      </c>
      <c r="H38">
        <v>2007</v>
      </c>
      <c r="I38">
        <v>29</v>
      </c>
      <c r="J38">
        <v>2</v>
      </c>
      <c r="N38">
        <v>286</v>
      </c>
      <c r="O38">
        <v>299</v>
      </c>
      <c r="Q38" t="s">
        <v>2421</v>
      </c>
      <c r="T38">
        <v>552</v>
      </c>
      <c r="U38">
        <v>42.46</v>
      </c>
      <c r="V38">
        <v>0</v>
      </c>
      <c r="W38">
        <v>0</v>
      </c>
      <c r="X38">
        <v>0</v>
      </c>
      <c r="Y38">
        <v>0</v>
      </c>
      <c r="Z38">
        <v>0</v>
      </c>
      <c r="AA38">
        <v>0</v>
      </c>
      <c r="AB38">
        <v>2</v>
      </c>
      <c r="AC38">
        <v>20</v>
      </c>
      <c r="AD38">
        <v>30</v>
      </c>
      <c r="AE38">
        <v>42</v>
      </c>
      <c r="AF38">
        <v>35</v>
      </c>
      <c r="AG38">
        <v>43</v>
      </c>
      <c r="AH38">
        <v>56</v>
      </c>
      <c r="AI38">
        <v>57</v>
      </c>
      <c r="AJ38">
        <v>74</v>
      </c>
      <c r="AK38">
        <v>86</v>
      </c>
      <c r="AL38">
        <v>67</v>
      </c>
      <c r="AM38">
        <v>37</v>
      </c>
      <c r="AN38">
        <v>3</v>
      </c>
    </row>
    <row r="39" spans="1:40" x14ac:dyDescent="0.25">
      <c r="A39" t="s">
        <v>1792</v>
      </c>
      <c r="B39" t="s">
        <v>1794</v>
      </c>
      <c r="F39" t="s">
        <v>300</v>
      </c>
      <c r="G39" t="s">
        <v>2422</v>
      </c>
      <c r="H39">
        <v>2009</v>
      </c>
      <c r="I39">
        <v>31</v>
      </c>
      <c r="J39">
        <v>12</v>
      </c>
      <c r="N39">
        <v>2179</v>
      </c>
      <c r="O39">
        <v>2195</v>
      </c>
      <c r="Q39" t="s">
        <v>2423</v>
      </c>
      <c r="T39">
        <v>549</v>
      </c>
      <c r="U39">
        <v>49.91</v>
      </c>
      <c r="V39">
        <v>0</v>
      </c>
      <c r="W39">
        <v>0</v>
      </c>
      <c r="X39">
        <v>0</v>
      </c>
      <c r="Y39">
        <v>0</v>
      </c>
      <c r="Z39">
        <v>0</v>
      </c>
      <c r="AA39">
        <v>0</v>
      </c>
      <c r="AB39">
        <v>0</v>
      </c>
      <c r="AC39">
        <v>0</v>
      </c>
      <c r="AD39">
        <v>0</v>
      </c>
      <c r="AE39">
        <v>16</v>
      </c>
      <c r="AF39">
        <v>40</v>
      </c>
      <c r="AG39">
        <v>63</v>
      </c>
      <c r="AH39">
        <v>88</v>
      </c>
      <c r="AI39">
        <v>79</v>
      </c>
      <c r="AJ39">
        <v>73</v>
      </c>
      <c r="AK39">
        <v>78</v>
      </c>
      <c r="AL39">
        <v>79</v>
      </c>
      <c r="AM39">
        <v>33</v>
      </c>
      <c r="AN39">
        <v>0</v>
      </c>
    </row>
    <row r="40" spans="1:40" x14ac:dyDescent="0.25">
      <c r="A40" t="s">
        <v>2424</v>
      </c>
      <c r="B40" t="s">
        <v>2425</v>
      </c>
      <c r="F40" t="s">
        <v>300</v>
      </c>
      <c r="G40" t="s">
        <v>2426</v>
      </c>
      <c r="H40">
        <v>2011</v>
      </c>
      <c r="I40">
        <v>33</v>
      </c>
      <c r="J40">
        <v>5</v>
      </c>
      <c r="N40">
        <v>978</v>
      </c>
      <c r="O40">
        <v>994</v>
      </c>
      <c r="Q40" t="s">
        <v>2427</v>
      </c>
      <c r="T40">
        <v>519</v>
      </c>
      <c r="U40">
        <v>57.67</v>
      </c>
      <c r="V40">
        <v>0</v>
      </c>
      <c r="W40">
        <v>0</v>
      </c>
      <c r="X40">
        <v>0</v>
      </c>
      <c r="Y40">
        <v>0</v>
      </c>
      <c r="Z40">
        <v>0</v>
      </c>
      <c r="AA40">
        <v>0</v>
      </c>
      <c r="AB40">
        <v>0</v>
      </c>
      <c r="AC40">
        <v>0</v>
      </c>
      <c r="AD40">
        <v>0</v>
      </c>
      <c r="AE40">
        <v>0</v>
      </c>
      <c r="AF40">
        <v>4</v>
      </c>
      <c r="AG40">
        <v>32</v>
      </c>
      <c r="AH40">
        <v>38</v>
      </c>
      <c r="AI40">
        <v>60</v>
      </c>
      <c r="AJ40">
        <v>88</v>
      </c>
      <c r="AK40">
        <v>108</v>
      </c>
      <c r="AL40">
        <v>97</v>
      </c>
      <c r="AM40">
        <v>85</v>
      </c>
      <c r="AN40">
        <v>7</v>
      </c>
    </row>
    <row r="41" spans="1:40" x14ac:dyDescent="0.25">
      <c r="A41" t="s">
        <v>2428</v>
      </c>
      <c r="B41" t="s">
        <v>2429</v>
      </c>
      <c r="F41" t="s">
        <v>300</v>
      </c>
      <c r="G41" t="s">
        <v>2430</v>
      </c>
      <c r="H41">
        <v>2010</v>
      </c>
      <c r="I41">
        <v>32</v>
      </c>
      <c r="J41">
        <v>3</v>
      </c>
      <c r="N41">
        <v>478</v>
      </c>
      <c r="O41">
        <v>500</v>
      </c>
      <c r="Q41" t="s">
        <v>2431</v>
      </c>
      <c r="T41">
        <v>488</v>
      </c>
      <c r="U41">
        <v>48.8</v>
      </c>
      <c r="V41">
        <v>0</v>
      </c>
      <c r="W41">
        <v>0</v>
      </c>
      <c r="X41">
        <v>0</v>
      </c>
      <c r="Y41">
        <v>0</v>
      </c>
      <c r="Z41">
        <v>0</v>
      </c>
      <c r="AA41">
        <v>0</v>
      </c>
      <c r="AB41">
        <v>0</v>
      </c>
      <c r="AC41">
        <v>0</v>
      </c>
      <c r="AD41">
        <v>0</v>
      </c>
      <c r="AE41">
        <v>2</v>
      </c>
      <c r="AF41">
        <v>17</v>
      </c>
      <c r="AG41">
        <v>41</v>
      </c>
      <c r="AH41">
        <v>60</v>
      </c>
      <c r="AI41">
        <v>62</v>
      </c>
      <c r="AJ41">
        <v>76</v>
      </c>
      <c r="AK41">
        <v>95</v>
      </c>
      <c r="AL41">
        <v>72</v>
      </c>
      <c r="AM41">
        <v>61</v>
      </c>
      <c r="AN41">
        <v>2</v>
      </c>
    </row>
    <row r="42" spans="1:40" x14ac:dyDescent="0.25">
      <c r="A42" t="s">
        <v>2432</v>
      </c>
      <c r="B42" t="s">
        <v>2433</v>
      </c>
      <c r="F42" t="s">
        <v>303</v>
      </c>
      <c r="G42" t="s">
        <v>2434</v>
      </c>
      <c r="H42">
        <v>2015</v>
      </c>
      <c r="I42">
        <v>111</v>
      </c>
      <c r="J42">
        <v>1</v>
      </c>
      <c r="N42">
        <v>98</v>
      </c>
      <c r="O42">
        <v>136</v>
      </c>
      <c r="Q42" t="s">
        <v>2435</v>
      </c>
      <c r="T42">
        <v>443</v>
      </c>
      <c r="U42">
        <v>88.6</v>
      </c>
      <c r="V42">
        <v>0</v>
      </c>
      <c r="W42">
        <v>0</v>
      </c>
      <c r="X42">
        <v>0</v>
      </c>
      <c r="Y42">
        <v>0</v>
      </c>
      <c r="Z42">
        <v>0</v>
      </c>
      <c r="AA42">
        <v>0</v>
      </c>
      <c r="AB42">
        <v>0</v>
      </c>
      <c r="AC42">
        <v>0</v>
      </c>
      <c r="AD42">
        <v>0</v>
      </c>
      <c r="AE42">
        <v>0</v>
      </c>
      <c r="AF42">
        <v>0</v>
      </c>
      <c r="AG42">
        <v>0</v>
      </c>
      <c r="AH42">
        <v>0</v>
      </c>
      <c r="AI42">
        <v>0</v>
      </c>
      <c r="AJ42">
        <v>17</v>
      </c>
      <c r="AK42">
        <v>113</v>
      </c>
      <c r="AL42">
        <v>148</v>
      </c>
      <c r="AM42">
        <v>151</v>
      </c>
      <c r="AN42">
        <v>14</v>
      </c>
    </row>
    <row r="43" spans="1:40" x14ac:dyDescent="0.25">
      <c r="A43" t="s">
        <v>2436</v>
      </c>
      <c r="B43" t="s">
        <v>2437</v>
      </c>
      <c r="F43" t="s">
        <v>298</v>
      </c>
      <c r="G43" t="s">
        <v>2438</v>
      </c>
      <c r="H43">
        <v>2007</v>
      </c>
      <c r="I43">
        <v>108</v>
      </c>
      <c r="J43" t="s">
        <v>2439</v>
      </c>
      <c r="N43">
        <v>4</v>
      </c>
      <c r="O43">
        <v>18</v>
      </c>
      <c r="Q43" t="s">
        <v>2440</v>
      </c>
      <c r="T43">
        <v>411</v>
      </c>
      <c r="U43">
        <v>31.62</v>
      </c>
      <c r="V43">
        <v>0</v>
      </c>
      <c r="W43">
        <v>0</v>
      </c>
      <c r="X43">
        <v>0</v>
      </c>
      <c r="Y43">
        <v>0</v>
      </c>
      <c r="Z43">
        <v>0</v>
      </c>
      <c r="AA43">
        <v>0</v>
      </c>
      <c r="AB43">
        <v>0</v>
      </c>
      <c r="AC43">
        <v>17</v>
      </c>
      <c r="AD43">
        <v>25</v>
      </c>
      <c r="AE43">
        <v>51</v>
      </c>
      <c r="AF43">
        <v>35</v>
      </c>
      <c r="AG43">
        <v>45</v>
      </c>
      <c r="AH43">
        <v>52</v>
      </c>
      <c r="AI43">
        <v>52</v>
      </c>
      <c r="AJ43">
        <v>41</v>
      </c>
      <c r="AK43">
        <v>47</v>
      </c>
      <c r="AL43">
        <v>29</v>
      </c>
      <c r="AM43">
        <v>16</v>
      </c>
      <c r="AN43">
        <v>1</v>
      </c>
    </row>
    <row r="44" spans="1:40" x14ac:dyDescent="0.25">
      <c r="A44" t="s">
        <v>1533</v>
      </c>
      <c r="B44" t="s">
        <v>1535</v>
      </c>
      <c r="F44" t="s">
        <v>303</v>
      </c>
      <c r="G44" t="s">
        <v>2441</v>
      </c>
      <c r="H44">
        <v>2009</v>
      </c>
      <c r="I44">
        <v>81</v>
      </c>
      <c r="J44">
        <v>1</v>
      </c>
      <c r="N44">
        <v>2</v>
      </c>
      <c r="O44">
        <v>23</v>
      </c>
      <c r="Q44" t="s">
        <v>2442</v>
      </c>
      <c r="R44" t="s">
        <v>2443</v>
      </c>
      <c r="S44" t="s">
        <v>2444</v>
      </c>
      <c r="T44">
        <v>410</v>
      </c>
      <c r="U44">
        <v>37.270000000000003</v>
      </c>
      <c r="V44">
        <v>0</v>
      </c>
      <c r="W44">
        <v>0</v>
      </c>
      <c r="X44">
        <v>0</v>
      </c>
      <c r="Y44">
        <v>0</v>
      </c>
      <c r="Z44">
        <v>0</v>
      </c>
      <c r="AA44">
        <v>0</v>
      </c>
      <c r="AB44">
        <v>0</v>
      </c>
      <c r="AC44">
        <v>0</v>
      </c>
      <c r="AD44">
        <v>4</v>
      </c>
      <c r="AE44">
        <v>10</v>
      </c>
      <c r="AF44">
        <v>29</v>
      </c>
      <c r="AG44">
        <v>35</v>
      </c>
      <c r="AH44">
        <v>51</v>
      </c>
      <c r="AI44">
        <v>63</v>
      </c>
      <c r="AJ44">
        <v>68</v>
      </c>
      <c r="AK44">
        <v>73</v>
      </c>
      <c r="AL44">
        <v>48</v>
      </c>
      <c r="AM44">
        <v>28</v>
      </c>
      <c r="AN44">
        <v>1</v>
      </c>
    </row>
    <row r="45" spans="1:40" x14ac:dyDescent="0.25">
      <c r="A45" t="s">
        <v>1674</v>
      </c>
      <c r="B45" t="s">
        <v>1676</v>
      </c>
      <c r="F45" t="s">
        <v>308</v>
      </c>
      <c r="G45" t="s">
        <v>2445</v>
      </c>
      <c r="H45">
        <v>2002</v>
      </c>
      <c r="I45">
        <v>35</v>
      </c>
      <c r="J45">
        <v>10</v>
      </c>
      <c r="N45">
        <v>2279</v>
      </c>
      <c r="O45">
        <v>2301</v>
      </c>
      <c r="P45" t="s">
        <v>2446</v>
      </c>
      <c r="Q45" t="s">
        <v>2447</v>
      </c>
      <c r="T45">
        <v>396</v>
      </c>
      <c r="U45">
        <v>22</v>
      </c>
      <c r="V45">
        <v>0</v>
      </c>
      <c r="W45">
        <v>1</v>
      </c>
      <c r="X45">
        <v>4</v>
      </c>
      <c r="Y45">
        <v>13</v>
      </c>
      <c r="Z45">
        <v>21</v>
      </c>
      <c r="AA45">
        <v>20</v>
      </c>
      <c r="AB45">
        <v>25</v>
      </c>
      <c r="AC45">
        <v>17</v>
      </c>
      <c r="AD45">
        <v>30</v>
      </c>
      <c r="AE45">
        <v>19</v>
      </c>
      <c r="AF45">
        <v>32</v>
      </c>
      <c r="AG45">
        <v>32</v>
      </c>
      <c r="AH45">
        <v>22</v>
      </c>
      <c r="AI45">
        <v>31</v>
      </c>
      <c r="AJ45">
        <v>29</v>
      </c>
      <c r="AK45">
        <v>36</v>
      </c>
      <c r="AL45">
        <v>35</v>
      </c>
      <c r="AM45">
        <v>27</v>
      </c>
      <c r="AN45">
        <v>2</v>
      </c>
    </row>
    <row r="46" spans="1:40" x14ac:dyDescent="0.25">
      <c r="A46" t="s">
        <v>2448</v>
      </c>
      <c r="B46" t="s">
        <v>2449</v>
      </c>
      <c r="F46" t="s">
        <v>300</v>
      </c>
      <c r="G46" t="s">
        <v>2450</v>
      </c>
      <c r="H46">
        <v>2010</v>
      </c>
      <c r="I46">
        <v>32</v>
      </c>
      <c r="J46">
        <v>7</v>
      </c>
      <c r="N46">
        <v>1271</v>
      </c>
      <c r="O46">
        <v>1283</v>
      </c>
      <c r="Q46" t="s">
        <v>2451</v>
      </c>
      <c r="T46">
        <v>365</v>
      </c>
      <c r="U46">
        <v>36.5</v>
      </c>
      <c r="V46">
        <v>0</v>
      </c>
      <c r="W46">
        <v>0</v>
      </c>
      <c r="X46">
        <v>0</v>
      </c>
      <c r="Y46">
        <v>0</v>
      </c>
      <c r="Z46">
        <v>0</v>
      </c>
      <c r="AA46">
        <v>0</v>
      </c>
      <c r="AB46">
        <v>0</v>
      </c>
      <c r="AC46">
        <v>0</v>
      </c>
      <c r="AD46">
        <v>0</v>
      </c>
      <c r="AE46">
        <v>3</v>
      </c>
      <c r="AF46">
        <v>23</v>
      </c>
      <c r="AG46">
        <v>31</v>
      </c>
      <c r="AH46">
        <v>48</v>
      </c>
      <c r="AI46">
        <v>69</v>
      </c>
      <c r="AJ46">
        <v>65</v>
      </c>
      <c r="AK46">
        <v>54</v>
      </c>
      <c r="AL46">
        <v>47</v>
      </c>
      <c r="AM46">
        <v>24</v>
      </c>
      <c r="AN46">
        <v>1</v>
      </c>
    </row>
    <row r="47" spans="1:40" x14ac:dyDescent="0.25">
      <c r="A47" t="s">
        <v>2452</v>
      </c>
      <c r="B47" t="s">
        <v>2453</v>
      </c>
      <c r="F47" t="s">
        <v>300</v>
      </c>
      <c r="G47" t="s">
        <v>2454</v>
      </c>
      <c r="H47">
        <v>2006</v>
      </c>
      <c r="I47">
        <v>28</v>
      </c>
      <c r="J47">
        <v>9</v>
      </c>
      <c r="N47">
        <v>1465</v>
      </c>
      <c r="O47">
        <v>1479</v>
      </c>
      <c r="Q47" t="s">
        <v>2455</v>
      </c>
      <c r="T47">
        <v>348</v>
      </c>
      <c r="U47">
        <v>24.86</v>
      </c>
      <c r="V47">
        <v>0</v>
      </c>
      <c r="W47">
        <v>0</v>
      </c>
      <c r="X47">
        <v>0</v>
      </c>
      <c r="Y47">
        <v>0</v>
      </c>
      <c r="Z47">
        <v>0</v>
      </c>
      <c r="AA47">
        <v>0</v>
      </c>
      <c r="AB47">
        <v>13</v>
      </c>
      <c r="AC47">
        <v>28</v>
      </c>
      <c r="AD47">
        <v>23</v>
      </c>
      <c r="AE47">
        <v>27</v>
      </c>
      <c r="AF47">
        <v>38</v>
      </c>
      <c r="AG47">
        <v>45</v>
      </c>
      <c r="AH47">
        <v>37</v>
      </c>
      <c r="AI47">
        <v>25</v>
      </c>
      <c r="AJ47">
        <v>37</v>
      </c>
      <c r="AK47">
        <v>35</v>
      </c>
      <c r="AL47">
        <v>22</v>
      </c>
      <c r="AM47">
        <v>17</v>
      </c>
      <c r="AN47">
        <v>1</v>
      </c>
    </row>
    <row r="48" spans="1:40" x14ac:dyDescent="0.25">
      <c r="A48" t="s">
        <v>2456</v>
      </c>
      <c r="B48" t="s">
        <v>2457</v>
      </c>
      <c r="F48" t="s">
        <v>300</v>
      </c>
      <c r="G48" t="s">
        <v>2458</v>
      </c>
      <c r="H48">
        <v>2006</v>
      </c>
      <c r="I48">
        <v>28</v>
      </c>
      <c r="J48">
        <v>12</v>
      </c>
      <c r="N48">
        <v>1931</v>
      </c>
      <c r="O48">
        <v>1947</v>
      </c>
      <c r="Q48" t="s">
        <v>2459</v>
      </c>
      <c r="T48">
        <v>332</v>
      </c>
      <c r="U48">
        <v>23.71</v>
      </c>
      <c r="V48">
        <v>0</v>
      </c>
      <c r="W48">
        <v>0</v>
      </c>
      <c r="X48">
        <v>0</v>
      </c>
      <c r="Y48">
        <v>0</v>
      </c>
      <c r="Z48">
        <v>0</v>
      </c>
      <c r="AA48">
        <v>0</v>
      </c>
      <c r="AB48">
        <v>6</v>
      </c>
      <c r="AC48">
        <v>15</v>
      </c>
      <c r="AD48">
        <v>6</v>
      </c>
      <c r="AE48">
        <v>23</v>
      </c>
      <c r="AF48">
        <v>25</v>
      </c>
      <c r="AG48">
        <v>27</v>
      </c>
      <c r="AH48">
        <v>38</v>
      </c>
      <c r="AI48">
        <v>36</v>
      </c>
      <c r="AJ48">
        <v>46</v>
      </c>
      <c r="AK48">
        <v>35</v>
      </c>
      <c r="AL48">
        <v>40</v>
      </c>
      <c r="AM48">
        <v>33</v>
      </c>
      <c r="AN48">
        <v>2</v>
      </c>
    </row>
    <row r="49" spans="1:40" x14ac:dyDescent="0.25">
      <c r="A49" t="s">
        <v>2460</v>
      </c>
      <c r="B49" t="s">
        <v>2461</v>
      </c>
      <c r="F49" t="s">
        <v>2462</v>
      </c>
      <c r="G49" t="s">
        <v>2463</v>
      </c>
      <c r="H49">
        <v>2008</v>
      </c>
      <c r="I49">
        <v>19</v>
      </c>
      <c r="J49">
        <v>1</v>
      </c>
      <c r="N49">
        <v>18</v>
      </c>
      <c r="O49">
        <v>39</v>
      </c>
      <c r="Q49" t="s">
        <v>2464</v>
      </c>
      <c r="R49" t="s">
        <v>2465</v>
      </c>
      <c r="S49" t="s">
        <v>2466</v>
      </c>
      <c r="T49">
        <v>328</v>
      </c>
      <c r="U49">
        <v>27.33</v>
      </c>
      <c r="V49">
        <v>0</v>
      </c>
      <c r="W49">
        <v>0</v>
      </c>
      <c r="X49">
        <v>0</v>
      </c>
      <c r="Y49">
        <v>0</v>
      </c>
      <c r="Z49">
        <v>0</v>
      </c>
      <c r="AA49">
        <v>0</v>
      </c>
      <c r="AB49">
        <v>0</v>
      </c>
      <c r="AC49">
        <v>1</v>
      </c>
      <c r="AD49">
        <v>11</v>
      </c>
      <c r="AE49">
        <v>13</v>
      </c>
      <c r="AF49">
        <v>23</v>
      </c>
      <c r="AG49">
        <v>30</v>
      </c>
      <c r="AH49">
        <v>20</v>
      </c>
      <c r="AI49">
        <v>44</v>
      </c>
      <c r="AJ49">
        <v>37</v>
      </c>
      <c r="AK49">
        <v>38</v>
      </c>
      <c r="AL49">
        <v>44</v>
      </c>
      <c r="AM49">
        <v>61</v>
      </c>
      <c r="AN49">
        <v>6</v>
      </c>
    </row>
    <row r="50" spans="1:40" x14ac:dyDescent="0.25">
      <c r="A50" t="s">
        <v>1457</v>
      </c>
      <c r="B50" t="s">
        <v>1459</v>
      </c>
      <c r="F50" t="s">
        <v>302</v>
      </c>
      <c r="G50" t="s">
        <v>2467</v>
      </c>
      <c r="H50">
        <v>2007</v>
      </c>
      <c r="I50">
        <v>25</v>
      </c>
      <c r="J50">
        <v>5</v>
      </c>
      <c r="N50">
        <v>578</v>
      </c>
      <c r="O50">
        <v>596</v>
      </c>
      <c r="Q50" t="s">
        <v>2468</v>
      </c>
      <c r="T50">
        <v>321</v>
      </c>
      <c r="U50">
        <v>24.69</v>
      </c>
      <c r="V50">
        <v>0</v>
      </c>
      <c r="W50">
        <v>0</v>
      </c>
      <c r="X50">
        <v>0</v>
      </c>
      <c r="Y50">
        <v>0</v>
      </c>
      <c r="Z50">
        <v>0</v>
      </c>
      <c r="AA50">
        <v>0</v>
      </c>
      <c r="AB50">
        <v>5</v>
      </c>
      <c r="AC50">
        <v>9</v>
      </c>
      <c r="AD50">
        <v>12</v>
      </c>
      <c r="AE50">
        <v>25</v>
      </c>
      <c r="AF50">
        <v>22</v>
      </c>
      <c r="AG50">
        <v>37</v>
      </c>
      <c r="AH50">
        <v>26</v>
      </c>
      <c r="AI50">
        <v>47</v>
      </c>
      <c r="AJ50">
        <v>40</v>
      </c>
      <c r="AK50">
        <v>37</v>
      </c>
      <c r="AL50">
        <v>33</v>
      </c>
      <c r="AM50">
        <v>27</v>
      </c>
      <c r="AN50">
        <v>1</v>
      </c>
    </row>
    <row r="51" spans="1:40" x14ac:dyDescent="0.25">
      <c r="A51" t="s">
        <v>2469</v>
      </c>
      <c r="B51" t="s">
        <v>2470</v>
      </c>
      <c r="F51" t="s">
        <v>300</v>
      </c>
      <c r="G51" t="s">
        <v>2471</v>
      </c>
      <c r="H51">
        <v>2012</v>
      </c>
      <c r="I51">
        <v>34</v>
      </c>
      <c r="J51">
        <v>3</v>
      </c>
      <c r="N51">
        <v>480</v>
      </c>
      <c r="O51">
        <v>492</v>
      </c>
      <c r="Q51" t="s">
        <v>2472</v>
      </c>
      <c r="T51">
        <v>309</v>
      </c>
      <c r="U51">
        <v>38.630000000000003</v>
      </c>
      <c r="V51">
        <v>0</v>
      </c>
      <c r="W51">
        <v>0</v>
      </c>
      <c r="X51">
        <v>0</v>
      </c>
      <c r="Y51">
        <v>0</v>
      </c>
      <c r="Z51">
        <v>0</v>
      </c>
      <c r="AA51">
        <v>0</v>
      </c>
      <c r="AB51">
        <v>0</v>
      </c>
      <c r="AC51">
        <v>0</v>
      </c>
      <c r="AD51">
        <v>0</v>
      </c>
      <c r="AE51">
        <v>0</v>
      </c>
      <c r="AF51">
        <v>0</v>
      </c>
      <c r="AG51">
        <v>5</v>
      </c>
      <c r="AH51">
        <v>28</v>
      </c>
      <c r="AI51">
        <v>43</v>
      </c>
      <c r="AJ51">
        <v>60</v>
      </c>
      <c r="AK51">
        <v>69</v>
      </c>
      <c r="AL51">
        <v>63</v>
      </c>
      <c r="AM51">
        <v>36</v>
      </c>
      <c r="AN51">
        <v>5</v>
      </c>
    </row>
    <row r="52" spans="1:40" x14ac:dyDescent="0.25">
      <c r="A52" t="s">
        <v>1317</v>
      </c>
      <c r="B52" t="s">
        <v>1319</v>
      </c>
      <c r="F52" t="s">
        <v>311</v>
      </c>
      <c r="G52" t="s">
        <v>2393</v>
      </c>
      <c r="H52">
        <v>2015</v>
      </c>
      <c r="I52">
        <v>24</v>
      </c>
      <c r="J52">
        <v>12</v>
      </c>
      <c r="N52">
        <v>5706</v>
      </c>
      <c r="O52">
        <v>5722</v>
      </c>
      <c r="Q52" t="s">
        <v>2473</v>
      </c>
      <c r="T52">
        <v>305</v>
      </c>
      <c r="U52">
        <v>61</v>
      </c>
      <c r="V52">
        <v>0</v>
      </c>
      <c r="W52">
        <v>0</v>
      </c>
      <c r="X52">
        <v>0</v>
      </c>
      <c r="Y52">
        <v>0</v>
      </c>
      <c r="Z52">
        <v>0</v>
      </c>
      <c r="AA52">
        <v>0</v>
      </c>
      <c r="AB52">
        <v>0</v>
      </c>
      <c r="AC52">
        <v>0</v>
      </c>
      <c r="AD52">
        <v>0</v>
      </c>
      <c r="AE52">
        <v>0</v>
      </c>
      <c r="AF52">
        <v>0</v>
      </c>
      <c r="AG52">
        <v>0</v>
      </c>
      <c r="AH52">
        <v>0</v>
      </c>
      <c r="AI52">
        <v>0</v>
      </c>
      <c r="AJ52">
        <v>4</v>
      </c>
      <c r="AK52">
        <v>53</v>
      </c>
      <c r="AL52">
        <v>123</v>
      </c>
      <c r="AM52">
        <v>113</v>
      </c>
      <c r="AN52">
        <v>12</v>
      </c>
    </row>
    <row r="53" spans="1:40" x14ac:dyDescent="0.25">
      <c r="A53" t="s">
        <v>1353</v>
      </c>
      <c r="B53" t="s">
        <v>1355</v>
      </c>
      <c r="F53" t="s">
        <v>300</v>
      </c>
      <c r="G53" t="s">
        <v>2474</v>
      </c>
      <c r="H53">
        <v>2011</v>
      </c>
      <c r="I53">
        <v>33</v>
      </c>
      <c r="J53">
        <v>11</v>
      </c>
      <c r="N53">
        <v>2188</v>
      </c>
      <c r="O53">
        <v>2202</v>
      </c>
      <c r="Q53" t="s">
        <v>2475</v>
      </c>
      <c r="T53">
        <v>258</v>
      </c>
      <c r="U53">
        <v>28.67</v>
      </c>
      <c r="V53">
        <v>0</v>
      </c>
      <c r="W53">
        <v>0</v>
      </c>
      <c r="X53">
        <v>0</v>
      </c>
      <c r="Y53">
        <v>0</v>
      </c>
      <c r="Z53">
        <v>0</v>
      </c>
      <c r="AA53">
        <v>0</v>
      </c>
      <c r="AB53">
        <v>0</v>
      </c>
      <c r="AC53">
        <v>0</v>
      </c>
      <c r="AD53">
        <v>0</v>
      </c>
      <c r="AE53">
        <v>0</v>
      </c>
      <c r="AF53">
        <v>0</v>
      </c>
      <c r="AG53">
        <v>13</v>
      </c>
      <c r="AH53">
        <v>30</v>
      </c>
      <c r="AI53">
        <v>43</v>
      </c>
      <c r="AJ53">
        <v>58</v>
      </c>
      <c r="AK53">
        <v>46</v>
      </c>
      <c r="AL53">
        <v>44</v>
      </c>
      <c r="AM53">
        <v>21</v>
      </c>
      <c r="AN53">
        <v>3</v>
      </c>
    </row>
    <row r="54" spans="1:40" x14ac:dyDescent="0.25">
      <c r="A54" t="s">
        <v>2476</v>
      </c>
      <c r="B54" t="s">
        <v>2477</v>
      </c>
      <c r="F54" t="s">
        <v>300</v>
      </c>
      <c r="G54" t="s">
        <v>2430</v>
      </c>
      <c r="H54">
        <v>2010</v>
      </c>
      <c r="I54">
        <v>32</v>
      </c>
      <c r="J54">
        <v>3</v>
      </c>
      <c r="N54">
        <v>448</v>
      </c>
      <c r="O54">
        <v>461</v>
      </c>
      <c r="Q54" t="s">
        <v>2478</v>
      </c>
      <c r="T54">
        <v>257</v>
      </c>
      <c r="U54">
        <v>25.7</v>
      </c>
      <c r="V54">
        <v>0</v>
      </c>
      <c r="W54">
        <v>0</v>
      </c>
      <c r="X54">
        <v>0</v>
      </c>
      <c r="Y54">
        <v>0</v>
      </c>
      <c r="Z54">
        <v>0</v>
      </c>
      <c r="AA54">
        <v>0</v>
      </c>
      <c r="AB54">
        <v>0</v>
      </c>
      <c r="AC54">
        <v>0</v>
      </c>
      <c r="AD54">
        <v>0</v>
      </c>
      <c r="AE54">
        <v>4</v>
      </c>
      <c r="AF54">
        <v>20</v>
      </c>
      <c r="AG54">
        <v>31</v>
      </c>
      <c r="AH54">
        <v>38</v>
      </c>
      <c r="AI54">
        <v>38</v>
      </c>
      <c r="AJ54">
        <v>42</v>
      </c>
      <c r="AK54">
        <v>32</v>
      </c>
      <c r="AL54">
        <v>25</v>
      </c>
      <c r="AM54">
        <v>27</v>
      </c>
      <c r="AN54">
        <v>0</v>
      </c>
    </row>
    <row r="55" spans="1:40" x14ac:dyDescent="0.25">
      <c r="A55" t="s">
        <v>1392</v>
      </c>
      <c r="B55" t="s">
        <v>1394</v>
      </c>
      <c r="F55" t="s">
        <v>300</v>
      </c>
      <c r="G55" t="s">
        <v>2479</v>
      </c>
      <c r="H55">
        <v>2013</v>
      </c>
      <c r="I55">
        <v>35</v>
      </c>
      <c r="J55">
        <v>3</v>
      </c>
      <c r="N55">
        <v>597</v>
      </c>
      <c r="O55">
        <v>610</v>
      </c>
      <c r="Q55" t="s">
        <v>2480</v>
      </c>
      <c r="T55">
        <v>249</v>
      </c>
      <c r="U55">
        <v>35.57</v>
      </c>
      <c r="V55">
        <v>0</v>
      </c>
      <c r="W55">
        <v>0</v>
      </c>
      <c r="X55">
        <v>0</v>
      </c>
      <c r="Y55">
        <v>0</v>
      </c>
      <c r="Z55">
        <v>0</v>
      </c>
      <c r="AA55">
        <v>0</v>
      </c>
      <c r="AB55">
        <v>0</v>
      </c>
      <c r="AC55">
        <v>0</v>
      </c>
      <c r="AD55">
        <v>0</v>
      </c>
      <c r="AE55">
        <v>0</v>
      </c>
      <c r="AF55">
        <v>0</v>
      </c>
      <c r="AG55">
        <v>0</v>
      </c>
      <c r="AH55">
        <v>4</v>
      </c>
      <c r="AI55">
        <v>21</v>
      </c>
      <c r="AJ55">
        <v>30</v>
      </c>
      <c r="AK55">
        <v>61</v>
      </c>
      <c r="AL55">
        <v>54</v>
      </c>
      <c r="AM55">
        <v>72</v>
      </c>
      <c r="AN55">
        <v>7</v>
      </c>
    </row>
    <row r="56" spans="1:40" x14ac:dyDescent="0.25">
      <c r="A56" t="s">
        <v>2481</v>
      </c>
      <c r="B56" t="s">
        <v>2482</v>
      </c>
      <c r="F56" t="s">
        <v>300</v>
      </c>
      <c r="G56" t="s">
        <v>2483</v>
      </c>
      <c r="H56">
        <v>2012</v>
      </c>
      <c r="I56">
        <v>34</v>
      </c>
      <c r="J56">
        <v>1</v>
      </c>
      <c r="N56">
        <v>66</v>
      </c>
      <c r="O56">
        <v>78</v>
      </c>
      <c r="Q56" t="s">
        <v>2484</v>
      </c>
      <c r="T56">
        <v>230</v>
      </c>
      <c r="U56">
        <v>28.75</v>
      </c>
      <c r="V56">
        <v>0</v>
      </c>
      <c r="W56">
        <v>0</v>
      </c>
      <c r="X56">
        <v>0</v>
      </c>
      <c r="Y56">
        <v>0</v>
      </c>
      <c r="Z56">
        <v>0</v>
      </c>
      <c r="AA56">
        <v>0</v>
      </c>
      <c r="AB56">
        <v>0</v>
      </c>
      <c r="AC56">
        <v>0</v>
      </c>
      <c r="AD56">
        <v>0</v>
      </c>
      <c r="AE56">
        <v>0</v>
      </c>
      <c r="AF56">
        <v>0</v>
      </c>
      <c r="AG56">
        <v>8</v>
      </c>
      <c r="AH56">
        <v>20</v>
      </c>
      <c r="AI56">
        <v>30</v>
      </c>
      <c r="AJ56">
        <v>44</v>
      </c>
      <c r="AK56">
        <v>34</v>
      </c>
      <c r="AL56">
        <v>55</v>
      </c>
      <c r="AM56">
        <v>36</v>
      </c>
      <c r="AN56">
        <v>3</v>
      </c>
    </row>
    <row r="57" spans="1:40" x14ac:dyDescent="0.25">
      <c r="A57" t="s">
        <v>2485</v>
      </c>
      <c r="B57" t="s">
        <v>2486</v>
      </c>
      <c r="F57" t="s">
        <v>311</v>
      </c>
      <c r="G57" t="s">
        <v>2487</v>
      </c>
      <c r="H57">
        <v>2011</v>
      </c>
      <c r="I57">
        <v>20</v>
      </c>
      <c r="J57">
        <v>9</v>
      </c>
      <c r="N57">
        <v>2475</v>
      </c>
      <c r="O57">
        <v>2489</v>
      </c>
      <c r="Q57" t="s">
        <v>2488</v>
      </c>
      <c r="T57">
        <v>223</v>
      </c>
      <c r="U57">
        <v>24.78</v>
      </c>
      <c r="V57">
        <v>0</v>
      </c>
      <c r="W57">
        <v>0</v>
      </c>
      <c r="X57">
        <v>0</v>
      </c>
      <c r="Y57">
        <v>0</v>
      </c>
      <c r="Z57">
        <v>0</v>
      </c>
      <c r="AA57">
        <v>0</v>
      </c>
      <c r="AB57">
        <v>0</v>
      </c>
      <c r="AC57">
        <v>0</v>
      </c>
      <c r="AD57">
        <v>0</v>
      </c>
      <c r="AE57">
        <v>0</v>
      </c>
      <c r="AF57">
        <v>4</v>
      </c>
      <c r="AG57">
        <v>17</v>
      </c>
      <c r="AH57">
        <v>27</v>
      </c>
      <c r="AI57">
        <v>33</v>
      </c>
      <c r="AJ57">
        <v>50</v>
      </c>
      <c r="AK57">
        <v>38</v>
      </c>
      <c r="AL57">
        <v>26</v>
      </c>
      <c r="AM57">
        <v>26</v>
      </c>
      <c r="AN57">
        <v>2</v>
      </c>
    </row>
    <row r="58" spans="1:40" x14ac:dyDescent="0.25">
      <c r="A58" t="s">
        <v>1362</v>
      </c>
      <c r="B58" t="s">
        <v>1364</v>
      </c>
      <c r="F58" t="s">
        <v>300</v>
      </c>
      <c r="G58" t="s">
        <v>2489</v>
      </c>
      <c r="H58">
        <v>2009</v>
      </c>
      <c r="I58">
        <v>31</v>
      </c>
      <c r="J58">
        <v>2</v>
      </c>
      <c r="N58">
        <v>319</v>
      </c>
      <c r="O58">
        <v>336</v>
      </c>
      <c r="Q58" t="s">
        <v>2490</v>
      </c>
      <c r="T58">
        <v>216</v>
      </c>
      <c r="U58">
        <v>19.64</v>
      </c>
      <c r="V58">
        <v>0</v>
      </c>
      <c r="W58">
        <v>0</v>
      </c>
      <c r="X58">
        <v>0</v>
      </c>
      <c r="Y58">
        <v>0</v>
      </c>
      <c r="Z58">
        <v>0</v>
      </c>
      <c r="AA58">
        <v>0</v>
      </c>
      <c r="AB58">
        <v>0</v>
      </c>
      <c r="AC58">
        <v>1</v>
      </c>
      <c r="AD58">
        <v>2</v>
      </c>
      <c r="AE58">
        <v>14</v>
      </c>
      <c r="AF58">
        <v>14</v>
      </c>
      <c r="AG58">
        <v>23</v>
      </c>
      <c r="AH58">
        <v>25</v>
      </c>
      <c r="AI58">
        <v>39</v>
      </c>
      <c r="AJ58">
        <v>33</v>
      </c>
      <c r="AK58">
        <v>27</v>
      </c>
      <c r="AL58">
        <v>26</v>
      </c>
      <c r="AM58">
        <v>11</v>
      </c>
      <c r="AN58">
        <v>1</v>
      </c>
    </row>
    <row r="59" spans="1:40" x14ac:dyDescent="0.25">
      <c r="A59" t="s">
        <v>1740</v>
      </c>
      <c r="B59" t="s">
        <v>1742</v>
      </c>
      <c r="E59" t="s">
        <v>2491</v>
      </c>
      <c r="F59" t="s">
        <v>344</v>
      </c>
      <c r="G59">
        <v>2003</v>
      </c>
      <c r="H59">
        <v>2003</v>
      </c>
      <c r="I59">
        <v>2781</v>
      </c>
      <c r="N59">
        <v>297</v>
      </c>
      <c r="O59">
        <v>304</v>
      </c>
      <c r="R59" t="s">
        <v>2492</v>
      </c>
      <c r="S59" t="s">
        <v>2493</v>
      </c>
      <c r="T59">
        <v>213</v>
      </c>
      <c r="U59">
        <v>12.53</v>
      </c>
      <c r="V59">
        <v>0</v>
      </c>
      <c r="W59">
        <v>0</v>
      </c>
      <c r="X59">
        <v>0</v>
      </c>
      <c r="Y59">
        <v>0</v>
      </c>
      <c r="Z59">
        <v>2</v>
      </c>
      <c r="AA59">
        <v>9</v>
      </c>
      <c r="AB59">
        <v>5</v>
      </c>
      <c r="AC59">
        <v>12</v>
      </c>
      <c r="AD59">
        <v>11</v>
      </c>
      <c r="AE59">
        <v>21</v>
      </c>
      <c r="AF59">
        <v>9</v>
      </c>
      <c r="AG59">
        <v>14</v>
      </c>
      <c r="AH59">
        <v>17</v>
      </c>
      <c r="AI59">
        <v>25</v>
      </c>
      <c r="AJ59">
        <v>32</v>
      </c>
      <c r="AK59">
        <v>21</v>
      </c>
      <c r="AL59">
        <v>20</v>
      </c>
      <c r="AM59">
        <v>15</v>
      </c>
      <c r="AN59">
        <v>0</v>
      </c>
    </row>
    <row r="60" spans="1:40" x14ac:dyDescent="0.25">
      <c r="A60" t="s">
        <v>1686</v>
      </c>
      <c r="B60" t="s">
        <v>1688</v>
      </c>
      <c r="F60" t="s">
        <v>308</v>
      </c>
      <c r="G60" t="s">
        <v>2494</v>
      </c>
      <c r="H60">
        <v>2010</v>
      </c>
      <c r="I60">
        <v>43</v>
      </c>
      <c r="J60">
        <v>2</v>
      </c>
      <c r="M60" t="s">
        <v>1948</v>
      </c>
      <c r="N60">
        <v>445</v>
      </c>
      <c r="O60">
        <v>456</v>
      </c>
      <c r="Q60" t="s">
        <v>2495</v>
      </c>
      <c r="T60">
        <v>197</v>
      </c>
      <c r="U60">
        <v>19.7</v>
      </c>
      <c r="V60">
        <v>0</v>
      </c>
      <c r="W60">
        <v>0</v>
      </c>
      <c r="X60">
        <v>0</v>
      </c>
      <c r="Y60">
        <v>0</v>
      </c>
      <c r="Z60">
        <v>0</v>
      </c>
      <c r="AA60">
        <v>0</v>
      </c>
      <c r="AB60">
        <v>0</v>
      </c>
      <c r="AC60">
        <v>0</v>
      </c>
      <c r="AD60">
        <v>0</v>
      </c>
      <c r="AE60">
        <v>8</v>
      </c>
      <c r="AF60">
        <v>16</v>
      </c>
      <c r="AG60">
        <v>22</v>
      </c>
      <c r="AH60">
        <v>19</v>
      </c>
      <c r="AI60">
        <v>38</v>
      </c>
      <c r="AJ60">
        <v>25</v>
      </c>
      <c r="AK60">
        <v>31</v>
      </c>
      <c r="AL60">
        <v>23</v>
      </c>
      <c r="AM60">
        <v>14</v>
      </c>
      <c r="AN60">
        <v>1</v>
      </c>
    </row>
    <row r="61" spans="1:40" x14ac:dyDescent="0.25">
      <c r="A61" t="s">
        <v>2496</v>
      </c>
      <c r="B61" t="s">
        <v>2497</v>
      </c>
      <c r="F61" t="s">
        <v>300</v>
      </c>
      <c r="G61" t="s">
        <v>2498</v>
      </c>
      <c r="H61">
        <v>2014</v>
      </c>
      <c r="I61">
        <v>36</v>
      </c>
      <c r="J61">
        <v>3</v>
      </c>
      <c r="N61">
        <v>453</v>
      </c>
      <c r="O61">
        <v>465</v>
      </c>
      <c r="Q61" t="s">
        <v>2499</v>
      </c>
      <c r="T61">
        <v>185</v>
      </c>
      <c r="U61">
        <v>30.83</v>
      </c>
      <c r="V61">
        <v>0</v>
      </c>
      <c r="W61">
        <v>0</v>
      </c>
      <c r="X61">
        <v>0</v>
      </c>
      <c r="Y61">
        <v>0</v>
      </c>
      <c r="Z61">
        <v>0</v>
      </c>
      <c r="AA61">
        <v>0</v>
      </c>
      <c r="AB61">
        <v>0</v>
      </c>
      <c r="AC61">
        <v>0</v>
      </c>
      <c r="AD61">
        <v>0</v>
      </c>
      <c r="AE61">
        <v>0</v>
      </c>
      <c r="AF61">
        <v>0</v>
      </c>
      <c r="AG61">
        <v>0</v>
      </c>
      <c r="AH61">
        <v>0</v>
      </c>
      <c r="AI61">
        <v>4</v>
      </c>
      <c r="AJ61">
        <v>13</v>
      </c>
      <c r="AK61">
        <v>35</v>
      </c>
      <c r="AL61">
        <v>75</v>
      </c>
      <c r="AM61">
        <v>49</v>
      </c>
      <c r="AN61">
        <v>9</v>
      </c>
    </row>
    <row r="62" spans="1:40" x14ac:dyDescent="0.25">
      <c r="A62" t="s">
        <v>1638</v>
      </c>
      <c r="B62" t="s">
        <v>1640</v>
      </c>
      <c r="F62" t="s">
        <v>306</v>
      </c>
      <c r="G62" t="s">
        <v>2500</v>
      </c>
      <c r="H62">
        <v>2016</v>
      </c>
      <c r="I62">
        <v>187</v>
      </c>
      <c r="M62" t="s">
        <v>1948</v>
      </c>
      <c r="N62">
        <v>27</v>
      </c>
      <c r="O62">
        <v>48</v>
      </c>
      <c r="Q62" t="s">
        <v>2501</v>
      </c>
      <c r="T62">
        <v>183</v>
      </c>
      <c r="U62">
        <v>45.75</v>
      </c>
      <c r="V62">
        <v>0</v>
      </c>
      <c r="W62">
        <v>0</v>
      </c>
      <c r="X62">
        <v>0</v>
      </c>
      <c r="Y62">
        <v>0</v>
      </c>
      <c r="Z62">
        <v>0</v>
      </c>
      <c r="AA62">
        <v>0</v>
      </c>
      <c r="AB62">
        <v>0</v>
      </c>
      <c r="AC62">
        <v>0</v>
      </c>
      <c r="AD62">
        <v>0</v>
      </c>
      <c r="AE62">
        <v>0</v>
      </c>
      <c r="AF62">
        <v>0</v>
      </c>
      <c r="AG62">
        <v>0</v>
      </c>
      <c r="AH62">
        <v>0</v>
      </c>
      <c r="AI62">
        <v>0</v>
      </c>
      <c r="AJ62">
        <v>0</v>
      </c>
      <c r="AK62">
        <v>6</v>
      </c>
      <c r="AL62">
        <v>61</v>
      </c>
      <c r="AM62">
        <v>105</v>
      </c>
      <c r="AN62">
        <v>11</v>
      </c>
    </row>
    <row r="63" spans="1:40" x14ac:dyDescent="0.25">
      <c r="A63" t="s">
        <v>1707</v>
      </c>
      <c r="B63" t="s">
        <v>1709</v>
      </c>
      <c r="F63" t="s">
        <v>305</v>
      </c>
      <c r="G63" t="s">
        <v>2502</v>
      </c>
      <c r="H63">
        <v>2011</v>
      </c>
      <c r="I63">
        <v>32</v>
      </c>
      <c r="J63">
        <v>12</v>
      </c>
      <c r="N63">
        <v>1598</v>
      </c>
      <c r="O63">
        <v>1603</v>
      </c>
      <c r="Q63" t="s">
        <v>2503</v>
      </c>
      <c r="T63">
        <v>176</v>
      </c>
      <c r="U63">
        <v>19.559999999999999</v>
      </c>
      <c r="V63">
        <v>0</v>
      </c>
      <c r="W63">
        <v>0</v>
      </c>
      <c r="X63">
        <v>0</v>
      </c>
      <c r="Y63">
        <v>0</v>
      </c>
      <c r="Z63">
        <v>0</v>
      </c>
      <c r="AA63">
        <v>0</v>
      </c>
      <c r="AB63">
        <v>0</v>
      </c>
      <c r="AC63">
        <v>0</v>
      </c>
      <c r="AD63">
        <v>0</v>
      </c>
      <c r="AE63">
        <v>0</v>
      </c>
      <c r="AF63">
        <v>0</v>
      </c>
      <c r="AG63">
        <v>2</v>
      </c>
      <c r="AH63">
        <v>8</v>
      </c>
      <c r="AI63">
        <v>21</v>
      </c>
      <c r="AJ63">
        <v>35</v>
      </c>
      <c r="AK63">
        <v>28</v>
      </c>
      <c r="AL63">
        <v>45</v>
      </c>
      <c r="AM63">
        <v>36</v>
      </c>
      <c r="AN63">
        <v>1</v>
      </c>
    </row>
    <row r="64" spans="1:40" x14ac:dyDescent="0.25">
      <c r="A64" t="s">
        <v>1383</v>
      </c>
      <c r="B64" t="s">
        <v>1385</v>
      </c>
      <c r="F64" t="s">
        <v>300</v>
      </c>
      <c r="G64" t="s">
        <v>2504</v>
      </c>
      <c r="H64">
        <v>2011</v>
      </c>
      <c r="I64">
        <v>33</v>
      </c>
      <c r="J64">
        <v>10</v>
      </c>
      <c r="N64">
        <v>1978</v>
      </c>
      <c r="O64">
        <v>1990</v>
      </c>
      <c r="Q64" t="s">
        <v>2505</v>
      </c>
      <c r="T64">
        <v>165</v>
      </c>
      <c r="U64">
        <v>18.329999999999998</v>
      </c>
      <c r="V64">
        <v>0</v>
      </c>
      <c r="W64">
        <v>0</v>
      </c>
      <c r="X64">
        <v>0</v>
      </c>
      <c r="Y64">
        <v>0</v>
      </c>
      <c r="Z64">
        <v>0</v>
      </c>
      <c r="AA64">
        <v>0</v>
      </c>
      <c r="AB64">
        <v>0</v>
      </c>
      <c r="AC64">
        <v>0</v>
      </c>
      <c r="AD64">
        <v>0</v>
      </c>
      <c r="AE64">
        <v>0</v>
      </c>
      <c r="AF64">
        <v>0</v>
      </c>
      <c r="AG64">
        <v>6</v>
      </c>
      <c r="AH64">
        <v>19</v>
      </c>
      <c r="AI64">
        <v>27</v>
      </c>
      <c r="AJ64">
        <v>31</v>
      </c>
      <c r="AK64">
        <v>25</v>
      </c>
      <c r="AL64">
        <v>20</v>
      </c>
      <c r="AM64">
        <v>32</v>
      </c>
      <c r="AN64">
        <v>5</v>
      </c>
    </row>
    <row r="65" spans="1:40" x14ac:dyDescent="0.25">
      <c r="A65" t="s">
        <v>2506</v>
      </c>
      <c r="B65" t="s">
        <v>2507</v>
      </c>
      <c r="F65" t="s">
        <v>298</v>
      </c>
      <c r="G65" t="s">
        <v>2441</v>
      </c>
      <c r="H65">
        <v>2009</v>
      </c>
      <c r="I65">
        <v>113</v>
      </c>
      <c r="J65">
        <v>1</v>
      </c>
      <c r="N65">
        <v>48</v>
      </c>
      <c r="O65">
        <v>62</v>
      </c>
      <c r="Q65" t="s">
        <v>2508</v>
      </c>
      <c r="T65">
        <v>159</v>
      </c>
      <c r="U65">
        <v>14.45</v>
      </c>
      <c r="V65">
        <v>0</v>
      </c>
      <c r="W65">
        <v>0</v>
      </c>
      <c r="X65">
        <v>0</v>
      </c>
      <c r="Y65">
        <v>0</v>
      </c>
      <c r="Z65">
        <v>0</v>
      </c>
      <c r="AA65">
        <v>0</v>
      </c>
      <c r="AB65">
        <v>0</v>
      </c>
      <c r="AC65">
        <v>0</v>
      </c>
      <c r="AD65">
        <v>2</v>
      </c>
      <c r="AE65">
        <v>15</v>
      </c>
      <c r="AF65">
        <v>14</v>
      </c>
      <c r="AG65">
        <v>32</v>
      </c>
      <c r="AH65">
        <v>17</v>
      </c>
      <c r="AI65">
        <v>22</v>
      </c>
      <c r="AJ65">
        <v>23</v>
      </c>
      <c r="AK65">
        <v>18</v>
      </c>
      <c r="AL65">
        <v>8</v>
      </c>
      <c r="AM65">
        <v>8</v>
      </c>
      <c r="AN65">
        <v>0</v>
      </c>
    </row>
    <row r="66" spans="1:40" x14ac:dyDescent="0.25">
      <c r="A66" t="s">
        <v>2509</v>
      </c>
      <c r="B66" t="s">
        <v>2510</v>
      </c>
      <c r="F66" t="s">
        <v>311</v>
      </c>
      <c r="G66" t="s">
        <v>2511</v>
      </c>
      <c r="H66">
        <v>2006</v>
      </c>
      <c r="I66">
        <v>15</v>
      </c>
      <c r="J66">
        <v>5</v>
      </c>
      <c r="N66">
        <v>1088</v>
      </c>
      <c r="O66">
        <v>1099</v>
      </c>
      <c r="Q66" t="s">
        <v>2512</v>
      </c>
      <c r="T66">
        <v>158</v>
      </c>
      <c r="U66">
        <v>11.29</v>
      </c>
      <c r="V66">
        <v>0</v>
      </c>
      <c r="W66">
        <v>0</v>
      </c>
      <c r="X66">
        <v>0</v>
      </c>
      <c r="Y66">
        <v>0</v>
      </c>
      <c r="Z66">
        <v>0</v>
      </c>
      <c r="AA66">
        <v>0</v>
      </c>
      <c r="AB66">
        <v>10</v>
      </c>
      <c r="AC66">
        <v>12</v>
      </c>
      <c r="AD66">
        <v>11</v>
      </c>
      <c r="AE66">
        <v>7</v>
      </c>
      <c r="AF66">
        <v>10</v>
      </c>
      <c r="AG66">
        <v>11</v>
      </c>
      <c r="AH66">
        <v>8</v>
      </c>
      <c r="AI66">
        <v>18</v>
      </c>
      <c r="AJ66">
        <v>22</v>
      </c>
      <c r="AK66">
        <v>14</v>
      </c>
      <c r="AL66">
        <v>20</v>
      </c>
      <c r="AM66">
        <v>15</v>
      </c>
      <c r="AN66">
        <v>0</v>
      </c>
    </row>
    <row r="67" spans="1:40" x14ac:dyDescent="0.25">
      <c r="A67" t="s">
        <v>2513</v>
      </c>
      <c r="B67" t="s">
        <v>2514</v>
      </c>
      <c r="F67" t="s">
        <v>311</v>
      </c>
      <c r="G67" t="s">
        <v>2515</v>
      </c>
      <c r="H67">
        <v>2012</v>
      </c>
      <c r="I67">
        <v>21</v>
      </c>
      <c r="J67">
        <v>11</v>
      </c>
      <c r="N67">
        <v>4636</v>
      </c>
      <c r="O67">
        <v>4648</v>
      </c>
      <c r="Q67" t="s">
        <v>2516</v>
      </c>
      <c r="T67">
        <v>157</v>
      </c>
      <c r="U67">
        <v>19.63</v>
      </c>
      <c r="V67">
        <v>0</v>
      </c>
      <c r="W67">
        <v>0</v>
      </c>
      <c r="X67">
        <v>0</v>
      </c>
      <c r="Y67">
        <v>0</v>
      </c>
      <c r="Z67">
        <v>0</v>
      </c>
      <c r="AA67">
        <v>0</v>
      </c>
      <c r="AB67">
        <v>0</v>
      </c>
      <c r="AC67">
        <v>0</v>
      </c>
      <c r="AD67">
        <v>0</v>
      </c>
      <c r="AE67">
        <v>0</v>
      </c>
      <c r="AF67">
        <v>0</v>
      </c>
      <c r="AG67">
        <v>1</v>
      </c>
      <c r="AH67">
        <v>11</v>
      </c>
      <c r="AI67">
        <v>44</v>
      </c>
      <c r="AJ67">
        <v>43</v>
      </c>
      <c r="AK67">
        <v>26</v>
      </c>
      <c r="AL67">
        <v>19</v>
      </c>
      <c r="AM67">
        <v>12</v>
      </c>
      <c r="AN67">
        <v>1</v>
      </c>
    </row>
    <row r="68" spans="1:40" x14ac:dyDescent="0.25">
      <c r="A68" t="s">
        <v>1650</v>
      </c>
      <c r="B68" t="s">
        <v>1652</v>
      </c>
      <c r="F68" t="s">
        <v>306</v>
      </c>
      <c r="G68" t="s">
        <v>2391</v>
      </c>
      <c r="H68">
        <v>2008</v>
      </c>
      <c r="I68">
        <v>71</v>
      </c>
      <c r="J68" t="s">
        <v>2517</v>
      </c>
      <c r="N68">
        <v>1771</v>
      </c>
      <c r="O68">
        <v>1787</v>
      </c>
      <c r="Q68" t="s">
        <v>2518</v>
      </c>
      <c r="T68">
        <v>150</v>
      </c>
      <c r="U68">
        <v>12.5</v>
      </c>
      <c r="V68">
        <v>0</v>
      </c>
      <c r="W68">
        <v>0</v>
      </c>
      <c r="X68">
        <v>0</v>
      </c>
      <c r="Y68">
        <v>0</v>
      </c>
      <c r="Z68">
        <v>0</v>
      </c>
      <c r="AA68">
        <v>0</v>
      </c>
      <c r="AB68">
        <v>0</v>
      </c>
      <c r="AC68">
        <v>0</v>
      </c>
      <c r="AD68">
        <v>4</v>
      </c>
      <c r="AE68">
        <v>9</v>
      </c>
      <c r="AF68">
        <v>14</v>
      </c>
      <c r="AG68">
        <v>10</v>
      </c>
      <c r="AH68">
        <v>23</v>
      </c>
      <c r="AI68">
        <v>21</v>
      </c>
      <c r="AJ68">
        <v>18</v>
      </c>
      <c r="AK68">
        <v>19</v>
      </c>
      <c r="AL68">
        <v>20</v>
      </c>
      <c r="AM68">
        <v>11</v>
      </c>
      <c r="AN68">
        <v>1</v>
      </c>
    </row>
    <row r="69" spans="1:40" x14ac:dyDescent="0.25">
      <c r="A69" t="s">
        <v>1530</v>
      </c>
      <c r="B69" t="s">
        <v>1532</v>
      </c>
      <c r="F69" t="s">
        <v>303</v>
      </c>
      <c r="G69" t="s">
        <v>2519</v>
      </c>
      <c r="H69">
        <v>2004</v>
      </c>
      <c r="I69">
        <v>56</v>
      </c>
      <c r="J69">
        <v>3</v>
      </c>
      <c r="N69">
        <v>151</v>
      </c>
      <c r="O69">
        <v>177</v>
      </c>
      <c r="Q69" t="s">
        <v>2520</v>
      </c>
      <c r="T69">
        <v>149</v>
      </c>
      <c r="U69">
        <v>9.31</v>
      </c>
      <c r="V69">
        <v>0</v>
      </c>
      <c r="W69">
        <v>0</v>
      </c>
      <c r="X69">
        <v>0</v>
      </c>
      <c r="Y69">
        <v>1</v>
      </c>
      <c r="Z69">
        <v>10</v>
      </c>
      <c r="AA69">
        <v>20</v>
      </c>
      <c r="AB69">
        <v>21</v>
      </c>
      <c r="AC69">
        <v>14</v>
      </c>
      <c r="AD69">
        <v>13</v>
      </c>
      <c r="AE69">
        <v>11</v>
      </c>
      <c r="AF69">
        <v>12</v>
      </c>
      <c r="AG69">
        <v>10</v>
      </c>
      <c r="AH69">
        <v>12</v>
      </c>
      <c r="AI69">
        <v>8</v>
      </c>
      <c r="AJ69">
        <v>9</v>
      </c>
      <c r="AK69">
        <v>3</v>
      </c>
      <c r="AL69">
        <v>4</v>
      </c>
      <c r="AM69">
        <v>1</v>
      </c>
      <c r="AN69">
        <v>0</v>
      </c>
    </row>
    <row r="70" spans="1:40" x14ac:dyDescent="0.25">
      <c r="A70" t="s">
        <v>1701</v>
      </c>
      <c r="B70" t="s">
        <v>1703</v>
      </c>
      <c r="F70" t="s">
        <v>305</v>
      </c>
      <c r="G70" t="s">
        <v>2521</v>
      </c>
      <c r="H70">
        <v>2014</v>
      </c>
      <c r="I70">
        <v>48</v>
      </c>
      <c r="N70">
        <v>70</v>
      </c>
      <c r="O70">
        <v>80</v>
      </c>
      <c r="Q70" t="s">
        <v>2522</v>
      </c>
      <c r="T70">
        <v>148</v>
      </c>
      <c r="U70">
        <v>24.67</v>
      </c>
      <c r="V70">
        <v>0</v>
      </c>
      <c r="W70">
        <v>0</v>
      </c>
      <c r="X70">
        <v>0</v>
      </c>
      <c r="Y70">
        <v>0</v>
      </c>
      <c r="Z70">
        <v>0</v>
      </c>
      <c r="AA70">
        <v>0</v>
      </c>
      <c r="AB70">
        <v>0</v>
      </c>
      <c r="AC70">
        <v>0</v>
      </c>
      <c r="AD70">
        <v>0</v>
      </c>
      <c r="AE70">
        <v>0</v>
      </c>
      <c r="AF70">
        <v>0</v>
      </c>
      <c r="AG70">
        <v>0</v>
      </c>
      <c r="AH70">
        <v>0</v>
      </c>
      <c r="AI70">
        <v>1</v>
      </c>
      <c r="AJ70">
        <v>19</v>
      </c>
      <c r="AK70">
        <v>42</v>
      </c>
      <c r="AL70">
        <v>42</v>
      </c>
      <c r="AM70">
        <v>38</v>
      </c>
      <c r="AN70">
        <v>6</v>
      </c>
    </row>
    <row r="71" spans="1:40" x14ac:dyDescent="0.25">
      <c r="A71" t="s">
        <v>1560</v>
      </c>
      <c r="B71" t="s">
        <v>1562</v>
      </c>
      <c r="F71" t="s">
        <v>335</v>
      </c>
      <c r="G71" t="s">
        <v>2454</v>
      </c>
      <c r="H71">
        <v>2006</v>
      </c>
      <c r="I71">
        <v>8</v>
      </c>
      <c r="J71">
        <v>4</v>
      </c>
      <c r="N71">
        <v>280</v>
      </c>
      <c r="O71">
        <v>296</v>
      </c>
      <c r="Q71" t="s">
        <v>2523</v>
      </c>
      <c r="T71">
        <v>146</v>
      </c>
      <c r="U71">
        <v>10.43</v>
      </c>
      <c r="V71">
        <v>0</v>
      </c>
      <c r="W71">
        <v>0</v>
      </c>
      <c r="X71">
        <v>0</v>
      </c>
      <c r="Y71">
        <v>0</v>
      </c>
      <c r="Z71">
        <v>0</v>
      </c>
      <c r="AA71">
        <v>0</v>
      </c>
      <c r="AB71">
        <v>1</v>
      </c>
      <c r="AC71">
        <v>1</v>
      </c>
      <c r="AD71">
        <v>3</v>
      </c>
      <c r="AE71">
        <v>4</v>
      </c>
      <c r="AF71">
        <v>6</v>
      </c>
      <c r="AG71">
        <v>8</v>
      </c>
      <c r="AH71">
        <v>22</v>
      </c>
      <c r="AI71">
        <v>17</v>
      </c>
      <c r="AJ71">
        <v>21</v>
      </c>
      <c r="AK71">
        <v>26</v>
      </c>
      <c r="AL71">
        <v>22</v>
      </c>
      <c r="AM71">
        <v>15</v>
      </c>
      <c r="AN71">
        <v>0</v>
      </c>
    </row>
    <row r="72" spans="1:40" x14ac:dyDescent="0.25">
      <c r="A72" t="s">
        <v>2524</v>
      </c>
      <c r="B72" t="s">
        <v>2525</v>
      </c>
      <c r="F72" t="s">
        <v>300</v>
      </c>
      <c r="G72" t="s">
        <v>2526</v>
      </c>
      <c r="H72">
        <v>2013</v>
      </c>
      <c r="I72">
        <v>35</v>
      </c>
      <c r="J72">
        <v>8</v>
      </c>
      <c r="N72">
        <v>1930</v>
      </c>
      <c r="O72">
        <v>1943</v>
      </c>
      <c r="Q72" t="s">
        <v>2527</v>
      </c>
      <c r="T72">
        <v>140</v>
      </c>
      <c r="U72">
        <v>20</v>
      </c>
      <c r="V72">
        <v>0</v>
      </c>
      <c r="W72">
        <v>0</v>
      </c>
      <c r="X72">
        <v>0</v>
      </c>
      <c r="Y72">
        <v>0</v>
      </c>
      <c r="Z72">
        <v>0</v>
      </c>
      <c r="AA72">
        <v>0</v>
      </c>
      <c r="AB72">
        <v>0</v>
      </c>
      <c r="AC72">
        <v>0</v>
      </c>
      <c r="AD72">
        <v>0</v>
      </c>
      <c r="AE72">
        <v>0</v>
      </c>
      <c r="AF72">
        <v>0</v>
      </c>
      <c r="AG72">
        <v>0</v>
      </c>
      <c r="AH72">
        <v>0</v>
      </c>
      <c r="AI72">
        <v>4</v>
      </c>
      <c r="AJ72">
        <v>13</v>
      </c>
      <c r="AK72">
        <v>25</v>
      </c>
      <c r="AL72">
        <v>43</v>
      </c>
      <c r="AM72">
        <v>52</v>
      </c>
      <c r="AN72">
        <v>3</v>
      </c>
    </row>
    <row r="73" spans="1:40" x14ac:dyDescent="0.25">
      <c r="A73" t="s">
        <v>1356</v>
      </c>
      <c r="B73" t="s">
        <v>1358</v>
      </c>
      <c r="F73" t="s">
        <v>300</v>
      </c>
      <c r="G73" t="s">
        <v>2528</v>
      </c>
      <c r="H73">
        <v>2016</v>
      </c>
      <c r="I73">
        <v>38</v>
      </c>
      <c r="J73">
        <v>4</v>
      </c>
      <c r="N73">
        <v>814</v>
      </c>
      <c r="O73">
        <v>830</v>
      </c>
      <c r="Q73" t="s">
        <v>2529</v>
      </c>
      <c r="T73">
        <v>139</v>
      </c>
      <c r="U73">
        <v>34.75</v>
      </c>
      <c r="V73">
        <v>0</v>
      </c>
      <c r="W73">
        <v>0</v>
      </c>
      <c r="X73">
        <v>0</v>
      </c>
      <c r="Y73">
        <v>0</v>
      </c>
      <c r="Z73">
        <v>0</v>
      </c>
      <c r="AA73">
        <v>0</v>
      </c>
      <c r="AB73">
        <v>0</v>
      </c>
      <c r="AC73">
        <v>0</v>
      </c>
      <c r="AD73">
        <v>0</v>
      </c>
      <c r="AE73">
        <v>0</v>
      </c>
      <c r="AF73">
        <v>0</v>
      </c>
      <c r="AG73">
        <v>0</v>
      </c>
      <c r="AH73">
        <v>0</v>
      </c>
      <c r="AI73">
        <v>0</v>
      </c>
      <c r="AJ73">
        <v>0</v>
      </c>
      <c r="AK73">
        <v>19</v>
      </c>
      <c r="AL73">
        <v>67</v>
      </c>
      <c r="AM73">
        <v>51</v>
      </c>
      <c r="AN73">
        <v>2</v>
      </c>
    </row>
    <row r="74" spans="1:40" x14ac:dyDescent="0.25">
      <c r="A74" t="s">
        <v>1282</v>
      </c>
      <c r="B74" t="s">
        <v>1051</v>
      </c>
      <c r="F74" t="s">
        <v>298</v>
      </c>
      <c r="G74" t="s">
        <v>2530</v>
      </c>
      <c r="H74">
        <v>2013</v>
      </c>
      <c r="I74">
        <v>117</v>
      </c>
      <c r="J74">
        <v>6</v>
      </c>
      <c r="N74">
        <v>633</v>
      </c>
      <c r="O74">
        <v>659</v>
      </c>
      <c r="Q74" t="s">
        <v>2531</v>
      </c>
      <c r="T74">
        <v>131</v>
      </c>
      <c r="U74">
        <v>18.71</v>
      </c>
      <c r="V74">
        <v>0</v>
      </c>
      <c r="W74">
        <v>0</v>
      </c>
      <c r="X74">
        <v>0</v>
      </c>
      <c r="Y74">
        <v>0</v>
      </c>
      <c r="Z74">
        <v>0</v>
      </c>
      <c r="AA74">
        <v>0</v>
      </c>
      <c r="AB74">
        <v>0</v>
      </c>
      <c r="AC74">
        <v>0</v>
      </c>
      <c r="AD74">
        <v>0</v>
      </c>
      <c r="AE74">
        <v>0</v>
      </c>
      <c r="AF74">
        <v>0</v>
      </c>
      <c r="AG74">
        <v>0</v>
      </c>
      <c r="AH74">
        <v>2</v>
      </c>
      <c r="AI74">
        <v>18</v>
      </c>
      <c r="AJ74">
        <v>21</v>
      </c>
      <c r="AK74">
        <v>35</v>
      </c>
      <c r="AL74">
        <v>34</v>
      </c>
      <c r="AM74">
        <v>21</v>
      </c>
      <c r="AN74">
        <v>0</v>
      </c>
    </row>
    <row r="75" spans="1:40" x14ac:dyDescent="0.25">
      <c r="A75" t="s">
        <v>2532</v>
      </c>
      <c r="B75" t="s">
        <v>2533</v>
      </c>
      <c r="F75" t="s">
        <v>300</v>
      </c>
      <c r="G75" t="s">
        <v>2526</v>
      </c>
      <c r="H75">
        <v>2013</v>
      </c>
      <c r="I75">
        <v>35</v>
      </c>
      <c r="J75">
        <v>8</v>
      </c>
      <c r="N75">
        <v>1847</v>
      </c>
      <c r="O75">
        <v>1871</v>
      </c>
      <c r="Q75" t="s">
        <v>2534</v>
      </c>
      <c r="T75">
        <v>129</v>
      </c>
      <c r="U75">
        <v>18.43</v>
      </c>
      <c r="V75">
        <v>0</v>
      </c>
      <c r="W75">
        <v>0</v>
      </c>
      <c r="X75">
        <v>0</v>
      </c>
      <c r="Y75">
        <v>0</v>
      </c>
      <c r="Z75">
        <v>0</v>
      </c>
      <c r="AA75">
        <v>0</v>
      </c>
      <c r="AB75">
        <v>0</v>
      </c>
      <c r="AC75">
        <v>0</v>
      </c>
      <c r="AD75">
        <v>0</v>
      </c>
      <c r="AE75">
        <v>0</v>
      </c>
      <c r="AF75">
        <v>0</v>
      </c>
      <c r="AG75">
        <v>0</v>
      </c>
      <c r="AH75">
        <v>1</v>
      </c>
      <c r="AI75">
        <v>11</v>
      </c>
      <c r="AJ75">
        <v>27</v>
      </c>
      <c r="AK75">
        <v>31</v>
      </c>
      <c r="AL75">
        <v>28</v>
      </c>
      <c r="AM75">
        <v>28</v>
      </c>
      <c r="AN75">
        <v>3</v>
      </c>
    </row>
    <row r="76" spans="1:40" x14ac:dyDescent="0.25">
      <c r="A76" t="s">
        <v>2535</v>
      </c>
      <c r="B76" t="s">
        <v>2536</v>
      </c>
      <c r="F76" t="s">
        <v>308</v>
      </c>
      <c r="G76" t="s">
        <v>2537</v>
      </c>
      <c r="H76">
        <v>2004</v>
      </c>
      <c r="I76">
        <v>37</v>
      </c>
      <c r="J76">
        <v>7</v>
      </c>
      <c r="N76">
        <v>1509</v>
      </c>
      <c r="O76">
        <v>1518</v>
      </c>
      <c r="Q76" t="s">
        <v>2538</v>
      </c>
      <c r="T76">
        <v>126</v>
      </c>
      <c r="U76">
        <v>7.88</v>
      </c>
      <c r="V76">
        <v>0</v>
      </c>
      <c r="W76">
        <v>0</v>
      </c>
      <c r="X76">
        <v>0</v>
      </c>
      <c r="Y76">
        <v>0</v>
      </c>
      <c r="Z76">
        <v>4</v>
      </c>
      <c r="AA76">
        <v>6</v>
      </c>
      <c r="AB76">
        <v>11</v>
      </c>
      <c r="AC76">
        <v>6</v>
      </c>
      <c r="AD76">
        <v>7</v>
      </c>
      <c r="AE76">
        <v>9</v>
      </c>
      <c r="AF76">
        <v>10</v>
      </c>
      <c r="AG76">
        <v>8</v>
      </c>
      <c r="AH76">
        <v>10</v>
      </c>
      <c r="AI76">
        <v>10</v>
      </c>
      <c r="AJ76">
        <v>13</v>
      </c>
      <c r="AK76">
        <v>13</v>
      </c>
      <c r="AL76">
        <v>5</v>
      </c>
      <c r="AM76">
        <v>12</v>
      </c>
      <c r="AN76">
        <v>2</v>
      </c>
    </row>
    <row r="77" spans="1:40" x14ac:dyDescent="0.25">
      <c r="A77" t="s">
        <v>1242</v>
      </c>
      <c r="B77" t="s">
        <v>1244</v>
      </c>
      <c r="F77" t="s">
        <v>298</v>
      </c>
      <c r="G77" t="s">
        <v>2539</v>
      </c>
      <c r="H77">
        <v>2010</v>
      </c>
      <c r="I77">
        <v>114</v>
      </c>
      <c r="J77">
        <v>6</v>
      </c>
      <c r="M77" t="s">
        <v>1948</v>
      </c>
      <c r="N77">
        <v>712</v>
      </c>
      <c r="O77">
        <v>722</v>
      </c>
      <c r="Q77" t="s">
        <v>2540</v>
      </c>
      <c r="T77">
        <v>120</v>
      </c>
      <c r="U77">
        <v>12</v>
      </c>
      <c r="V77">
        <v>0</v>
      </c>
      <c r="W77">
        <v>0</v>
      </c>
      <c r="X77">
        <v>0</v>
      </c>
      <c r="Y77">
        <v>0</v>
      </c>
      <c r="Z77">
        <v>0</v>
      </c>
      <c r="AA77">
        <v>0</v>
      </c>
      <c r="AB77">
        <v>0</v>
      </c>
      <c r="AC77">
        <v>0</v>
      </c>
      <c r="AD77">
        <v>0</v>
      </c>
      <c r="AE77">
        <v>0</v>
      </c>
      <c r="AF77">
        <v>10</v>
      </c>
      <c r="AG77">
        <v>12</v>
      </c>
      <c r="AH77">
        <v>16</v>
      </c>
      <c r="AI77">
        <v>15</v>
      </c>
      <c r="AJ77">
        <v>25</v>
      </c>
      <c r="AK77">
        <v>16</v>
      </c>
      <c r="AL77">
        <v>20</v>
      </c>
      <c r="AM77">
        <v>6</v>
      </c>
      <c r="AN77">
        <v>0</v>
      </c>
    </row>
    <row r="78" spans="1:40" x14ac:dyDescent="0.25">
      <c r="A78" t="s">
        <v>1710</v>
      </c>
      <c r="B78" t="s">
        <v>1712</v>
      </c>
      <c r="F78" t="s">
        <v>305</v>
      </c>
      <c r="G78" t="s">
        <v>2541</v>
      </c>
      <c r="H78">
        <v>2004</v>
      </c>
      <c r="I78">
        <v>25</v>
      </c>
      <c r="J78">
        <v>3</v>
      </c>
      <c r="N78">
        <v>311</v>
      </c>
      <c r="O78">
        <v>318</v>
      </c>
      <c r="Q78" t="s">
        <v>2542</v>
      </c>
      <c r="T78">
        <v>117</v>
      </c>
      <c r="U78">
        <v>7.31</v>
      </c>
      <c r="V78">
        <v>0</v>
      </c>
      <c r="W78">
        <v>0</v>
      </c>
      <c r="X78">
        <v>0</v>
      </c>
      <c r="Y78">
        <v>1</v>
      </c>
      <c r="Z78">
        <v>8</v>
      </c>
      <c r="AA78">
        <v>14</v>
      </c>
      <c r="AB78">
        <v>4</v>
      </c>
      <c r="AC78">
        <v>7</v>
      </c>
      <c r="AD78">
        <v>9</v>
      </c>
      <c r="AE78">
        <v>11</v>
      </c>
      <c r="AF78">
        <v>8</v>
      </c>
      <c r="AG78">
        <v>9</v>
      </c>
      <c r="AH78">
        <v>7</v>
      </c>
      <c r="AI78">
        <v>10</v>
      </c>
      <c r="AJ78">
        <v>10</v>
      </c>
      <c r="AK78">
        <v>7</v>
      </c>
      <c r="AL78">
        <v>9</v>
      </c>
      <c r="AM78">
        <v>3</v>
      </c>
      <c r="AN78">
        <v>0</v>
      </c>
    </row>
    <row r="79" spans="1:40" x14ac:dyDescent="0.25">
      <c r="A79" t="s">
        <v>2543</v>
      </c>
      <c r="B79" t="s">
        <v>2544</v>
      </c>
      <c r="F79" t="s">
        <v>300</v>
      </c>
      <c r="G79" t="s">
        <v>2545</v>
      </c>
      <c r="H79">
        <v>2001</v>
      </c>
      <c r="I79">
        <v>23</v>
      </c>
      <c r="J79">
        <v>12</v>
      </c>
      <c r="N79">
        <v>1449</v>
      </c>
      <c r="O79">
        <v>1453</v>
      </c>
      <c r="Q79" t="s">
        <v>2546</v>
      </c>
      <c r="T79">
        <v>112</v>
      </c>
      <c r="U79">
        <v>5.89</v>
      </c>
      <c r="V79">
        <v>0</v>
      </c>
      <c r="W79">
        <v>2</v>
      </c>
      <c r="X79">
        <v>1</v>
      </c>
      <c r="Y79">
        <v>4</v>
      </c>
      <c r="Z79">
        <v>8</v>
      </c>
      <c r="AA79">
        <v>9</v>
      </c>
      <c r="AB79">
        <v>9</v>
      </c>
      <c r="AC79">
        <v>5</v>
      </c>
      <c r="AD79">
        <v>9</v>
      </c>
      <c r="AE79">
        <v>9</v>
      </c>
      <c r="AF79">
        <v>5</v>
      </c>
      <c r="AG79">
        <v>6</v>
      </c>
      <c r="AH79">
        <v>8</v>
      </c>
      <c r="AI79">
        <v>9</v>
      </c>
      <c r="AJ79">
        <v>4</v>
      </c>
      <c r="AK79">
        <v>13</v>
      </c>
      <c r="AL79">
        <v>8</v>
      </c>
      <c r="AM79">
        <v>3</v>
      </c>
      <c r="AN79">
        <v>0</v>
      </c>
    </row>
    <row r="80" spans="1:40" x14ac:dyDescent="0.25">
      <c r="A80" t="s">
        <v>2547</v>
      </c>
      <c r="B80" t="s">
        <v>2548</v>
      </c>
      <c r="F80" t="s">
        <v>300</v>
      </c>
      <c r="G80" t="s">
        <v>2549</v>
      </c>
      <c r="H80">
        <v>2001</v>
      </c>
      <c r="I80">
        <v>23</v>
      </c>
      <c r="J80">
        <v>10</v>
      </c>
      <c r="N80">
        <v>1053</v>
      </c>
      <c r="O80">
        <v>1074</v>
      </c>
      <c r="Q80" t="s">
        <v>2550</v>
      </c>
      <c r="T80">
        <v>106</v>
      </c>
      <c r="U80">
        <v>5.58</v>
      </c>
      <c r="V80">
        <v>0</v>
      </c>
      <c r="W80">
        <v>4</v>
      </c>
      <c r="X80">
        <v>14</v>
      </c>
      <c r="Y80">
        <v>4</v>
      </c>
      <c r="Z80">
        <v>10</v>
      </c>
      <c r="AA80">
        <v>10</v>
      </c>
      <c r="AB80">
        <v>7</v>
      </c>
      <c r="AC80">
        <v>8</v>
      </c>
      <c r="AD80">
        <v>5</v>
      </c>
      <c r="AE80">
        <v>7</v>
      </c>
      <c r="AF80">
        <v>4</v>
      </c>
      <c r="AG80">
        <v>2</v>
      </c>
      <c r="AH80">
        <v>3</v>
      </c>
      <c r="AI80">
        <v>10</v>
      </c>
      <c r="AJ80">
        <v>5</v>
      </c>
      <c r="AK80">
        <v>2</v>
      </c>
      <c r="AL80">
        <v>4</v>
      </c>
      <c r="AM80">
        <v>6</v>
      </c>
      <c r="AN80">
        <v>1</v>
      </c>
    </row>
    <row r="81" spans="1:40" x14ac:dyDescent="0.25">
      <c r="A81" t="s">
        <v>2551</v>
      </c>
      <c r="B81" t="s">
        <v>2552</v>
      </c>
      <c r="F81" t="s">
        <v>300</v>
      </c>
      <c r="G81" t="s">
        <v>2553</v>
      </c>
      <c r="H81">
        <v>2017</v>
      </c>
      <c r="I81">
        <v>39</v>
      </c>
      <c r="J81">
        <v>5</v>
      </c>
      <c r="N81">
        <v>865</v>
      </c>
      <c r="O81">
        <v>878</v>
      </c>
      <c r="Q81" t="s">
        <v>2554</v>
      </c>
      <c r="T81">
        <v>99</v>
      </c>
      <c r="U81">
        <v>33</v>
      </c>
      <c r="V81">
        <v>0</v>
      </c>
      <c r="W81">
        <v>0</v>
      </c>
      <c r="X81">
        <v>0</v>
      </c>
      <c r="Y81">
        <v>0</v>
      </c>
      <c r="Z81">
        <v>0</v>
      </c>
      <c r="AA81">
        <v>0</v>
      </c>
      <c r="AB81">
        <v>0</v>
      </c>
      <c r="AC81">
        <v>0</v>
      </c>
      <c r="AD81">
        <v>0</v>
      </c>
      <c r="AE81">
        <v>0</v>
      </c>
      <c r="AF81">
        <v>0</v>
      </c>
      <c r="AG81">
        <v>0</v>
      </c>
      <c r="AH81">
        <v>0</v>
      </c>
      <c r="AI81">
        <v>0</v>
      </c>
      <c r="AJ81">
        <v>0</v>
      </c>
      <c r="AK81">
        <v>1</v>
      </c>
      <c r="AL81">
        <v>9</v>
      </c>
      <c r="AM81">
        <v>83</v>
      </c>
      <c r="AN81">
        <v>6</v>
      </c>
    </row>
    <row r="82" spans="1:40" x14ac:dyDescent="0.25">
      <c r="A82" t="s">
        <v>1548</v>
      </c>
      <c r="B82" t="s">
        <v>1550</v>
      </c>
      <c r="F82" t="s">
        <v>333</v>
      </c>
      <c r="G82" t="s">
        <v>2555</v>
      </c>
      <c r="H82">
        <v>2014</v>
      </c>
      <c r="I82">
        <v>28</v>
      </c>
      <c r="J82">
        <v>1</v>
      </c>
      <c r="P82">
        <v>1450001</v>
      </c>
      <c r="Q82" t="s">
        <v>2556</v>
      </c>
      <c r="T82">
        <v>98</v>
      </c>
      <c r="U82">
        <v>16.329999999999998</v>
      </c>
      <c r="V82">
        <v>0</v>
      </c>
      <c r="W82">
        <v>0</v>
      </c>
      <c r="X82">
        <v>0</v>
      </c>
      <c r="Y82">
        <v>0</v>
      </c>
      <c r="Z82">
        <v>0</v>
      </c>
      <c r="AA82">
        <v>0</v>
      </c>
      <c r="AB82">
        <v>0</v>
      </c>
      <c r="AC82">
        <v>0</v>
      </c>
      <c r="AD82">
        <v>0</v>
      </c>
      <c r="AE82">
        <v>0</v>
      </c>
      <c r="AF82">
        <v>0</v>
      </c>
      <c r="AG82">
        <v>0</v>
      </c>
      <c r="AH82">
        <v>0</v>
      </c>
      <c r="AI82">
        <v>3</v>
      </c>
      <c r="AJ82">
        <v>15</v>
      </c>
      <c r="AK82">
        <v>29</v>
      </c>
      <c r="AL82">
        <v>23</v>
      </c>
      <c r="AM82">
        <v>25</v>
      </c>
      <c r="AN82">
        <v>3</v>
      </c>
    </row>
    <row r="83" spans="1:40" x14ac:dyDescent="0.25">
      <c r="A83" t="s">
        <v>2557</v>
      </c>
      <c r="B83" t="s">
        <v>2558</v>
      </c>
      <c r="F83" t="s">
        <v>308</v>
      </c>
      <c r="G83" t="s">
        <v>2559</v>
      </c>
      <c r="H83">
        <v>2003</v>
      </c>
      <c r="I83">
        <v>36</v>
      </c>
      <c r="J83">
        <v>9</v>
      </c>
      <c r="N83">
        <v>2007</v>
      </c>
      <c r="O83">
        <v>2017</v>
      </c>
      <c r="Q83" t="s">
        <v>2560</v>
      </c>
      <c r="T83">
        <v>97</v>
      </c>
      <c r="U83">
        <v>5.71</v>
      </c>
      <c r="V83">
        <v>0</v>
      </c>
      <c r="W83">
        <v>0</v>
      </c>
      <c r="X83">
        <v>0</v>
      </c>
      <c r="Y83">
        <v>5</v>
      </c>
      <c r="Z83">
        <v>6</v>
      </c>
      <c r="AA83">
        <v>9</v>
      </c>
      <c r="AB83">
        <v>16</v>
      </c>
      <c r="AC83">
        <v>8</v>
      </c>
      <c r="AD83">
        <v>8</v>
      </c>
      <c r="AE83">
        <v>8</v>
      </c>
      <c r="AF83">
        <v>4</v>
      </c>
      <c r="AG83">
        <v>3</v>
      </c>
      <c r="AH83">
        <v>5</v>
      </c>
      <c r="AI83">
        <v>7</v>
      </c>
      <c r="AJ83">
        <v>4</v>
      </c>
      <c r="AK83">
        <v>6</v>
      </c>
      <c r="AL83">
        <v>3</v>
      </c>
      <c r="AM83">
        <v>5</v>
      </c>
      <c r="AN83">
        <v>0</v>
      </c>
    </row>
    <row r="84" spans="1:40" x14ac:dyDescent="0.25">
      <c r="A84" t="s">
        <v>1276</v>
      </c>
      <c r="B84" t="s">
        <v>1278</v>
      </c>
      <c r="F84" t="s">
        <v>298</v>
      </c>
      <c r="G84" t="s">
        <v>2561</v>
      </c>
      <c r="H84">
        <v>2015</v>
      </c>
      <c r="I84">
        <v>138</v>
      </c>
      <c r="N84">
        <v>1</v>
      </c>
      <c r="O84">
        <v>24</v>
      </c>
      <c r="Q84" t="s">
        <v>2562</v>
      </c>
      <c r="T84">
        <v>96</v>
      </c>
      <c r="U84">
        <v>19.2</v>
      </c>
      <c r="V84">
        <v>0</v>
      </c>
      <c r="W84">
        <v>0</v>
      </c>
      <c r="X84">
        <v>0</v>
      </c>
      <c r="Y84">
        <v>0</v>
      </c>
      <c r="Z84">
        <v>0</v>
      </c>
      <c r="AA84">
        <v>0</v>
      </c>
      <c r="AB84">
        <v>0</v>
      </c>
      <c r="AC84">
        <v>0</v>
      </c>
      <c r="AD84">
        <v>0</v>
      </c>
      <c r="AE84">
        <v>0</v>
      </c>
      <c r="AF84">
        <v>0</v>
      </c>
      <c r="AG84">
        <v>0</v>
      </c>
      <c r="AH84">
        <v>0</v>
      </c>
      <c r="AI84">
        <v>0</v>
      </c>
      <c r="AJ84">
        <v>4</v>
      </c>
      <c r="AK84">
        <v>25</v>
      </c>
      <c r="AL84">
        <v>33</v>
      </c>
      <c r="AM84">
        <v>33</v>
      </c>
      <c r="AN84">
        <v>1</v>
      </c>
    </row>
    <row r="85" spans="1:40" x14ac:dyDescent="0.25">
      <c r="A85" t="s">
        <v>1503</v>
      </c>
      <c r="B85" t="s">
        <v>1505</v>
      </c>
      <c r="F85" t="s">
        <v>303</v>
      </c>
      <c r="G85" t="s">
        <v>2563</v>
      </c>
      <c r="H85">
        <v>2004</v>
      </c>
      <c r="I85">
        <v>59</v>
      </c>
      <c r="J85">
        <v>3</v>
      </c>
      <c r="N85">
        <v>259</v>
      </c>
      <c r="O85">
        <v>284</v>
      </c>
      <c r="Q85" t="s">
        <v>2564</v>
      </c>
      <c r="T85">
        <v>96</v>
      </c>
      <c r="U85">
        <v>6</v>
      </c>
      <c r="V85">
        <v>0</v>
      </c>
      <c r="W85">
        <v>0</v>
      </c>
      <c r="X85">
        <v>0</v>
      </c>
      <c r="Y85">
        <v>0</v>
      </c>
      <c r="Z85">
        <v>1</v>
      </c>
      <c r="AA85">
        <v>2</v>
      </c>
      <c r="AB85">
        <v>9</v>
      </c>
      <c r="AC85">
        <v>7</v>
      </c>
      <c r="AD85">
        <v>6</v>
      </c>
      <c r="AE85">
        <v>4</v>
      </c>
      <c r="AF85">
        <v>9</v>
      </c>
      <c r="AG85">
        <v>8</v>
      </c>
      <c r="AH85">
        <v>5</v>
      </c>
      <c r="AI85">
        <v>12</v>
      </c>
      <c r="AJ85">
        <v>8</v>
      </c>
      <c r="AK85">
        <v>11</v>
      </c>
      <c r="AL85">
        <v>7</v>
      </c>
      <c r="AM85">
        <v>6</v>
      </c>
      <c r="AN85">
        <v>1</v>
      </c>
    </row>
    <row r="86" spans="1:40" x14ac:dyDescent="0.25">
      <c r="A86" t="s">
        <v>2565</v>
      </c>
      <c r="B86" t="s">
        <v>1269</v>
      </c>
      <c r="F86" t="s">
        <v>298</v>
      </c>
      <c r="G86" t="s">
        <v>2566</v>
      </c>
      <c r="H86">
        <v>2013</v>
      </c>
      <c r="I86">
        <v>117</v>
      </c>
      <c r="J86">
        <v>11</v>
      </c>
      <c r="N86">
        <v>1610</v>
      </c>
      <c r="O86">
        <v>1627</v>
      </c>
      <c r="Q86" t="s">
        <v>2567</v>
      </c>
      <c r="T86">
        <v>95</v>
      </c>
      <c r="U86">
        <v>13.57</v>
      </c>
      <c r="V86">
        <v>0</v>
      </c>
      <c r="W86">
        <v>0</v>
      </c>
      <c r="X86">
        <v>0</v>
      </c>
      <c r="Y86">
        <v>0</v>
      </c>
      <c r="Z86">
        <v>0</v>
      </c>
      <c r="AA86">
        <v>0</v>
      </c>
      <c r="AB86">
        <v>0</v>
      </c>
      <c r="AC86">
        <v>0</v>
      </c>
      <c r="AD86">
        <v>0</v>
      </c>
      <c r="AE86">
        <v>0</v>
      </c>
      <c r="AF86">
        <v>0</v>
      </c>
      <c r="AG86">
        <v>0</v>
      </c>
      <c r="AH86">
        <v>1</v>
      </c>
      <c r="AI86">
        <v>10</v>
      </c>
      <c r="AJ86">
        <v>18</v>
      </c>
      <c r="AK86">
        <v>36</v>
      </c>
      <c r="AL86">
        <v>14</v>
      </c>
      <c r="AM86">
        <v>14</v>
      </c>
      <c r="AN86">
        <v>2</v>
      </c>
    </row>
    <row r="87" spans="1:40" x14ac:dyDescent="0.25">
      <c r="A87" t="s">
        <v>1377</v>
      </c>
      <c r="B87" t="s">
        <v>1379</v>
      </c>
      <c r="F87" t="s">
        <v>300</v>
      </c>
      <c r="G87" t="s">
        <v>2568</v>
      </c>
      <c r="H87">
        <v>2011</v>
      </c>
      <c r="I87">
        <v>33</v>
      </c>
      <c r="J87">
        <v>7</v>
      </c>
      <c r="N87">
        <v>1310</v>
      </c>
      <c r="O87">
        <v>1323</v>
      </c>
      <c r="Q87" t="s">
        <v>2569</v>
      </c>
      <c r="T87">
        <v>91</v>
      </c>
      <c r="U87">
        <v>10.11</v>
      </c>
      <c r="V87">
        <v>0</v>
      </c>
      <c r="W87">
        <v>0</v>
      </c>
      <c r="X87">
        <v>0</v>
      </c>
      <c r="Y87">
        <v>0</v>
      </c>
      <c r="Z87">
        <v>0</v>
      </c>
      <c r="AA87">
        <v>0</v>
      </c>
      <c r="AB87">
        <v>0</v>
      </c>
      <c r="AC87">
        <v>0</v>
      </c>
      <c r="AD87">
        <v>0</v>
      </c>
      <c r="AE87">
        <v>0</v>
      </c>
      <c r="AF87">
        <v>0</v>
      </c>
      <c r="AG87">
        <v>3</v>
      </c>
      <c r="AH87">
        <v>13</v>
      </c>
      <c r="AI87">
        <v>17</v>
      </c>
      <c r="AJ87">
        <v>18</v>
      </c>
      <c r="AK87">
        <v>17</v>
      </c>
      <c r="AL87">
        <v>13</v>
      </c>
      <c r="AM87">
        <v>10</v>
      </c>
      <c r="AN87">
        <v>0</v>
      </c>
    </row>
    <row r="88" spans="1:40" x14ac:dyDescent="0.25">
      <c r="A88" t="s">
        <v>2570</v>
      </c>
      <c r="B88" t="s">
        <v>2571</v>
      </c>
      <c r="F88" t="s">
        <v>300</v>
      </c>
      <c r="G88" t="s">
        <v>2572</v>
      </c>
      <c r="H88">
        <v>2008</v>
      </c>
      <c r="I88">
        <v>30</v>
      </c>
      <c r="J88">
        <v>11</v>
      </c>
      <c r="N88">
        <v>1919</v>
      </c>
      <c r="O88">
        <v>1932</v>
      </c>
      <c r="Q88" t="s">
        <v>2573</v>
      </c>
      <c r="T88">
        <v>91</v>
      </c>
      <c r="U88">
        <v>7.58</v>
      </c>
      <c r="V88">
        <v>0</v>
      </c>
      <c r="W88">
        <v>0</v>
      </c>
      <c r="X88">
        <v>0</v>
      </c>
      <c r="Y88">
        <v>0</v>
      </c>
      <c r="Z88">
        <v>0</v>
      </c>
      <c r="AA88">
        <v>0</v>
      </c>
      <c r="AB88">
        <v>0</v>
      </c>
      <c r="AC88">
        <v>0</v>
      </c>
      <c r="AD88">
        <v>6</v>
      </c>
      <c r="AE88">
        <v>12</v>
      </c>
      <c r="AF88">
        <v>10</v>
      </c>
      <c r="AG88">
        <v>15</v>
      </c>
      <c r="AH88">
        <v>8</v>
      </c>
      <c r="AI88">
        <v>13</v>
      </c>
      <c r="AJ88">
        <v>10</v>
      </c>
      <c r="AK88">
        <v>7</v>
      </c>
      <c r="AL88">
        <v>7</v>
      </c>
      <c r="AM88">
        <v>3</v>
      </c>
      <c r="AN88">
        <v>0</v>
      </c>
    </row>
    <row r="89" spans="1:40" x14ac:dyDescent="0.25">
      <c r="A89" t="s">
        <v>1245</v>
      </c>
      <c r="B89" t="s">
        <v>1247</v>
      </c>
      <c r="F89" t="s">
        <v>298</v>
      </c>
      <c r="G89" t="s">
        <v>2574</v>
      </c>
      <c r="H89">
        <v>2001</v>
      </c>
      <c r="I89">
        <v>81</v>
      </c>
      <c r="J89">
        <v>3</v>
      </c>
      <c r="N89">
        <v>414</v>
      </c>
      <c r="O89">
        <v>445</v>
      </c>
      <c r="Q89" t="s">
        <v>2575</v>
      </c>
      <c r="T89">
        <v>91</v>
      </c>
      <c r="U89">
        <v>4.79</v>
      </c>
      <c r="V89">
        <v>0</v>
      </c>
      <c r="W89">
        <v>1</v>
      </c>
      <c r="X89">
        <v>6</v>
      </c>
      <c r="Y89">
        <v>3</v>
      </c>
      <c r="Z89">
        <v>5</v>
      </c>
      <c r="AA89">
        <v>6</v>
      </c>
      <c r="AB89">
        <v>9</v>
      </c>
      <c r="AC89">
        <v>5</v>
      </c>
      <c r="AD89">
        <v>9</v>
      </c>
      <c r="AE89">
        <v>6</v>
      </c>
      <c r="AF89">
        <v>5</v>
      </c>
      <c r="AG89">
        <v>7</v>
      </c>
      <c r="AH89">
        <v>9</v>
      </c>
      <c r="AI89">
        <v>5</v>
      </c>
      <c r="AJ89">
        <v>3</v>
      </c>
      <c r="AK89">
        <v>7</v>
      </c>
      <c r="AL89">
        <v>4</v>
      </c>
      <c r="AM89">
        <v>1</v>
      </c>
      <c r="AN89">
        <v>0</v>
      </c>
    </row>
    <row r="90" spans="1:40" x14ac:dyDescent="0.25">
      <c r="A90" t="s">
        <v>1725</v>
      </c>
      <c r="B90" t="s">
        <v>1727</v>
      </c>
      <c r="F90" t="s">
        <v>305</v>
      </c>
      <c r="G90" t="s">
        <v>2576</v>
      </c>
      <c r="H90">
        <v>2010</v>
      </c>
      <c r="I90">
        <v>31</v>
      </c>
      <c r="J90">
        <v>2</v>
      </c>
      <c r="N90">
        <v>100</v>
      </c>
      <c r="O90">
        <v>111</v>
      </c>
      <c r="Q90" t="s">
        <v>2577</v>
      </c>
      <c r="T90">
        <v>89</v>
      </c>
      <c r="U90">
        <v>8.9</v>
      </c>
      <c r="V90">
        <v>0</v>
      </c>
      <c r="W90">
        <v>0</v>
      </c>
      <c r="X90">
        <v>0</v>
      </c>
      <c r="Y90">
        <v>0</v>
      </c>
      <c r="Z90">
        <v>0</v>
      </c>
      <c r="AA90">
        <v>0</v>
      </c>
      <c r="AB90">
        <v>0</v>
      </c>
      <c r="AC90">
        <v>0</v>
      </c>
      <c r="AD90">
        <v>0</v>
      </c>
      <c r="AE90">
        <v>0</v>
      </c>
      <c r="AF90">
        <v>6</v>
      </c>
      <c r="AG90">
        <v>9</v>
      </c>
      <c r="AH90">
        <v>4</v>
      </c>
      <c r="AI90">
        <v>11</v>
      </c>
      <c r="AJ90">
        <v>14</v>
      </c>
      <c r="AK90">
        <v>13</v>
      </c>
      <c r="AL90">
        <v>22</v>
      </c>
      <c r="AM90">
        <v>9</v>
      </c>
      <c r="AN90">
        <v>1</v>
      </c>
    </row>
    <row r="91" spans="1:40" x14ac:dyDescent="0.25">
      <c r="A91" t="s">
        <v>2578</v>
      </c>
      <c r="B91" t="s">
        <v>2579</v>
      </c>
      <c r="F91" t="s">
        <v>308</v>
      </c>
      <c r="G91" t="s">
        <v>2580</v>
      </c>
      <c r="H91">
        <v>2008</v>
      </c>
      <c r="I91">
        <v>41</v>
      </c>
      <c r="J91">
        <v>4</v>
      </c>
      <c r="N91">
        <v>1268</v>
      </c>
      <c r="O91">
        <v>1279</v>
      </c>
      <c r="Q91" t="s">
        <v>2581</v>
      </c>
      <c r="T91">
        <v>86</v>
      </c>
      <c r="U91">
        <v>7.17</v>
      </c>
      <c r="V91">
        <v>0</v>
      </c>
      <c r="W91">
        <v>0</v>
      </c>
      <c r="X91">
        <v>0</v>
      </c>
      <c r="Y91">
        <v>0</v>
      </c>
      <c r="Z91">
        <v>0</v>
      </c>
      <c r="AA91">
        <v>0</v>
      </c>
      <c r="AB91">
        <v>0</v>
      </c>
      <c r="AC91">
        <v>3</v>
      </c>
      <c r="AD91">
        <v>4</v>
      </c>
      <c r="AE91">
        <v>2</v>
      </c>
      <c r="AF91">
        <v>7</v>
      </c>
      <c r="AG91">
        <v>11</v>
      </c>
      <c r="AH91">
        <v>7</v>
      </c>
      <c r="AI91">
        <v>14</v>
      </c>
      <c r="AJ91">
        <v>10</v>
      </c>
      <c r="AK91">
        <v>11</v>
      </c>
      <c r="AL91">
        <v>9</v>
      </c>
      <c r="AM91">
        <v>7</v>
      </c>
      <c r="AN91">
        <v>1</v>
      </c>
    </row>
    <row r="92" spans="1:40" x14ac:dyDescent="0.25">
      <c r="A92" t="s">
        <v>1350</v>
      </c>
      <c r="B92" t="s">
        <v>1352</v>
      </c>
      <c r="F92" t="s">
        <v>300</v>
      </c>
      <c r="G92" t="s">
        <v>2582</v>
      </c>
      <c r="H92">
        <v>2011</v>
      </c>
      <c r="I92">
        <v>33</v>
      </c>
      <c r="J92">
        <v>4</v>
      </c>
      <c r="N92">
        <v>721</v>
      </c>
      <c r="O92">
        <v>740</v>
      </c>
      <c r="Q92" t="s">
        <v>2583</v>
      </c>
      <c r="T92">
        <v>85</v>
      </c>
      <c r="U92">
        <v>9.44</v>
      </c>
      <c r="V92">
        <v>0</v>
      </c>
      <c r="W92">
        <v>0</v>
      </c>
      <c r="X92">
        <v>0</v>
      </c>
      <c r="Y92">
        <v>0</v>
      </c>
      <c r="Z92">
        <v>0</v>
      </c>
      <c r="AA92">
        <v>0</v>
      </c>
      <c r="AB92">
        <v>0</v>
      </c>
      <c r="AC92">
        <v>0</v>
      </c>
      <c r="AD92">
        <v>0</v>
      </c>
      <c r="AE92">
        <v>0</v>
      </c>
      <c r="AF92">
        <v>0</v>
      </c>
      <c r="AG92">
        <v>6</v>
      </c>
      <c r="AH92">
        <v>9</v>
      </c>
      <c r="AI92">
        <v>15</v>
      </c>
      <c r="AJ92">
        <v>13</v>
      </c>
      <c r="AK92">
        <v>14</v>
      </c>
      <c r="AL92">
        <v>19</v>
      </c>
      <c r="AM92">
        <v>8</v>
      </c>
      <c r="AN92">
        <v>1</v>
      </c>
    </row>
    <row r="93" spans="1:40" x14ac:dyDescent="0.25">
      <c r="A93" t="s">
        <v>1512</v>
      </c>
      <c r="B93" t="s">
        <v>1514</v>
      </c>
      <c r="F93" t="s">
        <v>303</v>
      </c>
      <c r="G93" t="s">
        <v>2463</v>
      </c>
      <c r="H93">
        <v>2008</v>
      </c>
      <c r="I93">
        <v>76</v>
      </c>
      <c r="J93">
        <v>1</v>
      </c>
      <c r="N93">
        <v>93</v>
      </c>
      <c r="O93">
        <v>104</v>
      </c>
      <c r="Q93" t="s">
        <v>2584</v>
      </c>
      <c r="T93">
        <v>84</v>
      </c>
      <c r="U93">
        <v>7</v>
      </c>
      <c r="V93">
        <v>0</v>
      </c>
      <c r="W93">
        <v>0</v>
      </c>
      <c r="X93">
        <v>0</v>
      </c>
      <c r="Y93">
        <v>0</v>
      </c>
      <c r="Z93">
        <v>0</v>
      </c>
      <c r="AA93">
        <v>0</v>
      </c>
      <c r="AB93">
        <v>0</v>
      </c>
      <c r="AC93">
        <v>1</v>
      </c>
      <c r="AD93">
        <v>4</v>
      </c>
      <c r="AE93">
        <v>4</v>
      </c>
      <c r="AF93">
        <v>9</v>
      </c>
      <c r="AG93">
        <v>10</v>
      </c>
      <c r="AH93">
        <v>14</v>
      </c>
      <c r="AI93">
        <v>10</v>
      </c>
      <c r="AJ93">
        <v>11</v>
      </c>
      <c r="AK93">
        <v>8</v>
      </c>
      <c r="AL93">
        <v>5</v>
      </c>
      <c r="AM93">
        <v>8</v>
      </c>
      <c r="AN93">
        <v>0</v>
      </c>
    </row>
    <row r="94" spans="1:40" x14ac:dyDescent="0.25">
      <c r="A94" t="s">
        <v>2585</v>
      </c>
      <c r="B94" t="s">
        <v>2586</v>
      </c>
      <c r="F94" t="s">
        <v>311</v>
      </c>
      <c r="G94" t="s">
        <v>2398</v>
      </c>
      <c r="H94">
        <v>2012</v>
      </c>
      <c r="I94">
        <v>21</v>
      </c>
      <c r="J94">
        <v>4</v>
      </c>
      <c r="N94">
        <v>2282</v>
      </c>
      <c r="O94">
        <v>2293</v>
      </c>
      <c r="Q94" t="s">
        <v>2587</v>
      </c>
      <c r="T94">
        <v>81</v>
      </c>
      <c r="U94">
        <v>10.130000000000001</v>
      </c>
      <c r="V94">
        <v>0</v>
      </c>
      <c r="W94">
        <v>0</v>
      </c>
      <c r="X94">
        <v>0</v>
      </c>
      <c r="Y94">
        <v>0</v>
      </c>
      <c r="Z94">
        <v>0</v>
      </c>
      <c r="AA94">
        <v>0</v>
      </c>
      <c r="AB94">
        <v>0</v>
      </c>
      <c r="AC94">
        <v>0</v>
      </c>
      <c r="AD94">
        <v>0</v>
      </c>
      <c r="AE94">
        <v>0</v>
      </c>
      <c r="AF94">
        <v>0</v>
      </c>
      <c r="AG94">
        <v>0</v>
      </c>
      <c r="AH94">
        <v>5</v>
      </c>
      <c r="AI94">
        <v>15</v>
      </c>
      <c r="AJ94">
        <v>33</v>
      </c>
      <c r="AK94">
        <v>22</v>
      </c>
      <c r="AL94">
        <v>3</v>
      </c>
      <c r="AM94">
        <v>3</v>
      </c>
      <c r="AN94">
        <v>0</v>
      </c>
    </row>
    <row r="95" spans="1:40" x14ac:dyDescent="0.25">
      <c r="A95" t="s">
        <v>2588</v>
      </c>
      <c r="B95" t="s">
        <v>2589</v>
      </c>
      <c r="F95" t="s">
        <v>300</v>
      </c>
      <c r="G95" t="s">
        <v>2590</v>
      </c>
      <c r="H95">
        <v>2010</v>
      </c>
      <c r="I95">
        <v>32</v>
      </c>
      <c r="J95">
        <v>4</v>
      </c>
      <c r="N95">
        <v>693</v>
      </c>
      <c r="O95">
        <v>708</v>
      </c>
      <c r="Q95" t="s">
        <v>2591</v>
      </c>
      <c r="T95">
        <v>80</v>
      </c>
      <c r="U95">
        <v>8</v>
      </c>
      <c r="V95">
        <v>0</v>
      </c>
      <c r="W95">
        <v>0</v>
      </c>
      <c r="X95">
        <v>0</v>
      </c>
      <c r="Y95">
        <v>0</v>
      </c>
      <c r="Z95">
        <v>0</v>
      </c>
      <c r="AA95">
        <v>0</v>
      </c>
      <c r="AB95">
        <v>0</v>
      </c>
      <c r="AC95">
        <v>0</v>
      </c>
      <c r="AD95">
        <v>0</v>
      </c>
      <c r="AE95">
        <v>1</v>
      </c>
      <c r="AF95">
        <v>7</v>
      </c>
      <c r="AG95">
        <v>12</v>
      </c>
      <c r="AH95">
        <v>15</v>
      </c>
      <c r="AI95">
        <v>11</v>
      </c>
      <c r="AJ95">
        <v>15</v>
      </c>
      <c r="AK95">
        <v>11</v>
      </c>
      <c r="AL95">
        <v>2</v>
      </c>
      <c r="AM95">
        <v>6</v>
      </c>
      <c r="AN95">
        <v>0</v>
      </c>
    </row>
    <row r="96" spans="1:40" x14ac:dyDescent="0.25">
      <c r="A96" t="s">
        <v>2592</v>
      </c>
      <c r="B96" t="s">
        <v>2593</v>
      </c>
      <c r="F96" t="s">
        <v>302</v>
      </c>
      <c r="G96" t="s">
        <v>2594</v>
      </c>
      <c r="H96">
        <v>2005</v>
      </c>
      <c r="I96">
        <v>23</v>
      </c>
      <c r="J96">
        <v>1</v>
      </c>
      <c r="N96">
        <v>69</v>
      </c>
      <c r="O96">
        <v>85</v>
      </c>
      <c r="Q96" t="s">
        <v>2595</v>
      </c>
      <c r="T96">
        <v>78</v>
      </c>
      <c r="U96">
        <v>5.2</v>
      </c>
      <c r="V96">
        <v>0</v>
      </c>
      <c r="W96">
        <v>0</v>
      </c>
      <c r="X96">
        <v>0</v>
      </c>
      <c r="Y96">
        <v>0</v>
      </c>
      <c r="Z96">
        <v>5</v>
      </c>
      <c r="AA96">
        <v>4</v>
      </c>
      <c r="AB96">
        <v>12</v>
      </c>
      <c r="AC96">
        <v>9</v>
      </c>
      <c r="AD96">
        <v>4</v>
      </c>
      <c r="AE96">
        <v>6</v>
      </c>
      <c r="AF96">
        <v>9</v>
      </c>
      <c r="AG96">
        <v>8</v>
      </c>
      <c r="AH96">
        <v>4</v>
      </c>
      <c r="AI96">
        <v>5</v>
      </c>
      <c r="AJ96">
        <v>1</v>
      </c>
      <c r="AK96">
        <v>2</v>
      </c>
      <c r="AL96">
        <v>6</v>
      </c>
      <c r="AM96">
        <v>3</v>
      </c>
      <c r="AN96">
        <v>0</v>
      </c>
    </row>
    <row r="97" spans="1:40" x14ac:dyDescent="0.25">
      <c r="A97" t="s">
        <v>2596</v>
      </c>
      <c r="B97" t="s">
        <v>2597</v>
      </c>
      <c r="F97" t="s">
        <v>300</v>
      </c>
      <c r="G97" t="s">
        <v>2598</v>
      </c>
      <c r="H97">
        <v>2013</v>
      </c>
      <c r="I97">
        <v>35</v>
      </c>
      <c r="J97">
        <v>7</v>
      </c>
      <c r="N97">
        <v>1757</v>
      </c>
      <c r="O97">
        <v>1772</v>
      </c>
      <c r="Q97" t="s">
        <v>2599</v>
      </c>
      <c r="T97">
        <v>77</v>
      </c>
      <c r="U97">
        <v>11</v>
      </c>
      <c r="V97">
        <v>0</v>
      </c>
      <c r="W97">
        <v>0</v>
      </c>
      <c r="X97">
        <v>0</v>
      </c>
      <c r="Y97">
        <v>0</v>
      </c>
      <c r="Z97">
        <v>0</v>
      </c>
      <c r="AA97">
        <v>0</v>
      </c>
      <c r="AB97">
        <v>0</v>
      </c>
      <c r="AC97">
        <v>0</v>
      </c>
      <c r="AD97">
        <v>0</v>
      </c>
      <c r="AE97">
        <v>0</v>
      </c>
      <c r="AF97">
        <v>0</v>
      </c>
      <c r="AG97">
        <v>1</v>
      </c>
      <c r="AH97">
        <v>0</v>
      </c>
      <c r="AI97">
        <v>11</v>
      </c>
      <c r="AJ97">
        <v>8</v>
      </c>
      <c r="AK97">
        <v>11</v>
      </c>
      <c r="AL97">
        <v>19</v>
      </c>
      <c r="AM97">
        <v>22</v>
      </c>
      <c r="AN97">
        <v>5</v>
      </c>
    </row>
    <row r="98" spans="1:40" x14ac:dyDescent="0.25">
      <c r="A98" t="s">
        <v>2600</v>
      </c>
      <c r="B98" t="s">
        <v>2601</v>
      </c>
      <c r="F98" t="s">
        <v>346</v>
      </c>
      <c r="G98" t="s">
        <v>2602</v>
      </c>
      <c r="H98">
        <v>2010</v>
      </c>
      <c r="I98">
        <v>58</v>
      </c>
      <c r="J98">
        <v>4</v>
      </c>
      <c r="N98">
        <v>378</v>
      </c>
      <c r="O98">
        <v>398</v>
      </c>
      <c r="Q98" t="s">
        <v>2603</v>
      </c>
      <c r="T98">
        <v>72</v>
      </c>
      <c r="U98">
        <v>7.2</v>
      </c>
      <c r="V98">
        <v>0</v>
      </c>
      <c r="W98">
        <v>0</v>
      </c>
      <c r="X98">
        <v>0</v>
      </c>
      <c r="Y98">
        <v>0</v>
      </c>
      <c r="Z98">
        <v>0</v>
      </c>
      <c r="AA98">
        <v>0</v>
      </c>
      <c r="AB98">
        <v>0</v>
      </c>
      <c r="AC98">
        <v>0</v>
      </c>
      <c r="AD98">
        <v>0</v>
      </c>
      <c r="AE98">
        <v>1</v>
      </c>
      <c r="AF98">
        <v>4</v>
      </c>
      <c r="AG98">
        <v>5</v>
      </c>
      <c r="AH98">
        <v>9</v>
      </c>
      <c r="AI98">
        <v>14</v>
      </c>
      <c r="AJ98">
        <v>14</v>
      </c>
      <c r="AK98">
        <v>6</v>
      </c>
      <c r="AL98">
        <v>11</v>
      </c>
      <c r="AM98">
        <v>8</v>
      </c>
      <c r="AN98">
        <v>0</v>
      </c>
    </row>
    <row r="99" spans="1:40" x14ac:dyDescent="0.25">
      <c r="A99" t="s">
        <v>2604</v>
      </c>
      <c r="B99" t="s">
        <v>2605</v>
      </c>
      <c r="F99" t="s">
        <v>308</v>
      </c>
      <c r="G99" t="s">
        <v>2606</v>
      </c>
      <c r="H99">
        <v>2004</v>
      </c>
      <c r="I99">
        <v>37</v>
      </c>
      <c r="J99">
        <v>3</v>
      </c>
      <c r="N99">
        <v>393</v>
      </c>
      <c r="O99">
        <v>408</v>
      </c>
      <c r="Q99" t="s">
        <v>2607</v>
      </c>
      <c r="T99">
        <v>72</v>
      </c>
      <c r="U99">
        <v>4.5</v>
      </c>
      <c r="V99">
        <v>0</v>
      </c>
      <c r="W99">
        <v>0</v>
      </c>
      <c r="X99">
        <v>0</v>
      </c>
      <c r="Y99">
        <v>1</v>
      </c>
      <c r="Z99">
        <v>1</v>
      </c>
      <c r="AA99">
        <v>5</v>
      </c>
      <c r="AB99">
        <v>5</v>
      </c>
      <c r="AC99">
        <v>8</v>
      </c>
      <c r="AD99">
        <v>9</v>
      </c>
      <c r="AE99">
        <v>5</v>
      </c>
      <c r="AF99">
        <v>1</v>
      </c>
      <c r="AG99">
        <v>3</v>
      </c>
      <c r="AH99">
        <v>8</v>
      </c>
      <c r="AI99">
        <v>6</v>
      </c>
      <c r="AJ99">
        <v>9</v>
      </c>
      <c r="AK99">
        <v>8</v>
      </c>
      <c r="AL99">
        <v>1</v>
      </c>
      <c r="AM99">
        <v>2</v>
      </c>
      <c r="AN99">
        <v>0</v>
      </c>
    </row>
    <row r="100" spans="1:40" x14ac:dyDescent="0.25">
      <c r="A100" t="s">
        <v>1527</v>
      </c>
      <c r="B100" t="s">
        <v>1529</v>
      </c>
      <c r="F100" t="s">
        <v>303</v>
      </c>
      <c r="G100" t="s">
        <v>2608</v>
      </c>
      <c r="H100">
        <v>2009</v>
      </c>
      <c r="I100">
        <v>82</v>
      </c>
      <c r="J100">
        <v>1</v>
      </c>
      <c r="N100">
        <v>1</v>
      </c>
      <c r="O100">
        <v>24</v>
      </c>
      <c r="Q100" t="s">
        <v>2609</v>
      </c>
      <c r="T100">
        <v>71</v>
      </c>
      <c r="U100">
        <v>6.45</v>
      </c>
      <c r="V100">
        <v>0</v>
      </c>
      <c r="W100">
        <v>0</v>
      </c>
      <c r="X100">
        <v>0</v>
      </c>
      <c r="Y100">
        <v>0</v>
      </c>
      <c r="Z100">
        <v>0</v>
      </c>
      <c r="AA100">
        <v>0</v>
      </c>
      <c r="AB100">
        <v>0</v>
      </c>
      <c r="AC100">
        <v>0</v>
      </c>
      <c r="AD100">
        <v>3</v>
      </c>
      <c r="AE100">
        <v>5</v>
      </c>
      <c r="AF100">
        <v>7</v>
      </c>
      <c r="AG100">
        <v>6</v>
      </c>
      <c r="AH100">
        <v>14</v>
      </c>
      <c r="AI100">
        <v>7</v>
      </c>
      <c r="AJ100">
        <v>7</v>
      </c>
      <c r="AK100">
        <v>8</v>
      </c>
      <c r="AL100">
        <v>13</v>
      </c>
      <c r="AM100">
        <v>1</v>
      </c>
      <c r="AN100">
        <v>0</v>
      </c>
    </row>
    <row r="101" spans="1:40" x14ac:dyDescent="0.25">
      <c r="A101" t="s">
        <v>2610</v>
      </c>
      <c r="B101" t="s">
        <v>2611</v>
      </c>
      <c r="F101" t="s">
        <v>300</v>
      </c>
      <c r="G101" t="s">
        <v>2612</v>
      </c>
      <c r="H101">
        <v>2005</v>
      </c>
      <c r="I101">
        <v>27</v>
      </c>
      <c r="J101">
        <v>4</v>
      </c>
      <c r="N101">
        <v>625</v>
      </c>
      <c r="O101">
        <v>630</v>
      </c>
      <c r="Q101" t="s">
        <v>2613</v>
      </c>
      <c r="T101">
        <v>71</v>
      </c>
      <c r="U101">
        <v>4.7300000000000004</v>
      </c>
      <c r="V101">
        <v>0</v>
      </c>
      <c r="W101">
        <v>0</v>
      </c>
      <c r="X101">
        <v>0</v>
      </c>
      <c r="Y101">
        <v>0</v>
      </c>
      <c r="Z101">
        <v>1</v>
      </c>
      <c r="AA101">
        <v>4</v>
      </c>
      <c r="AB101">
        <v>5</v>
      </c>
      <c r="AC101">
        <v>7</v>
      </c>
      <c r="AD101">
        <v>4</v>
      </c>
      <c r="AE101">
        <v>4</v>
      </c>
      <c r="AF101">
        <v>7</v>
      </c>
      <c r="AG101">
        <v>7</v>
      </c>
      <c r="AH101">
        <v>6</v>
      </c>
      <c r="AI101">
        <v>8</v>
      </c>
      <c r="AJ101">
        <v>6</v>
      </c>
      <c r="AK101">
        <v>5</v>
      </c>
      <c r="AL101">
        <v>2</v>
      </c>
      <c r="AM101">
        <v>5</v>
      </c>
      <c r="AN101">
        <v>0</v>
      </c>
    </row>
    <row r="102" spans="1:40" x14ac:dyDescent="0.25">
      <c r="A102" t="s">
        <v>2614</v>
      </c>
      <c r="B102" t="s">
        <v>2615</v>
      </c>
      <c r="F102" t="s">
        <v>313</v>
      </c>
      <c r="G102" t="s">
        <v>2616</v>
      </c>
      <c r="H102">
        <v>2015</v>
      </c>
      <c r="I102">
        <v>42</v>
      </c>
      <c r="J102">
        <v>22</v>
      </c>
      <c r="N102">
        <v>8520</v>
      </c>
      <c r="O102">
        <v>8532</v>
      </c>
      <c r="Q102" t="s">
        <v>2617</v>
      </c>
      <c r="T102">
        <v>70</v>
      </c>
      <c r="U102">
        <v>14</v>
      </c>
      <c r="V102">
        <v>0</v>
      </c>
      <c r="W102">
        <v>0</v>
      </c>
      <c r="X102">
        <v>0</v>
      </c>
      <c r="Y102">
        <v>0</v>
      </c>
      <c r="Z102">
        <v>0</v>
      </c>
      <c r="AA102">
        <v>0</v>
      </c>
      <c r="AB102">
        <v>0</v>
      </c>
      <c r="AC102">
        <v>0</v>
      </c>
      <c r="AD102">
        <v>0</v>
      </c>
      <c r="AE102">
        <v>0</v>
      </c>
      <c r="AF102">
        <v>0</v>
      </c>
      <c r="AG102">
        <v>0</v>
      </c>
      <c r="AH102">
        <v>0</v>
      </c>
      <c r="AI102">
        <v>0</v>
      </c>
      <c r="AJ102">
        <v>1</v>
      </c>
      <c r="AK102">
        <v>11</v>
      </c>
      <c r="AL102">
        <v>23</v>
      </c>
      <c r="AM102">
        <v>29</v>
      </c>
      <c r="AN102">
        <v>6</v>
      </c>
    </row>
    <row r="103" spans="1:40" x14ac:dyDescent="0.25">
      <c r="A103" t="s">
        <v>2618</v>
      </c>
      <c r="B103" t="s">
        <v>2619</v>
      </c>
      <c r="F103" t="s">
        <v>300</v>
      </c>
      <c r="G103" t="s">
        <v>2620</v>
      </c>
      <c r="H103">
        <v>2005</v>
      </c>
      <c r="I103">
        <v>27</v>
      </c>
      <c r="J103">
        <v>7</v>
      </c>
      <c r="N103">
        <v>1125</v>
      </c>
      <c r="O103">
        <v>1140</v>
      </c>
      <c r="Q103" t="s">
        <v>2621</v>
      </c>
      <c r="T103">
        <v>70</v>
      </c>
      <c r="U103">
        <v>4.67</v>
      </c>
      <c r="V103">
        <v>0</v>
      </c>
      <c r="W103">
        <v>0</v>
      </c>
      <c r="X103">
        <v>0</v>
      </c>
      <c r="Y103">
        <v>0</v>
      </c>
      <c r="Z103">
        <v>0</v>
      </c>
      <c r="AA103">
        <v>3</v>
      </c>
      <c r="AB103">
        <v>10</v>
      </c>
      <c r="AC103">
        <v>9</v>
      </c>
      <c r="AD103">
        <v>5</v>
      </c>
      <c r="AE103">
        <v>5</v>
      </c>
      <c r="AF103">
        <v>6</v>
      </c>
      <c r="AG103">
        <v>9</v>
      </c>
      <c r="AH103">
        <v>6</v>
      </c>
      <c r="AI103">
        <v>5</v>
      </c>
      <c r="AJ103">
        <v>3</v>
      </c>
      <c r="AK103">
        <v>1</v>
      </c>
      <c r="AL103">
        <v>5</v>
      </c>
      <c r="AM103">
        <v>3</v>
      </c>
      <c r="AN103">
        <v>0</v>
      </c>
    </row>
    <row r="104" spans="1:40" x14ac:dyDescent="0.25">
      <c r="A104" t="s">
        <v>2622</v>
      </c>
      <c r="B104" t="s">
        <v>2623</v>
      </c>
      <c r="F104" t="s">
        <v>297</v>
      </c>
      <c r="G104" t="s">
        <v>2624</v>
      </c>
      <c r="H104">
        <v>2015</v>
      </c>
      <c r="I104">
        <v>29</v>
      </c>
      <c r="J104">
        <v>2</v>
      </c>
      <c r="N104">
        <v>162</v>
      </c>
      <c r="O104">
        <v>171</v>
      </c>
      <c r="Q104" t="s">
        <v>2625</v>
      </c>
      <c r="T104">
        <v>69</v>
      </c>
      <c r="U104">
        <v>13.8</v>
      </c>
      <c r="V104">
        <v>0</v>
      </c>
      <c r="W104">
        <v>0</v>
      </c>
      <c r="X104">
        <v>0</v>
      </c>
      <c r="Y104">
        <v>0</v>
      </c>
      <c r="Z104">
        <v>0</v>
      </c>
      <c r="AA104">
        <v>0</v>
      </c>
      <c r="AB104">
        <v>0</v>
      </c>
      <c r="AC104">
        <v>0</v>
      </c>
      <c r="AD104">
        <v>0</v>
      </c>
      <c r="AE104">
        <v>0</v>
      </c>
      <c r="AF104">
        <v>0</v>
      </c>
      <c r="AG104">
        <v>0</v>
      </c>
      <c r="AH104">
        <v>0</v>
      </c>
      <c r="AI104">
        <v>0</v>
      </c>
      <c r="AJ104">
        <v>3</v>
      </c>
      <c r="AK104">
        <v>16</v>
      </c>
      <c r="AL104">
        <v>19</v>
      </c>
      <c r="AM104">
        <v>29</v>
      </c>
      <c r="AN104">
        <v>2</v>
      </c>
    </row>
    <row r="105" spans="1:40" x14ac:dyDescent="0.25">
      <c r="A105" t="s">
        <v>1386</v>
      </c>
      <c r="B105" t="s">
        <v>1388</v>
      </c>
      <c r="F105" t="s">
        <v>300</v>
      </c>
      <c r="G105" t="s">
        <v>2626</v>
      </c>
      <c r="H105">
        <v>2012</v>
      </c>
      <c r="I105">
        <v>34</v>
      </c>
      <c r="J105">
        <v>9</v>
      </c>
      <c r="N105">
        <v>1691</v>
      </c>
      <c r="O105">
        <v>1703</v>
      </c>
      <c r="Q105" t="s">
        <v>2627</v>
      </c>
      <c r="T105">
        <v>69</v>
      </c>
      <c r="U105">
        <v>8.6300000000000008</v>
      </c>
      <c r="V105">
        <v>0</v>
      </c>
      <c r="W105">
        <v>0</v>
      </c>
      <c r="X105">
        <v>0</v>
      </c>
      <c r="Y105">
        <v>0</v>
      </c>
      <c r="Z105">
        <v>0</v>
      </c>
      <c r="AA105">
        <v>0</v>
      </c>
      <c r="AB105">
        <v>0</v>
      </c>
      <c r="AC105">
        <v>0</v>
      </c>
      <c r="AD105">
        <v>0</v>
      </c>
      <c r="AE105">
        <v>0</v>
      </c>
      <c r="AF105">
        <v>0</v>
      </c>
      <c r="AG105">
        <v>0</v>
      </c>
      <c r="AH105">
        <v>10</v>
      </c>
      <c r="AI105">
        <v>17</v>
      </c>
      <c r="AJ105">
        <v>10</v>
      </c>
      <c r="AK105">
        <v>13</v>
      </c>
      <c r="AL105">
        <v>12</v>
      </c>
      <c r="AM105">
        <v>7</v>
      </c>
      <c r="AN105">
        <v>0</v>
      </c>
    </row>
    <row r="106" spans="1:40" x14ac:dyDescent="0.25">
      <c r="A106" t="s">
        <v>2628</v>
      </c>
      <c r="B106" t="s">
        <v>2629</v>
      </c>
      <c r="F106" t="s">
        <v>311</v>
      </c>
      <c r="G106" t="s">
        <v>2420</v>
      </c>
      <c r="H106">
        <v>2007</v>
      </c>
      <c r="I106">
        <v>16</v>
      </c>
      <c r="J106">
        <v>2</v>
      </c>
      <c r="N106">
        <v>310</v>
      </c>
      <c r="O106">
        <v>316</v>
      </c>
      <c r="Q106" t="s">
        <v>2630</v>
      </c>
      <c r="T106">
        <v>68</v>
      </c>
      <c r="U106">
        <v>5.23</v>
      </c>
      <c r="V106">
        <v>0</v>
      </c>
      <c r="W106">
        <v>0</v>
      </c>
      <c r="X106">
        <v>0</v>
      </c>
      <c r="Y106">
        <v>0</v>
      </c>
      <c r="Z106">
        <v>0</v>
      </c>
      <c r="AA106">
        <v>0</v>
      </c>
      <c r="AB106">
        <v>2</v>
      </c>
      <c r="AC106">
        <v>2</v>
      </c>
      <c r="AD106">
        <v>5</v>
      </c>
      <c r="AE106">
        <v>3</v>
      </c>
      <c r="AF106">
        <v>5</v>
      </c>
      <c r="AG106">
        <v>5</v>
      </c>
      <c r="AH106">
        <v>5</v>
      </c>
      <c r="AI106">
        <v>9</v>
      </c>
      <c r="AJ106">
        <v>10</v>
      </c>
      <c r="AK106">
        <v>9</v>
      </c>
      <c r="AL106">
        <v>8</v>
      </c>
      <c r="AM106">
        <v>4</v>
      </c>
      <c r="AN106">
        <v>1</v>
      </c>
    </row>
    <row r="107" spans="1:40" x14ac:dyDescent="0.25">
      <c r="A107" t="s">
        <v>2631</v>
      </c>
      <c r="B107" t="s">
        <v>2632</v>
      </c>
      <c r="F107" t="s">
        <v>300</v>
      </c>
      <c r="G107" t="s">
        <v>2400</v>
      </c>
      <c r="H107">
        <v>2007</v>
      </c>
      <c r="I107">
        <v>29</v>
      </c>
      <c r="J107">
        <v>3</v>
      </c>
      <c r="N107">
        <v>371</v>
      </c>
      <c r="O107">
        <v>381</v>
      </c>
      <c r="Q107" t="s">
        <v>2633</v>
      </c>
      <c r="T107">
        <v>67</v>
      </c>
      <c r="U107">
        <v>5.15</v>
      </c>
      <c r="V107">
        <v>0</v>
      </c>
      <c r="W107">
        <v>0</v>
      </c>
      <c r="X107">
        <v>0</v>
      </c>
      <c r="Y107">
        <v>0</v>
      </c>
      <c r="Z107">
        <v>0</v>
      </c>
      <c r="AA107">
        <v>0</v>
      </c>
      <c r="AB107">
        <v>2</v>
      </c>
      <c r="AC107">
        <v>7</v>
      </c>
      <c r="AD107">
        <v>7</v>
      </c>
      <c r="AE107">
        <v>6</v>
      </c>
      <c r="AF107">
        <v>8</v>
      </c>
      <c r="AG107">
        <v>9</v>
      </c>
      <c r="AH107">
        <v>6</v>
      </c>
      <c r="AI107">
        <v>7</v>
      </c>
      <c r="AJ107">
        <v>6</v>
      </c>
      <c r="AK107">
        <v>3</v>
      </c>
      <c r="AL107">
        <v>3</v>
      </c>
      <c r="AM107">
        <v>3</v>
      </c>
      <c r="AN107">
        <v>0</v>
      </c>
    </row>
    <row r="108" spans="1:40" x14ac:dyDescent="0.25">
      <c r="A108" t="s">
        <v>2634</v>
      </c>
      <c r="B108" t="s">
        <v>2635</v>
      </c>
      <c r="F108" t="s">
        <v>308</v>
      </c>
      <c r="G108" t="s">
        <v>2636</v>
      </c>
      <c r="H108">
        <v>2014</v>
      </c>
      <c r="I108">
        <v>47</v>
      </c>
      <c r="J108">
        <v>6</v>
      </c>
      <c r="N108">
        <v>2116</v>
      </c>
      <c r="O108">
        <v>2125</v>
      </c>
      <c r="Q108" t="s">
        <v>2637</v>
      </c>
      <c r="T108">
        <v>66</v>
      </c>
      <c r="U108">
        <v>11</v>
      </c>
      <c r="V108">
        <v>0</v>
      </c>
      <c r="W108">
        <v>0</v>
      </c>
      <c r="X108">
        <v>0</v>
      </c>
      <c r="Y108">
        <v>0</v>
      </c>
      <c r="Z108">
        <v>0</v>
      </c>
      <c r="AA108">
        <v>0</v>
      </c>
      <c r="AB108">
        <v>0</v>
      </c>
      <c r="AC108">
        <v>0</v>
      </c>
      <c r="AD108">
        <v>0</v>
      </c>
      <c r="AE108">
        <v>0</v>
      </c>
      <c r="AF108">
        <v>0</v>
      </c>
      <c r="AG108">
        <v>0</v>
      </c>
      <c r="AH108">
        <v>0</v>
      </c>
      <c r="AI108">
        <v>3</v>
      </c>
      <c r="AJ108">
        <v>9</v>
      </c>
      <c r="AK108">
        <v>21</v>
      </c>
      <c r="AL108">
        <v>14</v>
      </c>
      <c r="AM108">
        <v>18</v>
      </c>
      <c r="AN108">
        <v>1</v>
      </c>
    </row>
    <row r="109" spans="1:40" x14ac:dyDescent="0.25">
      <c r="A109" t="s">
        <v>2638</v>
      </c>
      <c r="B109" t="s">
        <v>2639</v>
      </c>
      <c r="F109" t="s">
        <v>300</v>
      </c>
      <c r="G109" t="s">
        <v>2640</v>
      </c>
      <c r="H109">
        <v>2014</v>
      </c>
      <c r="I109">
        <v>36</v>
      </c>
      <c r="J109">
        <v>1</v>
      </c>
      <c r="N109">
        <v>188</v>
      </c>
      <c r="O109">
        <v>194</v>
      </c>
      <c r="Q109" t="s">
        <v>2641</v>
      </c>
      <c r="T109">
        <v>65</v>
      </c>
      <c r="U109">
        <v>10.83</v>
      </c>
      <c r="V109">
        <v>0</v>
      </c>
      <c r="W109">
        <v>0</v>
      </c>
      <c r="X109">
        <v>0</v>
      </c>
      <c r="Y109">
        <v>0</v>
      </c>
      <c r="Z109">
        <v>0</v>
      </c>
      <c r="AA109">
        <v>0</v>
      </c>
      <c r="AB109">
        <v>0</v>
      </c>
      <c r="AC109">
        <v>0</v>
      </c>
      <c r="AD109">
        <v>0</v>
      </c>
      <c r="AE109">
        <v>0</v>
      </c>
      <c r="AF109">
        <v>0</v>
      </c>
      <c r="AG109">
        <v>0</v>
      </c>
      <c r="AH109">
        <v>0</v>
      </c>
      <c r="AI109">
        <v>1</v>
      </c>
      <c r="AJ109">
        <v>12</v>
      </c>
      <c r="AK109">
        <v>21</v>
      </c>
      <c r="AL109">
        <v>16</v>
      </c>
      <c r="AM109">
        <v>14</v>
      </c>
      <c r="AN109">
        <v>1</v>
      </c>
    </row>
    <row r="110" spans="1:40" x14ac:dyDescent="0.25">
      <c r="A110" t="s">
        <v>1497</v>
      </c>
      <c r="B110" t="s">
        <v>1499</v>
      </c>
      <c r="F110" t="s">
        <v>303</v>
      </c>
      <c r="G110" t="s">
        <v>2430</v>
      </c>
      <c r="H110">
        <v>2010</v>
      </c>
      <c r="I110">
        <v>87</v>
      </c>
      <c r="J110" t="s">
        <v>2439</v>
      </c>
      <c r="M110" t="s">
        <v>1948</v>
      </c>
      <c r="N110">
        <v>93</v>
      </c>
      <c r="O110">
        <v>117</v>
      </c>
      <c r="Q110" t="s">
        <v>2642</v>
      </c>
      <c r="T110">
        <v>65</v>
      </c>
      <c r="U110">
        <v>6.5</v>
      </c>
      <c r="V110">
        <v>0</v>
      </c>
      <c r="W110">
        <v>0</v>
      </c>
      <c r="X110">
        <v>0</v>
      </c>
      <c r="Y110">
        <v>0</v>
      </c>
      <c r="Z110">
        <v>0</v>
      </c>
      <c r="AA110">
        <v>0</v>
      </c>
      <c r="AB110">
        <v>0</v>
      </c>
      <c r="AC110">
        <v>0</v>
      </c>
      <c r="AD110">
        <v>0</v>
      </c>
      <c r="AE110">
        <v>3</v>
      </c>
      <c r="AF110">
        <v>7</v>
      </c>
      <c r="AG110">
        <v>10</v>
      </c>
      <c r="AH110">
        <v>12</v>
      </c>
      <c r="AI110">
        <v>9</v>
      </c>
      <c r="AJ110">
        <v>6</v>
      </c>
      <c r="AK110">
        <v>6</v>
      </c>
      <c r="AL110">
        <v>7</v>
      </c>
      <c r="AM110">
        <v>5</v>
      </c>
      <c r="AN110">
        <v>0</v>
      </c>
    </row>
    <row r="111" spans="1:40" x14ac:dyDescent="0.25">
      <c r="A111" t="s">
        <v>2643</v>
      </c>
      <c r="B111" t="s">
        <v>2644</v>
      </c>
      <c r="F111" t="s">
        <v>300</v>
      </c>
      <c r="G111" t="s">
        <v>2645</v>
      </c>
      <c r="H111">
        <v>2007</v>
      </c>
      <c r="I111">
        <v>29</v>
      </c>
      <c r="J111">
        <v>7</v>
      </c>
      <c r="N111">
        <v>1209</v>
      </c>
      <c r="O111">
        <v>1220</v>
      </c>
      <c r="Q111" t="s">
        <v>2646</v>
      </c>
      <c r="T111">
        <v>65</v>
      </c>
      <c r="U111">
        <v>5</v>
      </c>
      <c r="V111">
        <v>0</v>
      </c>
      <c r="W111">
        <v>0</v>
      </c>
      <c r="X111">
        <v>0</v>
      </c>
      <c r="Y111">
        <v>0</v>
      </c>
      <c r="Z111">
        <v>0</v>
      </c>
      <c r="AA111">
        <v>0</v>
      </c>
      <c r="AB111">
        <v>0</v>
      </c>
      <c r="AC111">
        <v>6</v>
      </c>
      <c r="AD111">
        <v>7</v>
      </c>
      <c r="AE111">
        <v>7</v>
      </c>
      <c r="AF111">
        <v>8</v>
      </c>
      <c r="AG111">
        <v>9</v>
      </c>
      <c r="AH111">
        <v>6</v>
      </c>
      <c r="AI111">
        <v>3</v>
      </c>
      <c r="AJ111">
        <v>6</v>
      </c>
      <c r="AK111">
        <v>3</v>
      </c>
      <c r="AL111">
        <v>7</v>
      </c>
      <c r="AM111">
        <v>2</v>
      </c>
      <c r="AN111">
        <v>1</v>
      </c>
    </row>
    <row r="112" spans="1:40" x14ac:dyDescent="0.25">
      <c r="A112" t="s">
        <v>1617</v>
      </c>
      <c r="B112" t="s">
        <v>1619</v>
      </c>
      <c r="F112" t="s">
        <v>320</v>
      </c>
      <c r="G112" t="s">
        <v>2647</v>
      </c>
      <c r="H112">
        <v>2011</v>
      </c>
      <c r="I112">
        <v>23</v>
      </c>
      <c r="J112">
        <v>8</v>
      </c>
      <c r="N112">
        <v>2074</v>
      </c>
      <c r="O112">
        <v>2100</v>
      </c>
      <c r="Q112" t="s">
        <v>2648</v>
      </c>
      <c r="T112">
        <v>64</v>
      </c>
      <c r="U112">
        <v>7.11</v>
      </c>
      <c r="V112">
        <v>0</v>
      </c>
      <c r="W112">
        <v>0</v>
      </c>
      <c r="X112">
        <v>0</v>
      </c>
      <c r="Y112">
        <v>0</v>
      </c>
      <c r="Z112">
        <v>0</v>
      </c>
      <c r="AA112">
        <v>0</v>
      </c>
      <c r="AB112">
        <v>0</v>
      </c>
      <c r="AC112">
        <v>0</v>
      </c>
      <c r="AD112">
        <v>0</v>
      </c>
      <c r="AE112">
        <v>0</v>
      </c>
      <c r="AF112">
        <v>1</v>
      </c>
      <c r="AG112">
        <v>6</v>
      </c>
      <c r="AH112">
        <v>10</v>
      </c>
      <c r="AI112">
        <v>11</v>
      </c>
      <c r="AJ112">
        <v>11</v>
      </c>
      <c r="AK112">
        <v>6</v>
      </c>
      <c r="AL112">
        <v>8</v>
      </c>
      <c r="AM112">
        <v>8</v>
      </c>
      <c r="AN112">
        <v>3</v>
      </c>
    </row>
    <row r="113" spans="1:40" x14ac:dyDescent="0.25">
      <c r="A113" t="s">
        <v>2649</v>
      </c>
      <c r="B113" t="s">
        <v>2650</v>
      </c>
      <c r="F113" t="s">
        <v>2651</v>
      </c>
      <c r="G113" t="s">
        <v>2489</v>
      </c>
      <c r="H113">
        <v>2009</v>
      </c>
      <c r="I113">
        <v>13</v>
      </c>
      <c r="J113">
        <v>1</v>
      </c>
      <c r="N113">
        <v>180</v>
      </c>
      <c r="O113">
        <v>188</v>
      </c>
      <c r="Q113" t="s">
        <v>2652</v>
      </c>
      <c r="R113" t="s">
        <v>2653</v>
      </c>
      <c r="S113" t="s">
        <v>2654</v>
      </c>
      <c r="T113">
        <v>64</v>
      </c>
      <c r="U113">
        <v>5.82</v>
      </c>
      <c r="V113">
        <v>0</v>
      </c>
      <c r="W113">
        <v>0</v>
      </c>
      <c r="X113">
        <v>0</v>
      </c>
      <c r="Y113">
        <v>0</v>
      </c>
      <c r="Z113">
        <v>0</v>
      </c>
      <c r="AA113">
        <v>0</v>
      </c>
      <c r="AB113">
        <v>0</v>
      </c>
      <c r="AC113">
        <v>1</v>
      </c>
      <c r="AD113">
        <v>5</v>
      </c>
      <c r="AE113">
        <v>13</v>
      </c>
      <c r="AF113">
        <v>11</v>
      </c>
      <c r="AG113">
        <v>11</v>
      </c>
      <c r="AH113">
        <v>4</v>
      </c>
      <c r="AI113">
        <v>10</v>
      </c>
      <c r="AJ113">
        <v>0</v>
      </c>
      <c r="AK113">
        <v>4</v>
      </c>
      <c r="AL113">
        <v>1</v>
      </c>
      <c r="AM113">
        <v>3</v>
      </c>
      <c r="AN113">
        <v>1</v>
      </c>
    </row>
    <row r="114" spans="1:40" x14ac:dyDescent="0.25">
      <c r="A114" t="s">
        <v>2655</v>
      </c>
      <c r="B114" t="s">
        <v>2656</v>
      </c>
      <c r="F114" t="s">
        <v>300</v>
      </c>
      <c r="G114" t="s">
        <v>2657</v>
      </c>
      <c r="H114">
        <v>2012</v>
      </c>
      <c r="I114">
        <v>34</v>
      </c>
      <c r="J114">
        <v>5</v>
      </c>
      <c r="N114">
        <v>1017</v>
      </c>
      <c r="O114">
        <v>1023</v>
      </c>
      <c r="Q114" t="s">
        <v>2658</v>
      </c>
      <c r="T114">
        <v>63</v>
      </c>
      <c r="U114">
        <v>7.88</v>
      </c>
      <c r="V114">
        <v>0</v>
      </c>
      <c r="W114">
        <v>0</v>
      </c>
      <c r="X114">
        <v>0</v>
      </c>
      <c r="Y114">
        <v>0</v>
      </c>
      <c r="Z114">
        <v>0</v>
      </c>
      <c r="AA114">
        <v>0</v>
      </c>
      <c r="AB114">
        <v>0</v>
      </c>
      <c r="AC114">
        <v>0</v>
      </c>
      <c r="AD114">
        <v>0</v>
      </c>
      <c r="AE114">
        <v>0</v>
      </c>
      <c r="AF114">
        <v>0</v>
      </c>
      <c r="AG114">
        <v>1</v>
      </c>
      <c r="AH114">
        <v>6</v>
      </c>
      <c r="AI114">
        <v>9</v>
      </c>
      <c r="AJ114">
        <v>13</v>
      </c>
      <c r="AK114">
        <v>9</v>
      </c>
      <c r="AL114">
        <v>12</v>
      </c>
      <c r="AM114">
        <v>10</v>
      </c>
      <c r="AN114">
        <v>3</v>
      </c>
    </row>
    <row r="115" spans="1:40" x14ac:dyDescent="0.25">
      <c r="A115" t="s">
        <v>2659</v>
      </c>
      <c r="B115" t="s">
        <v>2660</v>
      </c>
      <c r="F115" t="s">
        <v>303</v>
      </c>
      <c r="G115" t="s">
        <v>2661</v>
      </c>
      <c r="H115">
        <v>2014</v>
      </c>
      <c r="I115">
        <v>109</v>
      </c>
      <c r="J115" t="s">
        <v>2439</v>
      </c>
      <c r="M115" t="s">
        <v>1948</v>
      </c>
      <c r="N115">
        <v>74</v>
      </c>
      <c r="O115">
        <v>93</v>
      </c>
      <c r="Q115" t="s">
        <v>2662</v>
      </c>
      <c r="T115">
        <v>62</v>
      </c>
      <c r="U115">
        <v>10.33</v>
      </c>
      <c r="V115">
        <v>0</v>
      </c>
      <c r="W115">
        <v>0</v>
      </c>
      <c r="X115">
        <v>0</v>
      </c>
      <c r="Y115">
        <v>0</v>
      </c>
      <c r="Z115">
        <v>0</v>
      </c>
      <c r="AA115">
        <v>0</v>
      </c>
      <c r="AB115">
        <v>0</v>
      </c>
      <c r="AC115">
        <v>0</v>
      </c>
      <c r="AD115">
        <v>0</v>
      </c>
      <c r="AE115">
        <v>0</v>
      </c>
      <c r="AF115">
        <v>0</v>
      </c>
      <c r="AG115">
        <v>0</v>
      </c>
      <c r="AH115">
        <v>0</v>
      </c>
      <c r="AI115">
        <v>0</v>
      </c>
      <c r="AJ115">
        <v>4</v>
      </c>
      <c r="AK115">
        <v>20</v>
      </c>
      <c r="AL115">
        <v>16</v>
      </c>
      <c r="AM115">
        <v>18</v>
      </c>
      <c r="AN115">
        <v>4</v>
      </c>
    </row>
    <row r="116" spans="1:40" x14ac:dyDescent="0.25">
      <c r="A116" t="s">
        <v>1371</v>
      </c>
      <c r="B116" t="s">
        <v>1373</v>
      </c>
      <c r="F116" t="s">
        <v>300</v>
      </c>
      <c r="G116" t="s">
        <v>2582</v>
      </c>
      <c r="H116">
        <v>2011</v>
      </c>
      <c r="I116">
        <v>33</v>
      </c>
      <c r="J116">
        <v>4</v>
      </c>
      <c r="N116">
        <v>754</v>
      </c>
      <c r="O116">
        <v>766</v>
      </c>
      <c r="Q116" t="s">
        <v>2663</v>
      </c>
      <c r="T116">
        <v>61</v>
      </c>
      <c r="U116">
        <v>6.78</v>
      </c>
      <c r="V116">
        <v>0</v>
      </c>
      <c r="W116">
        <v>0</v>
      </c>
      <c r="X116">
        <v>0</v>
      </c>
      <c r="Y116">
        <v>0</v>
      </c>
      <c r="Z116">
        <v>0</v>
      </c>
      <c r="AA116">
        <v>0</v>
      </c>
      <c r="AB116">
        <v>0</v>
      </c>
      <c r="AC116">
        <v>0</v>
      </c>
      <c r="AD116">
        <v>0</v>
      </c>
      <c r="AE116">
        <v>0</v>
      </c>
      <c r="AF116">
        <v>1</v>
      </c>
      <c r="AG116">
        <v>7</v>
      </c>
      <c r="AH116">
        <v>8</v>
      </c>
      <c r="AI116">
        <v>7</v>
      </c>
      <c r="AJ116">
        <v>11</v>
      </c>
      <c r="AK116">
        <v>12</v>
      </c>
      <c r="AL116">
        <v>9</v>
      </c>
      <c r="AM116">
        <v>5</v>
      </c>
      <c r="AN116">
        <v>1</v>
      </c>
    </row>
    <row r="117" spans="1:40" x14ac:dyDescent="0.25">
      <c r="A117" t="s">
        <v>2664</v>
      </c>
      <c r="B117" t="s">
        <v>2665</v>
      </c>
      <c r="F117" t="s">
        <v>305</v>
      </c>
      <c r="G117" t="s">
        <v>2666</v>
      </c>
      <c r="H117">
        <v>2010</v>
      </c>
      <c r="I117">
        <v>31</v>
      </c>
      <c r="J117">
        <v>13</v>
      </c>
      <c r="M117" t="s">
        <v>1948</v>
      </c>
      <c r="N117">
        <v>1868</v>
      </c>
      <c r="O117">
        <v>1875</v>
      </c>
      <c r="Q117" t="s">
        <v>2667</v>
      </c>
      <c r="T117">
        <v>61</v>
      </c>
      <c r="U117">
        <v>6.1</v>
      </c>
      <c r="V117">
        <v>0</v>
      </c>
      <c r="W117">
        <v>0</v>
      </c>
      <c r="X117">
        <v>0</v>
      </c>
      <c r="Y117">
        <v>0</v>
      </c>
      <c r="Z117">
        <v>0</v>
      </c>
      <c r="AA117">
        <v>0</v>
      </c>
      <c r="AB117">
        <v>0</v>
      </c>
      <c r="AC117">
        <v>0</v>
      </c>
      <c r="AD117">
        <v>0</v>
      </c>
      <c r="AE117">
        <v>0</v>
      </c>
      <c r="AF117">
        <v>0</v>
      </c>
      <c r="AG117">
        <v>10</v>
      </c>
      <c r="AH117">
        <v>8</v>
      </c>
      <c r="AI117">
        <v>11</v>
      </c>
      <c r="AJ117">
        <v>5</v>
      </c>
      <c r="AK117">
        <v>10</v>
      </c>
      <c r="AL117">
        <v>13</v>
      </c>
      <c r="AM117">
        <v>4</v>
      </c>
      <c r="AN117">
        <v>0</v>
      </c>
    </row>
    <row r="118" spans="1:40" x14ac:dyDescent="0.25">
      <c r="A118" t="s">
        <v>1677</v>
      </c>
      <c r="B118" t="s">
        <v>1679</v>
      </c>
      <c r="F118" t="s">
        <v>308</v>
      </c>
      <c r="G118" t="s">
        <v>2668</v>
      </c>
      <c r="H118">
        <v>2014</v>
      </c>
      <c r="I118">
        <v>47</v>
      </c>
      <c r="J118">
        <v>10</v>
      </c>
      <c r="N118">
        <v>3343</v>
      </c>
      <c r="O118">
        <v>3361</v>
      </c>
      <c r="Q118" t="s">
        <v>2669</v>
      </c>
      <c r="T118">
        <v>59</v>
      </c>
      <c r="U118">
        <v>9.83</v>
      </c>
      <c r="V118">
        <v>0</v>
      </c>
      <c r="W118">
        <v>0</v>
      </c>
      <c r="X118">
        <v>0</v>
      </c>
      <c r="Y118">
        <v>0</v>
      </c>
      <c r="Z118">
        <v>0</v>
      </c>
      <c r="AA118">
        <v>0</v>
      </c>
      <c r="AB118">
        <v>0</v>
      </c>
      <c r="AC118">
        <v>0</v>
      </c>
      <c r="AD118">
        <v>0</v>
      </c>
      <c r="AE118">
        <v>0</v>
      </c>
      <c r="AF118">
        <v>0</v>
      </c>
      <c r="AG118">
        <v>0</v>
      </c>
      <c r="AH118">
        <v>0</v>
      </c>
      <c r="AI118">
        <v>0</v>
      </c>
      <c r="AJ118">
        <v>14</v>
      </c>
      <c r="AK118">
        <v>17</v>
      </c>
      <c r="AL118">
        <v>12</v>
      </c>
      <c r="AM118">
        <v>16</v>
      </c>
      <c r="AN118">
        <v>0</v>
      </c>
    </row>
    <row r="119" spans="1:40" x14ac:dyDescent="0.25">
      <c r="A119" t="s">
        <v>2670</v>
      </c>
      <c r="B119" t="s">
        <v>2671</v>
      </c>
      <c r="F119" t="s">
        <v>315</v>
      </c>
      <c r="G119" t="s">
        <v>2626</v>
      </c>
      <c r="H119">
        <v>2012</v>
      </c>
      <c r="I119">
        <v>23</v>
      </c>
      <c r="J119">
        <v>5</v>
      </c>
      <c r="N119">
        <v>831</v>
      </c>
      <c r="O119">
        <v>842</v>
      </c>
      <c r="Q119" t="s">
        <v>2672</v>
      </c>
      <c r="T119">
        <v>59</v>
      </c>
      <c r="U119">
        <v>7.38</v>
      </c>
      <c r="V119">
        <v>0</v>
      </c>
      <c r="W119">
        <v>0</v>
      </c>
      <c r="X119">
        <v>0</v>
      </c>
      <c r="Y119">
        <v>0</v>
      </c>
      <c r="Z119">
        <v>0</v>
      </c>
      <c r="AA119">
        <v>0</v>
      </c>
      <c r="AB119">
        <v>0</v>
      </c>
      <c r="AC119">
        <v>0</v>
      </c>
      <c r="AD119">
        <v>0</v>
      </c>
      <c r="AE119">
        <v>0</v>
      </c>
      <c r="AF119">
        <v>0</v>
      </c>
      <c r="AG119">
        <v>0</v>
      </c>
      <c r="AH119">
        <v>3</v>
      </c>
      <c r="AI119">
        <v>9</v>
      </c>
      <c r="AJ119">
        <v>16</v>
      </c>
      <c r="AK119">
        <v>12</v>
      </c>
      <c r="AL119">
        <v>11</v>
      </c>
      <c r="AM119">
        <v>7</v>
      </c>
      <c r="AN119">
        <v>1</v>
      </c>
    </row>
    <row r="120" spans="1:40" x14ac:dyDescent="0.25">
      <c r="A120" t="s">
        <v>2673</v>
      </c>
      <c r="B120" t="s">
        <v>2674</v>
      </c>
      <c r="F120" t="s">
        <v>311</v>
      </c>
      <c r="G120" t="s">
        <v>2454</v>
      </c>
      <c r="H120">
        <v>2006</v>
      </c>
      <c r="I120">
        <v>15</v>
      </c>
      <c r="J120">
        <v>9</v>
      </c>
      <c r="N120">
        <v>2657</v>
      </c>
      <c r="O120">
        <v>2668</v>
      </c>
      <c r="Q120" t="s">
        <v>2675</v>
      </c>
      <c r="R120" t="s">
        <v>2676</v>
      </c>
      <c r="S120" t="s">
        <v>2677</v>
      </c>
      <c r="T120">
        <v>59</v>
      </c>
      <c r="U120">
        <v>4.21</v>
      </c>
      <c r="V120">
        <v>0</v>
      </c>
      <c r="W120">
        <v>0</v>
      </c>
      <c r="X120">
        <v>0</v>
      </c>
      <c r="Y120">
        <v>0</v>
      </c>
      <c r="Z120">
        <v>0</v>
      </c>
      <c r="AA120">
        <v>0</v>
      </c>
      <c r="AB120">
        <v>5</v>
      </c>
      <c r="AC120">
        <v>7</v>
      </c>
      <c r="AD120">
        <v>7</v>
      </c>
      <c r="AE120">
        <v>8</v>
      </c>
      <c r="AF120">
        <v>3</v>
      </c>
      <c r="AG120">
        <v>7</v>
      </c>
      <c r="AH120">
        <v>8</v>
      </c>
      <c r="AI120">
        <v>3</v>
      </c>
      <c r="AJ120">
        <v>3</v>
      </c>
      <c r="AK120">
        <v>1</v>
      </c>
      <c r="AL120">
        <v>5</v>
      </c>
      <c r="AM120">
        <v>2</v>
      </c>
      <c r="AN120">
        <v>0</v>
      </c>
    </row>
    <row r="121" spans="1:40" x14ac:dyDescent="0.25">
      <c r="A121" t="s">
        <v>1286</v>
      </c>
      <c r="B121" t="s">
        <v>1288</v>
      </c>
      <c r="F121" t="s">
        <v>323</v>
      </c>
      <c r="G121" t="s">
        <v>2678</v>
      </c>
      <c r="H121">
        <v>2008</v>
      </c>
      <c r="I121">
        <v>16</v>
      </c>
      <c r="J121">
        <v>4</v>
      </c>
      <c r="N121">
        <v>483</v>
      </c>
      <c r="O121">
        <v>507</v>
      </c>
      <c r="Q121" t="s">
        <v>2679</v>
      </c>
      <c r="T121">
        <v>58</v>
      </c>
      <c r="U121">
        <v>4.83</v>
      </c>
      <c r="V121">
        <v>0</v>
      </c>
      <c r="W121">
        <v>0</v>
      </c>
      <c r="X121">
        <v>0</v>
      </c>
      <c r="Y121">
        <v>0</v>
      </c>
      <c r="Z121">
        <v>0</v>
      </c>
      <c r="AA121">
        <v>0</v>
      </c>
      <c r="AB121">
        <v>0</v>
      </c>
      <c r="AC121">
        <v>0</v>
      </c>
      <c r="AD121">
        <v>6</v>
      </c>
      <c r="AE121">
        <v>4</v>
      </c>
      <c r="AF121">
        <v>8</v>
      </c>
      <c r="AG121">
        <v>13</v>
      </c>
      <c r="AH121">
        <v>8</v>
      </c>
      <c r="AI121">
        <v>1</v>
      </c>
      <c r="AJ121">
        <v>3</v>
      </c>
      <c r="AK121">
        <v>6</v>
      </c>
      <c r="AL121">
        <v>5</v>
      </c>
      <c r="AM121">
        <v>4</v>
      </c>
      <c r="AN121">
        <v>0</v>
      </c>
    </row>
    <row r="122" spans="1:40" x14ac:dyDescent="0.25">
      <c r="A122" t="s">
        <v>2680</v>
      </c>
      <c r="B122" t="s">
        <v>2681</v>
      </c>
      <c r="F122" t="s">
        <v>303</v>
      </c>
      <c r="G122" t="s">
        <v>2483</v>
      </c>
      <c r="H122">
        <v>2012</v>
      </c>
      <c r="I122">
        <v>96</v>
      </c>
      <c r="J122">
        <v>1</v>
      </c>
      <c r="N122">
        <v>28</v>
      </c>
      <c r="O122">
        <v>45</v>
      </c>
      <c r="Q122" t="s">
        <v>2682</v>
      </c>
      <c r="T122">
        <v>56</v>
      </c>
      <c r="U122">
        <v>7</v>
      </c>
      <c r="V122">
        <v>0</v>
      </c>
      <c r="W122">
        <v>0</v>
      </c>
      <c r="X122">
        <v>0</v>
      </c>
      <c r="Y122">
        <v>0</v>
      </c>
      <c r="Z122">
        <v>0</v>
      </c>
      <c r="AA122">
        <v>0</v>
      </c>
      <c r="AB122">
        <v>0</v>
      </c>
      <c r="AC122">
        <v>0</v>
      </c>
      <c r="AD122">
        <v>0</v>
      </c>
      <c r="AE122">
        <v>0</v>
      </c>
      <c r="AF122">
        <v>0</v>
      </c>
      <c r="AG122">
        <v>1</v>
      </c>
      <c r="AH122">
        <v>3</v>
      </c>
      <c r="AI122">
        <v>8</v>
      </c>
      <c r="AJ122">
        <v>11</v>
      </c>
      <c r="AK122">
        <v>12</v>
      </c>
      <c r="AL122">
        <v>10</v>
      </c>
      <c r="AM122">
        <v>11</v>
      </c>
      <c r="AN122">
        <v>0</v>
      </c>
    </row>
    <row r="123" spans="1:40" x14ac:dyDescent="0.25">
      <c r="A123" t="s">
        <v>2683</v>
      </c>
      <c r="B123" t="s">
        <v>2684</v>
      </c>
      <c r="F123" t="s">
        <v>319</v>
      </c>
      <c r="G123" t="s">
        <v>2685</v>
      </c>
      <c r="H123">
        <v>2011</v>
      </c>
      <c r="I123">
        <v>61</v>
      </c>
      <c r="J123" t="s">
        <v>2686</v>
      </c>
      <c r="M123" t="s">
        <v>1948</v>
      </c>
      <c r="N123">
        <v>495</v>
      </c>
      <c r="O123">
        <v>512</v>
      </c>
      <c r="Q123" t="s">
        <v>2687</v>
      </c>
      <c r="T123">
        <v>56</v>
      </c>
      <c r="U123">
        <v>6.22</v>
      </c>
      <c r="V123">
        <v>0</v>
      </c>
      <c r="W123">
        <v>0</v>
      </c>
      <c r="X123">
        <v>0</v>
      </c>
      <c r="Y123">
        <v>0</v>
      </c>
      <c r="Z123">
        <v>0</v>
      </c>
      <c r="AA123">
        <v>0</v>
      </c>
      <c r="AB123">
        <v>0</v>
      </c>
      <c r="AC123">
        <v>0</v>
      </c>
      <c r="AD123">
        <v>0</v>
      </c>
      <c r="AE123">
        <v>0</v>
      </c>
      <c r="AF123">
        <v>1</v>
      </c>
      <c r="AG123">
        <v>5</v>
      </c>
      <c r="AH123">
        <v>4</v>
      </c>
      <c r="AI123">
        <v>9</v>
      </c>
      <c r="AJ123">
        <v>12</v>
      </c>
      <c r="AK123">
        <v>7</v>
      </c>
      <c r="AL123">
        <v>11</v>
      </c>
      <c r="AM123">
        <v>7</v>
      </c>
      <c r="AN123">
        <v>0</v>
      </c>
    </row>
    <row r="124" spans="1:40" x14ac:dyDescent="0.25">
      <c r="A124" t="s">
        <v>1164</v>
      </c>
      <c r="B124" t="s">
        <v>1166</v>
      </c>
      <c r="F124" t="s">
        <v>315</v>
      </c>
      <c r="G124" t="s">
        <v>2688</v>
      </c>
      <c r="H124">
        <v>2008</v>
      </c>
      <c r="I124">
        <v>19</v>
      </c>
      <c r="J124" t="s">
        <v>2689</v>
      </c>
      <c r="N124">
        <v>279</v>
      </c>
      <c r="O124">
        <v>290</v>
      </c>
      <c r="Q124" t="s">
        <v>2690</v>
      </c>
      <c r="T124">
        <v>56</v>
      </c>
      <c r="U124">
        <v>4.67</v>
      </c>
      <c r="V124">
        <v>0</v>
      </c>
      <c r="W124">
        <v>0</v>
      </c>
      <c r="X124">
        <v>0</v>
      </c>
      <c r="Y124">
        <v>0</v>
      </c>
      <c r="Z124">
        <v>0</v>
      </c>
      <c r="AA124">
        <v>0</v>
      </c>
      <c r="AB124">
        <v>0</v>
      </c>
      <c r="AC124">
        <v>0</v>
      </c>
      <c r="AD124">
        <v>3</v>
      </c>
      <c r="AE124">
        <v>4</v>
      </c>
      <c r="AF124">
        <v>5</v>
      </c>
      <c r="AG124">
        <v>6</v>
      </c>
      <c r="AH124">
        <v>5</v>
      </c>
      <c r="AI124">
        <v>6</v>
      </c>
      <c r="AJ124">
        <v>9</v>
      </c>
      <c r="AK124">
        <v>10</v>
      </c>
      <c r="AL124">
        <v>4</v>
      </c>
      <c r="AM124">
        <v>4</v>
      </c>
      <c r="AN124">
        <v>0</v>
      </c>
    </row>
    <row r="125" spans="1:40" x14ac:dyDescent="0.25">
      <c r="A125" t="s">
        <v>2691</v>
      </c>
      <c r="B125" t="s">
        <v>2692</v>
      </c>
      <c r="F125" t="s">
        <v>305</v>
      </c>
      <c r="G125" t="s">
        <v>2612</v>
      </c>
      <c r="H125">
        <v>2005</v>
      </c>
      <c r="I125">
        <v>26</v>
      </c>
      <c r="J125">
        <v>5</v>
      </c>
      <c r="N125">
        <v>581</v>
      </c>
      <c r="O125">
        <v>586</v>
      </c>
      <c r="Q125" t="s">
        <v>2693</v>
      </c>
      <c r="T125">
        <v>56</v>
      </c>
      <c r="U125">
        <v>3.73</v>
      </c>
      <c r="V125">
        <v>0</v>
      </c>
      <c r="W125">
        <v>0</v>
      </c>
      <c r="X125">
        <v>0</v>
      </c>
      <c r="Y125">
        <v>0</v>
      </c>
      <c r="Z125">
        <v>0</v>
      </c>
      <c r="AA125">
        <v>2</v>
      </c>
      <c r="AB125">
        <v>1</v>
      </c>
      <c r="AC125">
        <v>3</v>
      </c>
      <c r="AD125">
        <v>3</v>
      </c>
      <c r="AE125">
        <v>7</v>
      </c>
      <c r="AF125">
        <v>5</v>
      </c>
      <c r="AG125">
        <v>11</v>
      </c>
      <c r="AH125">
        <v>6</v>
      </c>
      <c r="AI125">
        <v>4</v>
      </c>
      <c r="AJ125">
        <v>3</v>
      </c>
      <c r="AK125">
        <v>6</v>
      </c>
      <c r="AL125">
        <v>1</v>
      </c>
      <c r="AM125">
        <v>4</v>
      </c>
      <c r="AN125">
        <v>0</v>
      </c>
    </row>
    <row r="126" spans="1:40" x14ac:dyDescent="0.25">
      <c r="A126" t="s">
        <v>990</v>
      </c>
      <c r="B126" t="s">
        <v>992</v>
      </c>
      <c r="F126" t="s">
        <v>297</v>
      </c>
      <c r="G126" t="s">
        <v>2624</v>
      </c>
      <c r="H126">
        <v>2015</v>
      </c>
      <c r="I126">
        <v>29</v>
      </c>
      <c r="J126">
        <v>2</v>
      </c>
      <c r="N126">
        <v>239</v>
      </c>
      <c r="O126">
        <v>251</v>
      </c>
      <c r="Q126" t="s">
        <v>2694</v>
      </c>
      <c r="T126">
        <v>55</v>
      </c>
      <c r="U126">
        <v>11</v>
      </c>
      <c r="V126">
        <v>0</v>
      </c>
      <c r="W126">
        <v>0</v>
      </c>
      <c r="X126">
        <v>0</v>
      </c>
      <c r="Y126">
        <v>0</v>
      </c>
      <c r="Z126">
        <v>0</v>
      </c>
      <c r="AA126">
        <v>0</v>
      </c>
      <c r="AB126">
        <v>0</v>
      </c>
      <c r="AC126">
        <v>0</v>
      </c>
      <c r="AD126">
        <v>0</v>
      </c>
      <c r="AE126">
        <v>0</v>
      </c>
      <c r="AF126">
        <v>0</v>
      </c>
      <c r="AG126">
        <v>0</v>
      </c>
      <c r="AH126">
        <v>0</v>
      </c>
      <c r="AI126">
        <v>0</v>
      </c>
      <c r="AJ126">
        <v>0</v>
      </c>
      <c r="AK126">
        <v>8</v>
      </c>
      <c r="AL126">
        <v>18</v>
      </c>
      <c r="AM126">
        <v>26</v>
      </c>
      <c r="AN126">
        <v>3</v>
      </c>
    </row>
    <row r="127" spans="1:40" x14ac:dyDescent="0.25">
      <c r="A127" t="s">
        <v>2695</v>
      </c>
      <c r="B127" t="s">
        <v>2696</v>
      </c>
      <c r="F127" t="s">
        <v>302</v>
      </c>
      <c r="G127" t="s">
        <v>2697</v>
      </c>
      <c r="H127">
        <v>2012</v>
      </c>
      <c r="I127">
        <v>30</v>
      </c>
      <c r="J127" t="s">
        <v>2698</v>
      </c>
      <c r="M127" t="s">
        <v>1948</v>
      </c>
      <c r="N127">
        <v>380</v>
      </c>
      <c r="O127">
        <v>388</v>
      </c>
      <c r="Q127" t="s">
        <v>2699</v>
      </c>
      <c r="T127">
        <v>55</v>
      </c>
      <c r="U127">
        <v>6.88</v>
      </c>
      <c r="V127">
        <v>0</v>
      </c>
      <c r="W127">
        <v>0</v>
      </c>
      <c r="X127">
        <v>0</v>
      </c>
      <c r="Y127">
        <v>0</v>
      </c>
      <c r="Z127">
        <v>0</v>
      </c>
      <c r="AA127">
        <v>0</v>
      </c>
      <c r="AB127">
        <v>0</v>
      </c>
      <c r="AC127">
        <v>0</v>
      </c>
      <c r="AD127">
        <v>0</v>
      </c>
      <c r="AE127">
        <v>0</v>
      </c>
      <c r="AF127">
        <v>0</v>
      </c>
      <c r="AG127">
        <v>4</v>
      </c>
      <c r="AH127">
        <v>5</v>
      </c>
      <c r="AI127">
        <v>4</v>
      </c>
      <c r="AJ127">
        <v>14</v>
      </c>
      <c r="AK127">
        <v>12</v>
      </c>
      <c r="AL127">
        <v>7</v>
      </c>
      <c r="AM127">
        <v>8</v>
      </c>
      <c r="AN127">
        <v>1</v>
      </c>
    </row>
    <row r="128" spans="1:40" x14ac:dyDescent="0.25">
      <c r="A128" t="s">
        <v>2700</v>
      </c>
      <c r="B128" t="s">
        <v>2701</v>
      </c>
      <c r="F128" t="s">
        <v>2702</v>
      </c>
      <c r="G128" t="s">
        <v>2703</v>
      </c>
      <c r="H128">
        <v>2002</v>
      </c>
      <c r="I128">
        <v>19</v>
      </c>
      <c r="J128">
        <v>1</v>
      </c>
      <c r="N128">
        <v>7</v>
      </c>
      <c r="O128">
        <v>23</v>
      </c>
      <c r="Q128" t="s">
        <v>2704</v>
      </c>
      <c r="T128">
        <v>55</v>
      </c>
      <c r="U128">
        <v>3.06</v>
      </c>
      <c r="V128">
        <v>0</v>
      </c>
      <c r="W128">
        <v>0</v>
      </c>
      <c r="X128">
        <v>0</v>
      </c>
      <c r="Y128">
        <v>0</v>
      </c>
      <c r="Z128">
        <v>4</v>
      </c>
      <c r="AA128">
        <v>3</v>
      </c>
      <c r="AB128">
        <v>6</v>
      </c>
      <c r="AC128">
        <v>3</v>
      </c>
      <c r="AD128">
        <v>4</v>
      </c>
      <c r="AE128">
        <v>4</v>
      </c>
      <c r="AF128">
        <v>8</v>
      </c>
      <c r="AG128">
        <v>7</v>
      </c>
      <c r="AH128">
        <v>6</v>
      </c>
      <c r="AI128">
        <v>1</v>
      </c>
      <c r="AJ128">
        <v>4</v>
      </c>
      <c r="AK128">
        <v>0</v>
      </c>
      <c r="AL128">
        <v>3</v>
      </c>
      <c r="AM128">
        <v>2</v>
      </c>
      <c r="AN128">
        <v>0</v>
      </c>
    </row>
    <row r="129" spans="1:40" x14ac:dyDescent="0.25">
      <c r="A129" t="s">
        <v>2705</v>
      </c>
      <c r="B129" t="s">
        <v>2706</v>
      </c>
      <c r="F129" t="s">
        <v>338</v>
      </c>
      <c r="G129">
        <v>2011</v>
      </c>
      <c r="H129">
        <v>2011</v>
      </c>
      <c r="I129">
        <v>3</v>
      </c>
      <c r="J129">
        <v>3</v>
      </c>
      <c r="N129">
        <v>253</v>
      </c>
      <c r="O129">
        <v>269</v>
      </c>
      <c r="Q129" t="s">
        <v>2707</v>
      </c>
      <c r="T129">
        <v>54</v>
      </c>
      <c r="U129">
        <v>6</v>
      </c>
      <c r="V129">
        <v>0</v>
      </c>
      <c r="W129">
        <v>0</v>
      </c>
      <c r="X129">
        <v>0</v>
      </c>
      <c r="Y129">
        <v>0</v>
      </c>
      <c r="Z129">
        <v>0</v>
      </c>
      <c r="AA129">
        <v>0</v>
      </c>
      <c r="AB129">
        <v>0</v>
      </c>
      <c r="AC129">
        <v>0</v>
      </c>
      <c r="AD129">
        <v>0</v>
      </c>
      <c r="AE129">
        <v>0</v>
      </c>
      <c r="AF129">
        <v>0</v>
      </c>
      <c r="AG129">
        <v>4</v>
      </c>
      <c r="AH129">
        <v>5</v>
      </c>
      <c r="AI129">
        <v>8</v>
      </c>
      <c r="AJ129">
        <v>13</v>
      </c>
      <c r="AK129">
        <v>10</v>
      </c>
      <c r="AL129">
        <v>11</v>
      </c>
      <c r="AM129">
        <v>3</v>
      </c>
      <c r="AN129">
        <v>0</v>
      </c>
    </row>
    <row r="130" spans="1:40" x14ac:dyDescent="0.25">
      <c r="A130" t="s">
        <v>1293</v>
      </c>
      <c r="B130" t="s">
        <v>1295</v>
      </c>
      <c r="F130" t="s">
        <v>313</v>
      </c>
      <c r="G130" t="s">
        <v>2471</v>
      </c>
      <c r="H130">
        <v>2012</v>
      </c>
      <c r="I130">
        <v>39</v>
      </c>
      <c r="J130">
        <v>4</v>
      </c>
      <c r="N130">
        <v>4274</v>
      </c>
      <c r="O130">
        <v>4286</v>
      </c>
      <c r="Q130" t="s">
        <v>2708</v>
      </c>
      <c r="T130">
        <v>51</v>
      </c>
      <c r="U130">
        <v>6.38</v>
      </c>
      <c r="V130">
        <v>0</v>
      </c>
      <c r="W130">
        <v>0</v>
      </c>
      <c r="X130">
        <v>0</v>
      </c>
      <c r="Y130">
        <v>0</v>
      </c>
      <c r="Z130">
        <v>0</v>
      </c>
      <c r="AA130">
        <v>0</v>
      </c>
      <c r="AB130">
        <v>0</v>
      </c>
      <c r="AC130">
        <v>0</v>
      </c>
      <c r="AD130">
        <v>0</v>
      </c>
      <c r="AE130">
        <v>0</v>
      </c>
      <c r="AF130">
        <v>0</v>
      </c>
      <c r="AG130">
        <v>2</v>
      </c>
      <c r="AH130">
        <v>4</v>
      </c>
      <c r="AI130">
        <v>8</v>
      </c>
      <c r="AJ130">
        <v>8</v>
      </c>
      <c r="AK130">
        <v>11</v>
      </c>
      <c r="AL130">
        <v>6</v>
      </c>
      <c r="AM130">
        <v>11</v>
      </c>
      <c r="AN130">
        <v>1</v>
      </c>
    </row>
    <row r="131" spans="1:40" x14ac:dyDescent="0.25">
      <c r="A131" t="s">
        <v>1448</v>
      </c>
      <c r="B131" t="s">
        <v>1450</v>
      </c>
      <c r="F131" t="s">
        <v>302</v>
      </c>
      <c r="G131" t="s">
        <v>2709</v>
      </c>
      <c r="H131">
        <v>2008</v>
      </c>
      <c r="I131">
        <v>26</v>
      </c>
      <c r="J131">
        <v>1</v>
      </c>
      <c r="M131" t="s">
        <v>1948</v>
      </c>
      <c r="N131">
        <v>102</v>
      </c>
      <c r="O131">
        <v>113</v>
      </c>
      <c r="Q131" t="s">
        <v>2710</v>
      </c>
      <c r="T131">
        <v>50</v>
      </c>
      <c r="U131">
        <v>4.17</v>
      </c>
      <c r="V131">
        <v>0</v>
      </c>
      <c r="W131">
        <v>0</v>
      </c>
      <c r="X131">
        <v>0</v>
      </c>
      <c r="Y131">
        <v>0</v>
      </c>
      <c r="Z131">
        <v>0</v>
      </c>
      <c r="AA131">
        <v>0</v>
      </c>
      <c r="AB131">
        <v>0</v>
      </c>
      <c r="AC131">
        <v>2</v>
      </c>
      <c r="AD131">
        <v>4</v>
      </c>
      <c r="AE131">
        <v>8</v>
      </c>
      <c r="AF131">
        <v>6</v>
      </c>
      <c r="AG131">
        <v>5</v>
      </c>
      <c r="AH131">
        <v>10</v>
      </c>
      <c r="AI131">
        <v>3</v>
      </c>
      <c r="AJ131">
        <v>3</v>
      </c>
      <c r="AK131">
        <v>3</v>
      </c>
      <c r="AL131">
        <v>3</v>
      </c>
      <c r="AM131">
        <v>3</v>
      </c>
      <c r="AN131">
        <v>0</v>
      </c>
    </row>
    <row r="132" spans="1:40" x14ac:dyDescent="0.25">
      <c r="A132" t="s">
        <v>2711</v>
      </c>
      <c r="B132" t="s">
        <v>2712</v>
      </c>
      <c r="F132" t="s">
        <v>298</v>
      </c>
      <c r="G132" t="s">
        <v>2713</v>
      </c>
      <c r="H132">
        <v>2005</v>
      </c>
      <c r="I132">
        <v>98</v>
      </c>
      <c r="J132">
        <v>3</v>
      </c>
      <c r="N132">
        <v>462</v>
      </c>
      <c r="O132">
        <v>490</v>
      </c>
      <c r="Q132" t="s">
        <v>2714</v>
      </c>
      <c r="T132">
        <v>49</v>
      </c>
      <c r="U132">
        <v>3.27</v>
      </c>
      <c r="V132">
        <v>0</v>
      </c>
      <c r="W132">
        <v>0</v>
      </c>
      <c r="X132">
        <v>0</v>
      </c>
      <c r="Y132">
        <v>0</v>
      </c>
      <c r="Z132">
        <v>0</v>
      </c>
      <c r="AA132">
        <v>5</v>
      </c>
      <c r="AB132">
        <v>3</v>
      </c>
      <c r="AC132">
        <v>8</v>
      </c>
      <c r="AD132">
        <v>4</v>
      </c>
      <c r="AE132">
        <v>6</v>
      </c>
      <c r="AF132">
        <v>4</v>
      </c>
      <c r="AG132">
        <v>5</v>
      </c>
      <c r="AH132">
        <v>3</v>
      </c>
      <c r="AI132">
        <v>6</v>
      </c>
      <c r="AJ132">
        <v>1</v>
      </c>
      <c r="AK132">
        <v>2</v>
      </c>
      <c r="AL132">
        <v>1</v>
      </c>
      <c r="AM132">
        <v>1</v>
      </c>
      <c r="AN132">
        <v>0</v>
      </c>
    </row>
    <row r="133" spans="1:40" x14ac:dyDescent="0.25">
      <c r="A133" t="s">
        <v>2715</v>
      </c>
      <c r="B133" t="s">
        <v>2716</v>
      </c>
      <c r="F133" t="s">
        <v>2462</v>
      </c>
      <c r="G133" t="s">
        <v>2717</v>
      </c>
      <c r="H133">
        <v>2004</v>
      </c>
      <c r="I133">
        <v>15</v>
      </c>
      <c r="J133">
        <v>1</v>
      </c>
      <c r="N133">
        <v>135</v>
      </c>
      <c r="O133">
        <v>144</v>
      </c>
      <c r="Q133" t="s">
        <v>2718</v>
      </c>
      <c r="T133">
        <v>48</v>
      </c>
      <c r="U133">
        <v>3</v>
      </c>
      <c r="V133">
        <v>0</v>
      </c>
      <c r="W133">
        <v>0</v>
      </c>
      <c r="X133">
        <v>0</v>
      </c>
      <c r="Y133">
        <v>1</v>
      </c>
      <c r="Z133">
        <v>2</v>
      </c>
      <c r="AA133">
        <v>1</v>
      </c>
      <c r="AB133">
        <v>4</v>
      </c>
      <c r="AC133">
        <v>2</v>
      </c>
      <c r="AD133">
        <v>5</v>
      </c>
      <c r="AE133">
        <v>7</v>
      </c>
      <c r="AF133">
        <v>2</v>
      </c>
      <c r="AG133">
        <v>5</v>
      </c>
      <c r="AH133">
        <v>3</v>
      </c>
      <c r="AI133">
        <v>8</v>
      </c>
      <c r="AJ133">
        <v>0</v>
      </c>
      <c r="AK133">
        <v>5</v>
      </c>
      <c r="AL133">
        <v>3</v>
      </c>
      <c r="AM133">
        <v>0</v>
      </c>
      <c r="AN133">
        <v>0</v>
      </c>
    </row>
    <row r="134" spans="1:40" x14ac:dyDescent="0.25">
      <c r="A134" t="s">
        <v>1395</v>
      </c>
      <c r="B134" t="s">
        <v>1397</v>
      </c>
      <c r="F134" t="s">
        <v>300</v>
      </c>
      <c r="G134" t="s">
        <v>2566</v>
      </c>
      <c r="H134">
        <v>2013</v>
      </c>
      <c r="I134">
        <v>35</v>
      </c>
      <c r="J134">
        <v>11</v>
      </c>
      <c r="N134">
        <v>2608</v>
      </c>
      <c r="O134">
        <v>2623</v>
      </c>
      <c r="Q134" t="s">
        <v>2719</v>
      </c>
      <c r="T134">
        <v>47</v>
      </c>
      <c r="U134">
        <v>6.71</v>
      </c>
      <c r="V134">
        <v>0</v>
      </c>
      <c r="W134">
        <v>0</v>
      </c>
      <c r="X134">
        <v>0</v>
      </c>
      <c r="Y134">
        <v>0</v>
      </c>
      <c r="Z134">
        <v>0</v>
      </c>
      <c r="AA134">
        <v>0</v>
      </c>
      <c r="AB134">
        <v>0</v>
      </c>
      <c r="AC134">
        <v>0</v>
      </c>
      <c r="AD134">
        <v>0</v>
      </c>
      <c r="AE134">
        <v>0</v>
      </c>
      <c r="AF134">
        <v>0</v>
      </c>
      <c r="AG134">
        <v>0</v>
      </c>
      <c r="AH134">
        <v>0</v>
      </c>
      <c r="AI134">
        <v>2</v>
      </c>
      <c r="AJ134">
        <v>10</v>
      </c>
      <c r="AK134">
        <v>10</v>
      </c>
      <c r="AL134">
        <v>14</v>
      </c>
      <c r="AM134">
        <v>11</v>
      </c>
      <c r="AN134">
        <v>0</v>
      </c>
    </row>
    <row r="135" spans="1:40" x14ac:dyDescent="0.25">
      <c r="A135" t="s">
        <v>1120</v>
      </c>
      <c r="B135" t="s">
        <v>1122</v>
      </c>
      <c r="F135" t="s">
        <v>314</v>
      </c>
      <c r="G135" t="s">
        <v>2720</v>
      </c>
      <c r="H135">
        <v>2013</v>
      </c>
      <c r="I135">
        <v>43</v>
      </c>
      <c r="J135">
        <v>6</v>
      </c>
      <c r="N135">
        <v>1860</v>
      </c>
      <c r="O135">
        <v>1870</v>
      </c>
      <c r="Q135" t="s">
        <v>2721</v>
      </c>
      <c r="T135">
        <v>46</v>
      </c>
      <c r="U135">
        <v>6.57</v>
      </c>
      <c r="V135">
        <v>0</v>
      </c>
      <c r="W135">
        <v>0</v>
      </c>
      <c r="X135">
        <v>0</v>
      </c>
      <c r="Y135">
        <v>0</v>
      </c>
      <c r="Z135">
        <v>0</v>
      </c>
      <c r="AA135">
        <v>0</v>
      </c>
      <c r="AB135">
        <v>0</v>
      </c>
      <c r="AC135">
        <v>0</v>
      </c>
      <c r="AD135">
        <v>0</v>
      </c>
      <c r="AE135">
        <v>0</v>
      </c>
      <c r="AF135">
        <v>0</v>
      </c>
      <c r="AG135">
        <v>0</v>
      </c>
      <c r="AH135">
        <v>0</v>
      </c>
      <c r="AI135">
        <v>4</v>
      </c>
      <c r="AJ135">
        <v>10</v>
      </c>
      <c r="AK135">
        <v>10</v>
      </c>
      <c r="AL135">
        <v>12</v>
      </c>
      <c r="AM135">
        <v>10</v>
      </c>
      <c r="AN135">
        <v>0</v>
      </c>
    </row>
    <row r="136" spans="1:40" x14ac:dyDescent="0.25">
      <c r="A136" t="s">
        <v>2722</v>
      </c>
      <c r="B136" t="s">
        <v>2723</v>
      </c>
      <c r="F136" t="s">
        <v>300</v>
      </c>
      <c r="G136" t="s">
        <v>2515</v>
      </c>
      <c r="H136">
        <v>2012</v>
      </c>
      <c r="I136">
        <v>34</v>
      </c>
      <c r="J136">
        <v>11</v>
      </c>
      <c r="N136">
        <v>2259</v>
      </c>
      <c r="O136">
        <v>2273</v>
      </c>
      <c r="Q136" t="s">
        <v>2724</v>
      </c>
      <c r="T136">
        <v>46</v>
      </c>
      <c r="U136">
        <v>5.75</v>
      </c>
      <c r="V136">
        <v>0</v>
      </c>
      <c r="W136">
        <v>0</v>
      </c>
      <c r="X136">
        <v>0</v>
      </c>
      <c r="Y136">
        <v>0</v>
      </c>
      <c r="Z136">
        <v>0</v>
      </c>
      <c r="AA136">
        <v>0</v>
      </c>
      <c r="AB136">
        <v>0</v>
      </c>
      <c r="AC136">
        <v>0</v>
      </c>
      <c r="AD136">
        <v>0</v>
      </c>
      <c r="AE136">
        <v>0</v>
      </c>
      <c r="AF136">
        <v>0</v>
      </c>
      <c r="AG136">
        <v>0</v>
      </c>
      <c r="AH136">
        <v>5</v>
      </c>
      <c r="AI136">
        <v>5</v>
      </c>
      <c r="AJ136">
        <v>11</v>
      </c>
      <c r="AK136">
        <v>10</v>
      </c>
      <c r="AL136">
        <v>12</v>
      </c>
      <c r="AM136">
        <v>2</v>
      </c>
      <c r="AN136">
        <v>1</v>
      </c>
    </row>
    <row r="137" spans="1:40" x14ac:dyDescent="0.25">
      <c r="A137" t="s">
        <v>2725</v>
      </c>
      <c r="B137" t="s">
        <v>2726</v>
      </c>
      <c r="F137" t="s">
        <v>303</v>
      </c>
      <c r="G137" t="s">
        <v>2391</v>
      </c>
      <c r="H137">
        <v>2008</v>
      </c>
      <c r="I137">
        <v>78</v>
      </c>
      <c r="J137">
        <v>1</v>
      </c>
      <c r="N137">
        <v>67</v>
      </c>
      <c r="O137">
        <v>88</v>
      </c>
      <c r="Q137" t="s">
        <v>2727</v>
      </c>
      <c r="T137">
        <v>46</v>
      </c>
      <c r="U137">
        <v>3.83</v>
      </c>
      <c r="V137">
        <v>0</v>
      </c>
      <c r="W137">
        <v>0</v>
      </c>
      <c r="X137">
        <v>0</v>
      </c>
      <c r="Y137">
        <v>0</v>
      </c>
      <c r="Z137">
        <v>0</v>
      </c>
      <c r="AA137">
        <v>0</v>
      </c>
      <c r="AB137">
        <v>0</v>
      </c>
      <c r="AC137">
        <v>1</v>
      </c>
      <c r="AD137">
        <v>3</v>
      </c>
      <c r="AE137">
        <v>4</v>
      </c>
      <c r="AF137">
        <v>5</v>
      </c>
      <c r="AG137">
        <v>6</v>
      </c>
      <c r="AH137">
        <v>2</v>
      </c>
      <c r="AI137">
        <v>4</v>
      </c>
      <c r="AJ137">
        <v>9</v>
      </c>
      <c r="AK137">
        <v>4</v>
      </c>
      <c r="AL137">
        <v>3</v>
      </c>
      <c r="AM137">
        <v>5</v>
      </c>
      <c r="AN137">
        <v>0</v>
      </c>
    </row>
    <row r="138" spans="1:40" x14ac:dyDescent="0.25">
      <c r="A138" t="s">
        <v>1545</v>
      </c>
      <c r="B138" t="s">
        <v>1547</v>
      </c>
      <c r="F138" t="s">
        <v>332</v>
      </c>
      <c r="G138" t="s">
        <v>2728</v>
      </c>
      <c r="H138">
        <v>2011</v>
      </c>
      <c r="I138">
        <v>21</v>
      </c>
      <c r="J138">
        <v>3</v>
      </c>
      <c r="N138">
        <v>225</v>
      </c>
      <c r="O138">
        <v>246</v>
      </c>
      <c r="Q138" t="s">
        <v>2729</v>
      </c>
      <c r="T138">
        <v>45</v>
      </c>
      <c r="U138">
        <v>5</v>
      </c>
      <c r="V138">
        <v>0</v>
      </c>
      <c r="W138">
        <v>0</v>
      </c>
      <c r="X138">
        <v>0</v>
      </c>
      <c r="Y138">
        <v>0</v>
      </c>
      <c r="Z138">
        <v>0</v>
      </c>
      <c r="AA138">
        <v>0</v>
      </c>
      <c r="AB138">
        <v>0</v>
      </c>
      <c r="AC138">
        <v>0</v>
      </c>
      <c r="AD138">
        <v>0</v>
      </c>
      <c r="AE138">
        <v>0</v>
      </c>
      <c r="AF138">
        <v>2</v>
      </c>
      <c r="AG138">
        <v>8</v>
      </c>
      <c r="AH138">
        <v>12</v>
      </c>
      <c r="AI138">
        <v>8</v>
      </c>
      <c r="AJ138">
        <v>2</v>
      </c>
      <c r="AK138">
        <v>3</v>
      </c>
      <c r="AL138">
        <v>3</v>
      </c>
      <c r="AM138">
        <v>6</v>
      </c>
      <c r="AN138">
        <v>1</v>
      </c>
    </row>
    <row r="139" spans="1:40" x14ac:dyDescent="0.25">
      <c r="A139" t="s">
        <v>2730</v>
      </c>
      <c r="B139" t="s">
        <v>2731</v>
      </c>
      <c r="F139" t="s">
        <v>2732</v>
      </c>
      <c r="G139" t="s">
        <v>2733</v>
      </c>
      <c r="H139">
        <v>2003</v>
      </c>
      <c r="I139">
        <v>53</v>
      </c>
      <c r="J139" t="s">
        <v>2439</v>
      </c>
      <c r="N139">
        <v>157</v>
      </c>
      <c r="O139">
        <v>191</v>
      </c>
      <c r="Q139" t="s">
        <v>2734</v>
      </c>
      <c r="T139">
        <v>45</v>
      </c>
      <c r="U139">
        <v>2.65</v>
      </c>
      <c r="V139">
        <v>0</v>
      </c>
      <c r="W139">
        <v>0</v>
      </c>
      <c r="X139">
        <v>0</v>
      </c>
      <c r="Y139">
        <v>2</v>
      </c>
      <c r="Z139">
        <v>1</v>
      </c>
      <c r="AA139">
        <v>6</v>
      </c>
      <c r="AB139">
        <v>9</v>
      </c>
      <c r="AC139">
        <v>3</v>
      </c>
      <c r="AD139">
        <v>4</v>
      </c>
      <c r="AE139">
        <v>5</v>
      </c>
      <c r="AF139">
        <v>1</v>
      </c>
      <c r="AG139">
        <v>4</v>
      </c>
      <c r="AH139">
        <v>0</v>
      </c>
      <c r="AI139">
        <v>3</v>
      </c>
      <c r="AJ139">
        <v>2</v>
      </c>
      <c r="AK139">
        <v>3</v>
      </c>
      <c r="AL139">
        <v>1</v>
      </c>
      <c r="AM139">
        <v>1</v>
      </c>
      <c r="AN139">
        <v>0</v>
      </c>
    </row>
    <row r="140" spans="1:40" x14ac:dyDescent="0.25">
      <c r="A140" t="s">
        <v>2735</v>
      </c>
      <c r="B140" t="s">
        <v>2736</v>
      </c>
      <c r="F140" t="s">
        <v>2737</v>
      </c>
      <c r="G140">
        <v>2008</v>
      </c>
      <c r="H140">
        <v>2008</v>
      </c>
      <c r="I140">
        <v>18</v>
      </c>
      <c r="J140">
        <v>1</v>
      </c>
      <c r="N140">
        <v>85</v>
      </c>
      <c r="O140">
        <v>91</v>
      </c>
      <c r="Q140" t="s">
        <v>2738</v>
      </c>
      <c r="T140">
        <v>44</v>
      </c>
      <c r="U140">
        <v>3.67</v>
      </c>
      <c r="V140">
        <v>0</v>
      </c>
      <c r="W140">
        <v>0</v>
      </c>
      <c r="X140">
        <v>0</v>
      </c>
      <c r="Y140">
        <v>0</v>
      </c>
      <c r="Z140">
        <v>0</v>
      </c>
      <c r="AA140">
        <v>0</v>
      </c>
      <c r="AB140">
        <v>0</v>
      </c>
      <c r="AC140">
        <v>0</v>
      </c>
      <c r="AD140">
        <v>1</v>
      </c>
      <c r="AE140">
        <v>3</v>
      </c>
      <c r="AF140">
        <v>2</v>
      </c>
      <c r="AG140">
        <v>3</v>
      </c>
      <c r="AH140">
        <v>6</v>
      </c>
      <c r="AI140">
        <v>5</v>
      </c>
      <c r="AJ140">
        <v>7</v>
      </c>
      <c r="AK140">
        <v>5</v>
      </c>
      <c r="AL140">
        <v>7</v>
      </c>
      <c r="AM140">
        <v>5</v>
      </c>
      <c r="AN140">
        <v>0</v>
      </c>
    </row>
    <row r="141" spans="1:40" x14ac:dyDescent="0.25">
      <c r="A141" t="s">
        <v>2739</v>
      </c>
      <c r="B141" t="s">
        <v>2740</v>
      </c>
      <c r="F141" t="s">
        <v>300</v>
      </c>
      <c r="G141" t="s">
        <v>2572</v>
      </c>
      <c r="H141">
        <v>2008</v>
      </c>
      <c r="I141">
        <v>30</v>
      </c>
      <c r="J141">
        <v>11</v>
      </c>
      <c r="N141">
        <v>1945</v>
      </c>
      <c r="O141">
        <v>1957</v>
      </c>
      <c r="Q141" t="s">
        <v>2741</v>
      </c>
      <c r="T141">
        <v>42</v>
      </c>
      <c r="U141">
        <v>3.5</v>
      </c>
      <c r="V141">
        <v>0</v>
      </c>
      <c r="W141">
        <v>0</v>
      </c>
      <c r="X141">
        <v>0</v>
      </c>
      <c r="Y141">
        <v>0</v>
      </c>
      <c r="Z141">
        <v>0</v>
      </c>
      <c r="AA141">
        <v>0</v>
      </c>
      <c r="AB141">
        <v>0</v>
      </c>
      <c r="AC141">
        <v>0</v>
      </c>
      <c r="AD141">
        <v>0</v>
      </c>
      <c r="AE141">
        <v>5</v>
      </c>
      <c r="AF141">
        <v>2</v>
      </c>
      <c r="AG141">
        <v>7</v>
      </c>
      <c r="AH141">
        <v>5</v>
      </c>
      <c r="AI141">
        <v>6</v>
      </c>
      <c r="AJ141">
        <v>5</v>
      </c>
      <c r="AK141">
        <v>6</v>
      </c>
      <c r="AL141">
        <v>4</v>
      </c>
      <c r="AM141">
        <v>2</v>
      </c>
      <c r="AN141">
        <v>0</v>
      </c>
    </row>
    <row r="142" spans="1:40" x14ac:dyDescent="0.25">
      <c r="A142" t="s">
        <v>2742</v>
      </c>
      <c r="B142" t="s">
        <v>2743</v>
      </c>
      <c r="F142" t="s">
        <v>298</v>
      </c>
      <c r="G142" t="s">
        <v>2744</v>
      </c>
      <c r="H142">
        <v>2005</v>
      </c>
      <c r="I142">
        <v>100</v>
      </c>
      <c r="J142" t="s">
        <v>2439</v>
      </c>
      <c r="N142">
        <v>64</v>
      </c>
      <c r="O142">
        <v>106</v>
      </c>
      <c r="Q142" t="s">
        <v>2745</v>
      </c>
      <c r="R142" t="s">
        <v>2746</v>
      </c>
      <c r="S142" t="s">
        <v>2747</v>
      </c>
      <c r="T142">
        <v>42</v>
      </c>
      <c r="U142">
        <v>2.8</v>
      </c>
      <c r="V142">
        <v>0</v>
      </c>
      <c r="W142">
        <v>0</v>
      </c>
      <c r="X142">
        <v>0</v>
      </c>
      <c r="Y142">
        <v>0</v>
      </c>
      <c r="Z142">
        <v>0</v>
      </c>
      <c r="AA142">
        <v>3</v>
      </c>
      <c r="AB142">
        <v>6</v>
      </c>
      <c r="AC142">
        <v>3</v>
      </c>
      <c r="AD142">
        <v>4</v>
      </c>
      <c r="AE142">
        <v>5</v>
      </c>
      <c r="AF142">
        <v>8</v>
      </c>
      <c r="AG142">
        <v>2</v>
      </c>
      <c r="AH142">
        <v>2</v>
      </c>
      <c r="AI142">
        <v>2</v>
      </c>
      <c r="AJ142">
        <v>4</v>
      </c>
      <c r="AK142">
        <v>2</v>
      </c>
      <c r="AL142">
        <v>1</v>
      </c>
      <c r="AM142">
        <v>0</v>
      </c>
      <c r="AN142">
        <v>0</v>
      </c>
    </row>
    <row r="143" spans="1:40" x14ac:dyDescent="0.25">
      <c r="A143" t="s">
        <v>2748</v>
      </c>
      <c r="B143" t="s">
        <v>2749</v>
      </c>
      <c r="F143" t="s">
        <v>300</v>
      </c>
      <c r="G143" t="s">
        <v>2750</v>
      </c>
      <c r="H143">
        <v>2014</v>
      </c>
      <c r="I143">
        <v>36</v>
      </c>
      <c r="J143">
        <v>11</v>
      </c>
      <c r="N143">
        <v>2317</v>
      </c>
      <c r="O143">
        <v>2324</v>
      </c>
      <c r="Q143" t="s">
        <v>2751</v>
      </c>
      <c r="T143">
        <v>41</v>
      </c>
      <c r="U143">
        <v>6.83</v>
      </c>
      <c r="V143">
        <v>0</v>
      </c>
      <c r="W143">
        <v>0</v>
      </c>
      <c r="X143">
        <v>0</v>
      </c>
      <c r="Y143">
        <v>0</v>
      </c>
      <c r="Z143">
        <v>0</v>
      </c>
      <c r="AA143">
        <v>0</v>
      </c>
      <c r="AB143">
        <v>0</v>
      </c>
      <c r="AC143">
        <v>0</v>
      </c>
      <c r="AD143">
        <v>0</v>
      </c>
      <c r="AE143">
        <v>0</v>
      </c>
      <c r="AF143">
        <v>0</v>
      </c>
      <c r="AG143">
        <v>0</v>
      </c>
      <c r="AH143">
        <v>0</v>
      </c>
      <c r="AI143">
        <v>0</v>
      </c>
      <c r="AJ143">
        <v>3</v>
      </c>
      <c r="AK143">
        <v>8</v>
      </c>
      <c r="AL143">
        <v>12</v>
      </c>
      <c r="AM143">
        <v>14</v>
      </c>
      <c r="AN143">
        <v>4</v>
      </c>
    </row>
    <row r="144" spans="1:40" x14ac:dyDescent="0.25">
      <c r="A144" t="s">
        <v>2752</v>
      </c>
      <c r="B144" t="s">
        <v>2753</v>
      </c>
      <c r="F144" t="s">
        <v>300</v>
      </c>
      <c r="G144" t="s">
        <v>2754</v>
      </c>
      <c r="H144">
        <v>2014</v>
      </c>
      <c r="I144">
        <v>36</v>
      </c>
      <c r="J144">
        <v>5</v>
      </c>
      <c r="N144">
        <v>860</v>
      </c>
      <c r="O144">
        <v>873</v>
      </c>
      <c r="Q144" t="s">
        <v>2755</v>
      </c>
      <c r="T144">
        <v>41</v>
      </c>
      <c r="U144">
        <v>6.83</v>
      </c>
      <c r="V144">
        <v>0</v>
      </c>
      <c r="W144">
        <v>0</v>
      </c>
      <c r="X144">
        <v>0</v>
      </c>
      <c r="Y144">
        <v>0</v>
      </c>
      <c r="Z144">
        <v>0</v>
      </c>
      <c r="AA144">
        <v>0</v>
      </c>
      <c r="AB144">
        <v>0</v>
      </c>
      <c r="AC144">
        <v>0</v>
      </c>
      <c r="AD144">
        <v>0</v>
      </c>
      <c r="AE144">
        <v>0</v>
      </c>
      <c r="AF144">
        <v>0</v>
      </c>
      <c r="AG144">
        <v>0</v>
      </c>
      <c r="AH144">
        <v>0</v>
      </c>
      <c r="AI144">
        <v>1</v>
      </c>
      <c r="AJ144">
        <v>6</v>
      </c>
      <c r="AK144">
        <v>9</v>
      </c>
      <c r="AL144">
        <v>11</v>
      </c>
      <c r="AM144">
        <v>10</v>
      </c>
      <c r="AN144">
        <v>4</v>
      </c>
    </row>
    <row r="145" spans="1:40" x14ac:dyDescent="0.25">
      <c r="A145" t="s">
        <v>2756</v>
      </c>
      <c r="B145" t="s">
        <v>2757</v>
      </c>
      <c r="F145" t="s">
        <v>300</v>
      </c>
      <c r="G145" t="s">
        <v>2758</v>
      </c>
      <c r="H145">
        <v>2013</v>
      </c>
      <c r="I145">
        <v>35</v>
      </c>
      <c r="J145">
        <v>2</v>
      </c>
      <c r="N145">
        <v>490</v>
      </c>
      <c r="O145">
        <v>503</v>
      </c>
      <c r="Q145" t="s">
        <v>2759</v>
      </c>
      <c r="T145">
        <v>41</v>
      </c>
      <c r="U145">
        <v>5.86</v>
      </c>
      <c r="V145">
        <v>0</v>
      </c>
      <c r="W145">
        <v>0</v>
      </c>
      <c r="X145">
        <v>0</v>
      </c>
      <c r="Y145">
        <v>0</v>
      </c>
      <c r="Z145">
        <v>0</v>
      </c>
      <c r="AA145">
        <v>0</v>
      </c>
      <c r="AB145">
        <v>0</v>
      </c>
      <c r="AC145">
        <v>0</v>
      </c>
      <c r="AD145">
        <v>0</v>
      </c>
      <c r="AE145">
        <v>0</v>
      </c>
      <c r="AF145">
        <v>0</v>
      </c>
      <c r="AG145">
        <v>0</v>
      </c>
      <c r="AH145">
        <v>1</v>
      </c>
      <c r="AI145">
        <v>4</v>
      </c>
      <c r="AJ145">
        <v>9</v>
      </c>
      <c r="AK145">
        <v>6</v>
      </c>
      <c r="AL145">
        <v>13</v>
      </c>
      <c r="AM145">
        <v>6</v>
      </c>
      <c r="AN145">
        <v>2</v>
      </c>
    </row>
    <row r="146" spans="1:40" x14ac:dyDescent="0.25">
      <c r="A146" t="s">
        <v>2760</v>
      </c>
      <c r="B146" t="s">
        <v>2761</v>
      </c>
      <c r="F146" t="s">
        <v>308</v>
      </c>
      <c r="G146" t="s">
        <v>2762</v>
      </c>
      <c r="H146">
        <v>2008</v>
      </c>
      <c r="I146">
        <v>41</v>
      </c>
      <c r="J146">
        <v>8</v>
      </c>
      <c r="N146">
        <v>2461</v>
      </c>
      <c r="O146">
        <v>2469</v>
      </c>
      <c r="Q146" t="s">
        <v>2763</v>
      </c>
      <c r="T146">
        <v>41</v>
      </c>
      <c r="U146">
        <v>3.42</v>
      </c>
      <c r="V146">
        <v>0</v>
      </c>
      <c r="W146">
        <v>0</v>
      </c>
      <c r="X146">
        <v>0</v>
      </c>
      <c r="Y146">
        <v>0</v>
      </c>
      <c r="Z146">
        <v>0</v>
      </c>
      <c r="AA146">
        <v>0</v>
      </c>
      <c r="AB146">
        <v>0</v>
      </c>
      <c r="AC146">
        <v>0</v>
      </c>
      <c r="AD146">
        <v>2</v>
      </c>
      <c r="AE146">
        <v>3</v>
      </c>
      <c r="AF146">
        <v>3</v>
      </c>
      <c r="AG146">
        <v>3</v>
      </c>
      <c r="AH146">
        <v>7</v>
      </c>
      <c r="AI146">
        <v>5</v>
      </c>
      <c r="AJ146">
        <v>6</v>
      </c>
      <c r="AK146">
        <v>3</v>
      </c>
      <c r="AL146">
        <v>6</v>
      </c>
      <c r="AM146">
        <v>3</v>
      </c>
      <c r="AN146">
        <v>0</v>
      </c>
    </row>
    <row r="147" spans="1:40" x14ac:dyDescent="0.25">
      <c r="A147" t="s">
        <v>2764</v>
      </c>
      <c r="B147" t="s">
        <v>2765</v>
      </c>
      <c r="F147" t="s">
        <v>339</v>
      </c>
      <c r="G147" t="s">
        <v>2766</v>
      </c>
      <c r="H147">
        <v>2013</v>
      </c>
      <c r="I147">
        <v>47</v>
      </c>
      <c r="J147" t="s">
        <v>2439</v>
      </c>
      <c r="M147" t="s">
        <v>1948</v>
      </c>
      <c r="N147">
        <v>60</v>
      </c>
      <c r="O147">
        <v>69</v>
      </c>
      <c r="Q147" t="s">
        <v>2767</v>
      </c>
      <c r="T147">
        <v>40</v>
      </c>
      <c r="U147">
        <v>5.71</v>
      </c>
      <c r="V147">
        <v>0</v>
      </c>
      <c r="W147">
        <v>0</v>
      </c>
      <c r="X147">
        <v>0</v>
      </c>
      <c r="Y147">
        <v>0</v>
      </c>
      <c r="Z147">
        <v>0</v>
      </c>
      <c r="AA147">
        <v>0</v>
      </c>
      <c r="AB147">
        <v>0</v>
      </c>
      <c r="AC147">
        <v>0</v>
      </c>
      <c r="AD147">
        <v>0</v>
      </c>
      <c r="AE147">
        <v>0</v>
      </c>
      <c r="AF147">
        <v>0</v>
      </c>
      <c r="AG147">
        <v>0</v>
      </c>
      <c r="AH147">
        <v>0</v>
      </c>
      <c r="AI147">
        <v>6</v>
      </c>
      <c r="AJ147">
        <v>7</v>
      </c>
      <c r="AK147">
        <v>10</v>
      </c>
      <c r="AL147">
        <v>7</v>
      </c>
      <c r="AM147">
        <v>9</v>
      </c>
      <c r="AN147">
        <v>1</v>
      </c>
    </row>
    <row r="148" spans="1:40" x14ac:dyDescent="0.25">
      <c r="A148" t="s">
        <v>2768</v>
      </c>
      <c r="B148" t="s">
        <v>2769</v>
      </c>
      <c r="F148" t="s">
        <v>311</v>
      </c>
      <c r="G148" t="s">
        <v>2770</v>
      </c>
      <c r="H148">
        <v>2006</v>
      </c>
      <c r="I148">
        <v>15</v>
      </c>
      <c r="J148">
        <v>11</v>
      </c>
      <c r="N148">
        <v>3478</v>
      </c>
      <c r="O148">
        <v>3487</v>
      </c>
      <c r="Q148" t="s">
        <v>2771</v>
      </c>
      <c r="T148">
        <v>40</v>
      </c>
      <c r="U148">
        <v>2.86</v>
      </c>
      <c r="V148">
        <v>0</v>
      </c>
      <c r="W148">
        <v>0</v>
      </c>
      <c r="X148">
        <v>0</v>
      </c>
      <c r="Y148">
        <v>0</v>
      </c>
      <c r="Z148">
        <v>0</v>
      </c>
      <c r="AA148">
        <v>1</v>
      </c>
      <c r="AB148">
        <v>1</v>
      </c>
      <c r="AC148">
        <v>3</v>
      </c>
      <c r="AD148">
        <v>2</v>
      </c>
      <c r="AE148">
        <v>3</v>
      </c>
      <c r="AF148">
        <v>7</v>
      </c>
      <c r="AG148">
        <v>5</v>
      </c>
      <c r="AH148">
        <v>2</v>
      </c>
      <c r="AI148">
        <v>5</v>
      </c>
      <c r="AJ148">
        <v>1</v>
      </c>
      <c r="AK148">
        <v>4</v>
      </c>
      <c r="AL148">
        <v>2</v>
      </c>
      <c r="AM148">
        <v>4</v>
      </c>
      <c r="AN148">
        <v>0</v>
      </c>
    </row>
    <row r="149" spans="1:40" x14ac:dyDescent="0.25">
      <c r="A149" t="s">
        <v>2772</v>
      </c>
      <c r="B149" t="s">
        <v>2773</v>
      </c>
      <c r="F149" t="s">
        <v>311</v>
      </c>
      <c r="G149" t="s">
        <v>2774</v>
      </c>
      <c r="H149">
        <v>2016</v>
      </c>
      <c r="I149">
        <v>25</v>
      </c>
      <c r="J149">
        <v>11</v>
      </c>
      <c r="N149">
        <v>5012</v>
      </c>
      <c r="O149">
        <v>5024</v>
      </c>
      <c r="Q149" t="s">
        <v>2775</v>
      </c>
      <c r="T149">
        <v>39</v>
      </c>
      <c r="U149">
        <v>9.75</v>
      </c>
      <c r="V149">
        <v>0</v>
      </c>
      <c r="W149">
        <v>0</v>
      </c>
      <c r="X149">
        <v>0</v>
      </c>
      <c r="Y149">
        <v>0</v>
      </c>
      <c r="Z149">
        <v>0</v>
      </c>
      <c r="AA149">
        <v>0</v>
      </c>
      <c r="AB149">
        <v>0</v>
      </c>
      <c r="AC149">
        <v>0</v>
      </c>
      <c r="AD149">
        <v>0</v>
      </c>
      <c r="AE149">
        <v>0</v>
      </c>
      <c r="AF149">
        <v>0</v>
      </c>
      <c r="AG149">
        <v>0</v>
      </c>
      <c r="AH149">
        <v>0</v>
      </c>
      <c r="AI149">
        <v>0</v>
      </c>
      <c r="AJ149">
        <v>0</v>
      </c>
      <c r="AK149">
        <v>0</v>
      </c>
      <c r="AL149">
        <v>8</v>
      </c>
      <c r="AM149">
        <v>24</v>
      </c>
      <c r="AN149">
        <v>7</v>
      </c>
    </row>
    <row r="150" spans="1:40" x14ac:dyDescent="0.25">
      <c r="A150" t="s">
        <v>2776</v>
      </c>
      <c r="B150" t="s">
        <v>2777</v>
      </c>
      <c r="F150" t="s">
        <v>325</v>
      </c>
      <c r="G150" t="s">
        <v>2778</v>
      </c>
      <c r="H150">
        <v>2016</v>
      </c>
      <c r="I150">
        <v>27</v>
      </c>
      <c r="J150">
        <v>6</v>
      </c>
      <c r="N150">
        <v>1135</v>
      </c>
      <c r="O150">
        <v>1149</v>
      </c>
      <c r="Q150" t="s">
        <v>2779</v>
      </c>
      <c r="T150">
        <v>39</v>
      </c>
      <c r="U150">
        <v>9.75</v>
      </c>
      <c r="V150">
        <v>0</v>
      </c>
      <c r="W150">
        <v>0</v>
      </c>
      <c r="X150">
        <v>0</v>
      </c>
      <c r="Y150">
        <v>0</v>
      </c>
      <c r="Z150">
        <v>0</v>
      </c>
      <c r="AA150">
        <v>0</v>
      </c>
      <c r="AB150">
        <v>0</v>
      </c>
      <c r="AC150">
        <v>0</v>
      </c>
      <c r="AD150">
        <v>0</v>
      </c>
      <c r="AE150">
        <v>0</v>
      </c>
      <c r="AF150">
        <v>0</v>
      </c>
      <c r="AG150">
        <v>0</v>
      </c>
      <c r="AH150">
        <v>0</v>
      </c>
      <c r="AI150">
        <v>0</v>
      </c>
      <c r="AJ150">
        <v>0</v>
      </c>
      <c r="AK150">
        <v>1</v>
      </c>
      <c r="AL150">
        <v>15</v>
      </c>
      <c r="AM150">
        <v>21</v>
      </c>
      <c r="AN150">
        <v>2</v>
      </c>
    </row>
    <row r="151" spans="1:40" x14ac:dyDescent="0.25">
      <c r="A151" t="s">
        <v>2780</v>
      </c>
      <c r="B151" t="s">
        <v>2781</v>
      </c>
      <c r="F151" t="s">
        <v>339</v>
      </c>
      <c r="G151" t="s">
        <v>2782</v>
      </c>
      <c r="H151">
        <v>2015</v>
      </c>
      <c r="I151">
        <v>52</v>
      </c>
      <c r="J151">
        <v>1</v>
      </c>
      <c r="M151" t="s">
        <v>1948</v>
      </c>
      <c r="N151">
        <v>3</v>
      </c>
      <c r="O151">
        <v>36</v>
      </c>
      <c r="Q151" t="s">
        <v>2783</v>
      </c>
      <c r="T151">
        <v>39</v>
      </c>
      <c r="U151">
        <v>7.8</v>
      </c>
      <c r="V151">
        <v>0</v>
      </c>
      <c r="W151">
        <v>0</v>
      </c>
      <c r="X151">
        <v>0</v>
      </c>
      <c r="Y151">
        <v>0</v>
      </c>
      <c r="Z151">
        <v>0</v>
      </c>
      <c r="AA151">
        <v>0</v>
      </c>
      <c r="AB151">
        <v>0</v>
      </c>
      <c r="AC151">
        <v>0</v>
      </c>
      <c r="AD151">
        <v>0</v>
      </c>
      <c r="AE151">
        <v>0</v>
      </c>
      <c r="AF151">
        <v>0</v>
      </c>
      <c r="AG151">
        <v>0</v>
      </c>
      <c r="AH151">
        <v>0</v>
      </c>
      <c r="AI151">
        <v>0</v>
      </c>
      <c r="AJ151">
        <v>0</v>
      </c>
      <c r="AK151">
        <v>11</v>
      </c>
      <c r="AL151">
        <v>13</v>
      </c>
      <c r="AM151">
        <v>15</v>
      </c>
      <c r="AN151">
        <v>0</v>
      </c>
    </row>
    <row r="152" spans="1:40" x14ac:dyDescent="0.25">
      <c r="A152" t="s">
        <v>1332</v>
      </c>
      <c r="B152" t="s">
        <v>1334</v>
      </c>
      <c r="F152" t="s">
        <v>311</v>
      </c>
      <c r="G152" t="s">
        <v>2555</v>
      </c>
      <c r="H152">
        <v>2014</v>
      </c>
      <c r="I152">
        <v>23</v>
      </c>
      <c r="J152">
        <v>2</v>
      </c>
      <c r="N152">
        <v>810</v>
      </c>
      <c r="O152">
        <v>822</v>
      </c>
      <c r="Q152" t="s">
        <v>2784</v>
      </c>
      <c r="T152">
        <v>39</v>
      </c>
      <c r="U152">
        <v>6.5</v>
      </c>
      <c r="V152">
        <v>0</v>
      </c>
      <c r="W152">
        <v>0</v>
      </c>
      <c r="X152">
        <v>0</v>
      </c>
      <c r="Y152">
        <v>0</v>
      </c>
      <c r="Z152">
        <v>0</v>
      </c>
      <c r="AA152">
        <v>0</v>
      </c>
      <c r="AB152">
        <v>0</v>
      </c>
      <c r="AC152">
        <v>0</v>
      </c>
      <c r="AD152">
        <v>0</v>
      </c>
      <c r="AE152">
        <v>0</v>
      </c>
      <c r="AF152">
        <v>0</v>
      </c>
      <c r="AG152">
        <v>0</v>
      </c>
      <c r="AH152">
        <v>0</v>
      </c>
      <c r="AI152">
        <v>3</v>
      </c>
      <c r="AJ152">
        <v>3</v>
      </c>
      <c r="AK152">
        <v>12</v>
      </c>
      <c r="AL152">
        <v>15</v>
      </c>
      <c r="AM152">
        <v>6</v>
      </c>
      <c r="AN152">
        <v>0</v>
      </c>
    </row>
    <row r="153" spans="1:40" x14ac:dyDescent="0.25">
      <c r="A153" t="s">
        <v>2785</v>
      </c>
      <c r="B153" t="s">
        <v>2786</v>
      </c>
      <c r="F153" t="s">
        <v>2787</v>
      </c>
      <c r="G153" t="s">
        <v>2788</v>
      </c>
      <c r="H153">
        <v>2010</v>
      </c>
      <c r="I153">
        <v>14</v>
      </c>
      <c r="J153">
        <v>11</v>
      </c>
      <c r="N153">
        <v>1151</v>
      </c>
      <c r="O153">
        <v>1164</v>
      </c>
      <c r="Q153" t="s">
        <v>2789</v>
      </c>
      <c r="T153">
        <v>39</v>
      </c>
      <c r="U153">
        <v>3.9</v>
      </c>
      <c r="V153">
        <v>0</v>
      </c>
      <c r="W153">
        <v>0</v>
      </c>
      <c r="X153">
        <v>0</v>
      </c>
      <c r="Y153">
        <v>0</v>
      </c>
      <c r="Z153">
        <v>0</v>
      </c>
      <c r="AA153">
        <v>0</v>
      </c>
      <c r="AB153">
        <v>0</v>
      </c>
      <c r="AC153">
        <v>0</v>
      </c>
      <c r="AD153">
        <v>0</v>
      </c>
      <c r="AE153">
        <v>0</v>
      </c>
      <c r="AF153">
        <v>1</v>
      </c>
      <c r="AG153">
        <v>8</v>
      </c>
      <c r="AH153">
        <v>8</v>
      </c>
      <c r="AI153">
        <v>4</v>
      </c>
      <c r="AJ153">
        <v>6</v>
      </c>
      <c r="AK153">
        <v>4</v>
      </c>
      <c r="AL153">
        <v>4</v>
      </c>
      <c r="AM153">
        <v>4</v>
      </c>
      <c r="AN153">
        <v>0</v>
      </c>
    </row>
    <row r="154" spans="1:40" x14ac:dyDescent="0.25">
      <c r="A154" t="s">
        <v>1536</v>
      </c>
      <c r="B154" t="s">
        <v>1538</v>
      </c>
      <c r="F154" t="s">
        <v>303</v>
      </c>
      <c r="G154" t="s">
        <v>2790</v>
      </c>
      <c r="H154">
        <v>2008</v>
      </c>
      <c r="I154">
        <v>76</v>
      </c>
      <c r="J154">
        <v>3</v>
      </c>
      <c r="N154">
        <v>217</v>
      </c>
      <c r="O154">
        <v>229</v>
      </c>
      <c r="Q154" t="s">
        <v>2791</v>
      </c>
      <c r="T154">
        <v>39</v>
      </c>
      <c r="U154">
        <v>3.25</v>
      </c>
      <c r="V154">
        <v>0</v>
      </c>
      <c r="W154">
        <v>0</v>
      </c>
      <c r="X154">
        <v>0</v>
      </c>
      <c r="Y154">
        <v>0</v>
      </c>
      <c r="Z154">
        <v>0</v>
      </c>
      <c r="AA154">
        <v>0</v>
      </c>
      <c r="AB154">
        <v>0</v>
      </c>
      <c r="AC154">
        <v>0</v>
      </c>
      <c r="AD154">
        <v>3</v>
      </c>
      <c r="AE154">
        <v>2</v>
      </c>
      <c r="AF154">
        <v>9</v>
      </c>
      <c r="AG154">
        <v>4</v>
      </c>
      <c r="AH154">
        <v>5</v>
      </c>
      <c r="AI154">
        <v>3</v>
      </c>
      <c r="AJ154">
        <v>3</v>
      </c>
      <c r="AK154">
        <v>3</v>
      </c>
      <c r="AL154">
        <v>4</v>
      </c>
      <c r="AM154">
        <v>3</v>
      </c>
      <c r="AN154">
        <v>0</v>
      </c>
    </row>
    <row r="155" spans="1:40" x14ac:dyDescent="0.25">
      <c r="A155" t="s">
        <v>2792</v>
      </c>
      <c r="B155" t="s">
        <v>2793</v>
      </c>
      <c r="F155" t="s">
        <v>300</v>
      </c>
      <c r="G155" t="s">
        <v>2463</v>
      </c>
      <c r="H155">
        <v>2008</v>
      </c>
      <c r="I155">
        <v>30</v>
      </c>
      <c r="J155">
        <v>1</v>
      </c>
      <c r="N155">
        <v>105</v>
      </c>
      <c r="O155">
        <v>119</v>
      </c>
      <c r="Q155" t="s">
        <v>2794</v>
      </c>
      <c r="T155">
        <v>39</v>
      </c>
      <c r="U155">
        <v>3.25</v>
      </c>
      <c r="V155">
        <v>0</v>
      </c>
      <c r="W155">
        <v>0</v>
      </c>
      <c r="X155">
        <v>0</v>
      </c>
      <c r="Y155">
        <v>0</v>
      </c>
      <c r="Z155">
        <v>0</v>
      </c>
      <c r="AA155">
        <v>0</v>
      </c>
      <c r="AB155">
        <v>0</v>
      </c>
      <c r="AC155">
        <v>0</v>
      </c>
      <c r="AD155">
        <v>4</v>
      </c>
      <c r="AE155">
        <v>7</v>
      </c>
      <c r="AF155">
        <v>1</v>
      </c>
      <c r="AG155">
        <v>4</v>
      </c>
      <c r="AH155">
        <v>4</v>
      </c>
      <c r="AI155">
        <v>7</v>
      </c>
      <c r="AJ155">
        <v>5</v>
      </c>
      <c r="AK155">
        <v>4</v>
      </c>
      <c r="AL155">
        <v>2</v>
      </c>
      <c r="AM155">
        <v>1</v>
      </c>
      <c r="AN155">
        <v>0</v>
      </c>
    </row>
    <row r="156" spans="1:40" x14ac:dyDescent="0.25">
      <c r="A156" t="s">
        <v>2795</v>
      </c>
      <c r="B156" t="s">
        <v>2796</v>
      </c>
      <c r="F156" t="s">
        <v>308</v>
      </c>
      <c r="G156" t="s">
        <v>2797</v>
      </c>
      <c r="H156">
        <v>2013</v>
      </c>
      <c r="I156">
        <v>46</v>
      </c>
      <c r="J156">
        <v>5</v>
      </c>
      <c r="N156">
        <v>1449</v>
      </c>
      <c r="O156">
        <v>1465</v>
      </c>
      <c r="Q156" t="s">
        <v>2798</v>
      </c>
      <c r="T156">
        <v>38</v>
      </c>
      <c r="U156">
        <v>5.43</v>
      </c>
      <c r="V156">
        <v>0</v>
      </c>
      <c r="W156">
        <v>0</v>
      </c>
      <c r="X156">
        <v>0</v>
      </c>
      <c r="Y156">
        <v>0</v>
      </c>
      <c r="Z156">
        <v>0</v>
      </c>
      <c r="AA156">
        <v>0</v>
      </c>
      <c r="AB156">
        <v>0</v>
      </c>
      <c r="AC156">
        <v>0</v>
      </c>
      <c r="AD156">
        <v>0</v>
      </c>
      <c r="AE156">
        <v>0</v>
      </c>
      <c r="AF156">
        <v>0</v>
      </c>
      <c r="AG156">
        <v>0</v>
      </c>
      <c r="AH156">
        <v>1</v>
      </c>
      <c r="AI156">
        <v>3</v>
      </c>
      <c r="AJ156">
        <v>8</v>
      </c>
      <c r="AK156">
        <v>6</v>
      </c>
      <c r="AL156">
        <v>12</v>
      </c>
      <c r="AM156">
        <v>7</v>
      </c>
      <c r="AN156">
        <v>1</v>
      </c>
    </row>
    <row r="157" spans="1:40" x14ac:dyDescent="0.25">
      <c r="A157" t="s">
        <v>2799</v>
      </c>
      <c r="B157" t="s">
        <v>2800</v>
      </c>
      <c r="F157" t="s">
        <v>311</v>
      </c>
      <c r="G157" t="s">
        <v>2801</v>
      </c>
      <c r="H157">
        <v>2006</v>
      </c>
      <c r="I157">
        <v>15</v>
      </c>
      <c r="J157">
        <v>8</v>
      </c>
      <c r="N157">
        <v>2249</v>
      </c>
      <c r="O157">
        <v>2258</v>
      </c>
      <c r="Q157" t="s">
        <v>2802</v>
      </c>
      <c r="T157">
        <v>38</v>
      </c>
      <c r="U157">
        <v>2.71</v>
      </c>
      <c r="V157">
        <v>0</v>
      </c>
      <c r="W157">
        <v>0</v>
      </c>
      <c r="X157">
        <v>0</v>
      </c>
      <c r="Y157">
        <v>0</v>
      </c>
      <c r="Z157">
        <v>0</v>
      </c>
      <c r="AA157">
        <v>0</v>
      </c>
      <c r="AB157">
        <v>4</v>
      </c>
      <c r="AC157">
        <v>2</v>
      </c>
      <c r="AD157">
        <v>2</v>
      </c>
      <c r="AE157">
        <v>5</v>
      </c>
      <c r="AF157">
        <v>2</v>
      </c>
      <c r="AG157">
        <v>2</v>
      </c>
      <c r="AH157">
        <v>2</v>
      </c>
      <c r="AI157">
        <v>4</v>
      </c>
      <c r="AJ157">
        <v>4</v>
      </c>
      <c r="AK157">
        <v>4</v>
      </c>
      <c r="AL157">
        <v>6</v>
      </c>
      <c r="AM157">
        <v>1</v>
      </c>
      <c r="AN157">
        <v>0</v>
      </c>
    </row>
    <row r="158" spans="1:40" x14ac:dyDescent="0.25">
      <c r="A158" t="s">
        <v>2803</v>
      </c>
      <c r="B158" t="s">
        <v>2804</v>
      </c>
      <c r="F158" t="s">
        <v>302</v>
      </c>
      <c r="G158" t="s">
        <v>2574</v>
      </c>
      <c r="H158">
        <v>2001</v>
      </c>
      <c r="I158">
        <v>19</v>
      </c>
      <c r="J158">
        <v>4</v>
      </c>
      <c r="N158">
        <v>177</v>
      </c>
      <c r="O158">
        <v>183</v>
      </c>
      <c r="Q158" t="s">
        <v>2805</v>
      </c>
      <c r="T158">
        <v>38</v>
      </c>
      <c r="U158">
        <v>2</v>
      </c>
      <c r="V158">
        <v>1</v>
      </c>
      <c r="W158">
        <v>0</v>
      </c>
      <c r="X158">
        <v>2</v>
      </c>
      <c r="Y158">
        <v>3</v>
      </c>
      <c r="Z158">
        <v>3</v>
      </c>
      <c r="AA158">
        <v>2</v>
      </c>
      <c r="AB158">
        <v>2</v>
      </c>
      <c r="AC158">
        <v>5</v>
      </c>
      <c r="AD158">
        <v>5</v>
      </c>
      <c r="AE158">
        <v>1</v>
      </c>
      <c r="AF158">
        <v>2</v>
      </c>
      <c r="AG158">
        <v>1</v>
      </c>
      <c r="AH158">
        <v>2</v>
      </c>
      <c r="AI158">
        <v>2</v>
      </c>
      <c r="AJ158">
        <v>2</v>
      </c>
      <c r="AK158">
        <v>1</v>
      </c>
      <c r="AL158">
        <v>2</v>
      </c>
      <c r="AM158">
        <v>1</v>
      </c>
      <c r="AN158">
        <v>1</v>
      </c>
    </row>
    <row r="159" spans="1:40" x14ac:dyDescent="0.25">
      <c r="A159" t="s">
        <v>1308</v>
      </c>
      <c r="B159" t="s">
        <v>1310</v>
      </c>
      <c r="F159" t="s">
        <v>314</v>
      </c>
      <c r="G159" t="s">
        <v>2806</v>
      </c>
      <c r="H159">
        <v>2017</v>
      </c>
      <c r="I159">
        <v>47</v>
      </c>
      <c r="J159">
        <v>7</v>
      </c>
      <c r="N159">
        <v>1781</v>
      </c>
      <c r="O159">
        <v>1794</v>
      </c>
      <c r="Q159" t="s">
        <v>2807</v>
      </c>
      <c r="T159">
        <v>37</v>
      </c>
      <c r="U159">
        <v>12.33</v>
      </c>
      <c r="V159">
        <v>0</v>
      </c>
      <c r="W159">
        <v>0</v>
      </c>
      <c r="X159">
        <v>0</v>
      </c>
      <c r="Y159">
        <v>0</v>
      </c>
      <c r="Z159">
        <v>0</v>
      </c>
      <c r="AA159">
        <v>0</v>
      </c>
      <c r="AB159">
        <v>0</v>
      </c>
      <c r="AC159">
        <v>0</v>
      </c>
      <c r="AD159">
        <v>0</v>
      </c>
      <c r="AE159">
        <v>0</v>
      </c>
      <c r="AF159">
        <v>0</v>
      </c>
      <c r="AG159">
        <v>0</v>
      </c>
      <c r="AH159">
        <v>0</v>
      </c>
      <c r="AI159">
        <v>0</v>
      </c>
      <c r="AJ159">
        <v>0</v>
      </c>
      <c r="AK159">
        <v>0</v>
      </c>
      <c r="AL159">
        <v>20</v>
      </c>
      <c r="AM159">
        <v>15</v>
      </c>
      <c r="AN159">
        <v>2</v>
      </c>
    </row>
    <row r="160" spans="1:40" x14ac:dyDescent="0.25">
      <c r="A160" t="s">
        <v>2808</v>
      </c>
      <c r="B160" t="s">
        <v>2809</v>
      </c>
      <c r="F160" t="s">
        <v>300</v>
      </c>
      <c r="G160" t="s">
        <v>2561</v>
      </c>
      <c r="H160">
        <v>2015</v>
      </c>
      <c r="I160">
        <v>37</v>
      </c>
      <c r="J160">
        <v>9</v>
      </c>
      <c r="N160">
        <v>1862</v>
      </c>
      <c r="O160">
        <v>1874</v>
      </c>
      <c r="Q160" t="s">
        <v>2810</v>
      </c>
      <c r="T160">
        <v>37</v>
      </c>
      <c r="U160">
        <v>7.4</v>
      </c>
      <c r="V160">
        <v>0</v>
      </c>
      <c r="W160">
        <v>0</v>
      </c>
      <c r="X160">
        <v>0</v>
      </c>
      <c r="Y160">
        <v>0</v>
      </c>
      <c r="Z160">
        <v>0</v>
      </c>
      <c r="AA160">
        <v>0</v>
      </c>
      <c r="AB160">
        <v>0</v>
      </c>
      <c r="AC160">
        <v>0</v>
      </c>
      <c r="AD160">
        <v>0</v>
      </c>
      <c r="AE160">
        <v>0</v>
      </c>
      <c r="AF160">
        <v>0</v>
      </c>
      <c r="AG160">
        <v>0</v>
      </c>
      <c r="AH160">
        <v>0</v>
      </c>
      <c r="AI160">
        <v>0</v>
      </c>
      <c r="AJ160">
        <v>1</v>
      </c>
      <c r="AK160">
        <v>10</v>
      </c>
      <c r="AL160">
        <v>8</v>
      </c>
      <c r="AM160">
        <v>16</v>
      </c>
      <c r="AN160">
        <v>2</v>
      </c>
    </row>
    <row r="161" spans="1:40" x14ac:dyDescent="0.25">
      <c r="A161" t="s">
        <v>1311</v>
      </c>
      <c r="B161" t="s">
        <v>1313</v>
      </c>
      <c r="F161" t="s">
        <v>314</v>
      </c>
      <c r="G161" t="s">
        <v>2750</v>
      </c>
      <c r="H161">
        <v>2014</v>
      </c>
      <c r="I161">
        <v>44</v>
      </c>
      <c r="J161">
        <v>11</v>
      </c>
      <c r="M161" t="s">
        <v>1948</v>
      </c>
      <c r="N161">
        <v>2122</v>
      </c>
      <c r="O161">
        <v>2133</v>
      </c>
      <c r="Q161" t="s">
        <v>2811</v>
      </c>
      <c r="T161">
        <v>37</v>
      </c>
      <c r="U161">
        <v>6.17</v>
      </c>
      <c r="V161">
        <v>0</v>
      </c>
      <c r="W161">
        <v>0</v>
      </c>
      <c r="X161">
        <v>0</v>
      </c>
      <c r="Y161">
        <v>0</v>
      </c>
      <c r="Z161">
        <v>0</v>
      </c>
      <c r="AA161">
        <v>0</v>
      </c>
      <c r="AB161">
        <v>0</v>
      </c>
      <c r="AC161">
        <v>0</v>
      </c>
      <c r="AD161">
        <v>0</v>
      </c>
      <c r="AE161">
        <v>0</v>
      </c>
      <c r="AF161">
        <v>0</v>
      </c>
      <c r="AG161">
        <v>0</v>
      </c>
      <c r="AH161">
        <v>0</v>
      </c>
      <c r="AI161">
        <v>1</v>
      </c>
      <c r="AJ161">
        <v>4</v>
      </c>
      <c r="AK161">
        <v>20</v>
      </c>
      <c r="AL161">
        <v>8</v>
      </c>
      <c r="AM161">
        <v>4</v>
      </c>
      <c r="AN161">
        <v>0</v>
      </c>
    </row>
    <row r="162" spans="1:40" x14ac:dyDescent="0.25">
      <c r="A162" t="s">
        <v>1270</v>
      </c>
      <c r="B162" t="s">
        <v>1272</v>
      </c>
      <c r="F162" t="s">
        <v>298</v>
      </c>
      <c r="G162" t="s">
        <v>2812</v>
      </c>
      <c r="H162">
        <v>2008</v>
      </c>
      <c r="I162">
        <v>110</v>
      </c>
      <c r="J162">
        <v>2</v>
      </c>
      <c r="N162">
        <v>153</v>
      </c>
      <c r="O162">
        <v>172</v>
      </c>
      <c r="Q162" t="s">
        <v>2813</v>
      </c>
      <c r="T162">
        <v>37</v>
      </c>
      <c r="U162">
        <v>3.08</v>
      </c>
      <c r="V162">
        <v>0</v>
      </c>
      <c r="W162">
        <v>0</v>
      </c>
      <c r="X162">
        <v>0</v>
      </c>
      <c r="Y162">
        <v>0</v>
      </c>
      <c r="Z162">
        <v>0</v>
      </c>
      <c r="AA162">
        <v>0</v>
      </c>
      <c r="AB162">
        <v>0</v>
      </c>
      <c r="AC162">
        <v>0</v>
      </c>
      <c r="AD162">
        <v>4</v>
      </c>
      <c r="AE162">
        <v>7</v>
      </c>
      <c r="AF162">
        <v>3</v>
      </c>
      <c r="AG162">
        <v>2</v>
      </c>
      <c r="AH162">
        <v>6</v>
      </c>
      <c r="AI162">
        <v>11</v>
      </c>
      <c r="AJ162">
        <v>2</v>
      </c>
      <c r="AK162">
        <v>2</v>
      </c>
      <c r="AL162">
        <v>0</v>
      </c>
      <c r="AM162">
        <v>0</v>
      </c>
      <c r="AN162">
        <v>0</v>
      </c>
    </row>
    <row r="163" spans="1:40" x14ac:dyDescent="0.25">
      <c r="A163" t="s">
        <v>1632</v>
      </c>
      <c r="B163" t="s">
        <v>1634</v>
      </c>
      <c r="F163" t="s">
        <v>342</v>
      </c>
      <c r="G163" t="s">
        <v>2812</v>
      </c>
      <c r="H163">
        <v>2008</v>
      </c>
      <c r="I163">
        <v>21</v>
      </c>
      <c r="J163">
        <v>4</v>
      </c>
      <c r="N163">
        <v>562</v>
      </c>
      <c r="O163">
        <v>576</v>
      </c>
      <c r="Q163" t="s">
        <v>2814</v>
      </c>
      <c r="T163">
        <v>37</v>
      </c>
      <c r="U163">
        <v>3.08</v>
      </c>
      <c r="V163">
        <v>0</v>
      </c>
      <c r="W163">
        <v>0</v>
      </c>
      <c r="X163">
        <v>0</v>
      </c>
      <c r="Y163">
        <v>0</v>
      </c>
      <c r="Z163">
        <v>0</v>
      </c>
      <c r="AA163">
        <v>0</v>
      </c>
      <c r="AB163">
        <v>0</v>
      </c>
      <c r="AC163">
        <v>0</v>
      </c>
      <c r="AD163">
        <v>5</v>
      </c>
      <c r="AE163">
        <v>4</v>
      </c>
      <c r="AF163">
        <v>5</v>
      </c>
      <c r="AG163">
        <v>3</v>
      </c>
      <c r="AH163">
        <v>4</v>
      </c>
      <c r="AI163">
        <v>6</v>
      </c>
      <c r="AJ163">
        <v>4</v>
      </c>
      <c r="AK163">
        <v>2</v>
      </c>
      <c r="AL163">
        <v>2</v>
      </c>
      <c r="AM163">
        <v>2</v>
      </c>
      <c r="AN163">
        <v>0</v>
      </c>
    </row>
    <row r="164" spans="1:40" x14ac:dyDescent="0.25">
      <c r="A164" t="s">
        <v>1521</v>
      </c>
      <c r="B164" t="s">
        <v>1523</v>
      </c>
      <c r="F164" t="s">
        <v>303</v>
      </c>
      <c r="G164" t="s">
        <v>2758</v>
      </c>
      <c r="H164">
        <v>2013</v>
      </c>
      <c r="I164">
        <v>101</v>
      </c>
      <c r="J164">
        <v>3</v>
      </c>
      <c r="M164" t="s">
        <v>1948</v>
      </c>
      <c r="N164">
        <v>403</v>
      </c>
      <c r="O164">
        <v>419</v>
      </c>
      <c r="Q164" t="s">
        <v>2815</v>
      </c>
      <c r="T164">
        <v>36</v>
      </c>
      <c r="U164">
        <v>5.14</v>
      </c>
      <c r="V164">
        <v>0</v>
      </c>
      <c r="W164">
        <v>0</v>
      </c>
      <c r="X164">
        <v>0</v>
      </c>
      <c r="Y164">
        <v>0</v>
      </c>
      <c r="Z164">
        <v>0</v>
      </c>
      <c r="AA164">
        <v>0</v>
      </c>
      <c r="AB164">
        <v>0</v>
      </c>
      <c r="AC164">
        <v>0</v>
      </c>
      <c r="AD164">
        <v>0</v>
      </c>
      <c r="AE164">
        <v>0</v>
      </c>
      <c r="AF164">
        <v>0</v>
      </c>
      <c r="AG164">
        <v>0</v>
      </c>
      <c r="AH164">
        <v>2</v>
      </c>
      <c r="AI164">
        <v>8</v>
      </c>
      <c r="AJ164">
        <v>5</v>
      </c>
      <c r="AK164">
        <v>9</v>
      </c>
      <c r="AL164">
        <v>6</v>
      </c>
      <c r="AM164">
        <v>6</v>
      </c>
      <c r="AN164">
        <v>0</v>
      </c>
    </row>
    <row r="165" spans="1:40" x14ac:dyDescent="0.25">
      <c r="A165" t="s">
        <v>2816</v>
      </c>
      <c r="B165" t="s">
        <v>2817</v>
      </c>
      <c r="F165" t="s">
        <v>297</v>
      </c>
      <c r="G165" t="s">
        <v>2504</v>
      </c>
      <c r="H165">
        <v>2011</v>
      </c>
      <c r="I165">
        <v>25</v>
      </c>
      <c r="J165">
        <v>4</v>
      </c>
      <c r="N165">
        <v>771</v>
      </c>
      <c r="O165">
        <v>782</v>
      </c>
      <c r="Q165" t="s">
        <v>2818</v>
      </c>
      <c r="T165">
        <v>36</v>
      </c>
      <c r="U165">
        <v>4</v>
      </c>
      <c r="V165">
        <v>0</v>
      </c>
      <c r="W165">
        <v>0</v>
      </c>
      <c r="X165">
        <v>0</v>
      </c>
      <c r="Y165">
        <v>0</v>
      </c>
      <c r="Z165">
        <v>0</v>
      </c>
      <c r="AA165">
        <v>0</v>
      </c>
      <c r="AB165">
        <v>0</v>
      </c>
      <c r="AC165">
        <v>0</v>
      </c>
      <c r="AD165">
        <v>0</v>
      </c>
      <c r="AE165">
        <v>0</v>
      </c>
      <c r="AF165">
        <v>0</v>
      </c>
      <c r="AG165">
        <v>0</v>
      </c>
      <c r="AH165">
        <v>2</v>
      </c>
      <c r="AI165">
        <v>3</v>
      </c>
      <c r="AJ165">
        <v>4</v>
      </c>
      <c r="AK165">
        <v>8</v>
      </c>
      <c r="AL165">
        <v>4</v>
      </c>
      <c r="AM165">
        <v>14</v>
      </c>
      <c r="AN165">
        <v>1</v>
      </c>
    </row>
    <row r="166" spans="1:40" x14ac:dyDescent="0.25">
      <c r="A166" t="s">
        <v>2819</v>
      </c>
      <c r="B166" t="s">
        <v>2820</v>
      </c>
      <c r="F166" t="s">
        <v>311</v>
      </c>
      <c r="G166" t="s">
        <v>2487</v>
      </c>
      <c r="H166">
        <v>2011</v>
      </c>
      <c r="I166">
        <v>20</v>
      </c>
      <c r="J166">
        <v>9</v>
      </c>
      <c r="N166">
        <v>2664</v>
      </c>
      <c r="O166">
        <v>2677</v>
      </c>
      <c r="Q166" t="s">
        <v>2821</v>
      </c>
      <c r="T166">
        <v>36</v>
      </c>
      <c r="U166">
        <v>4</v>
      </c>
      <c r="V166">
        <v>0</v>
      </c>
      <c r="W166">
        <v>0</v>
      </c>
      <c r="X166">
        <v>0</v>
      </c>
      <c r="Y166">
        <v>0</v>
      </c>
      <c r="Z166">
        <v>0</v>
      </c>
      <c r="AA166">
        <v>0</v>
      </c>
      <c r="AB166">
        <v>0</v>
      </c>
      <c r="AC166">
        <v>0</v>
      </c>
      <c r="AD166">
        <v>0</v>
      </c>
      <c r="AE166">
        <v>0</v>
      </c>
      <c r="AF166">
        <v>0</v>
      </c>
      <c r="AG166">
        <v>2</v>
      </c>
      <c r="AH166">
        <v>3</v>
      </c>
      <c r="AI166">
        <v>4</v>
      </c>
      <c r="AJ166">
        <v>11</v>
      </c>
      <c r="AK166">
        <v>8</v>
      </c>
      <c r="AL166">
        <v>4</v>
      </c>
      <c r="AM166">
        <v>3</v>
      </c>
      <c r="AN166">
        <v>1</v>
      </c>
    </row>
    <row r="167" spans="1:40" x14ac:dyDescent="0.25">
      <c r="A167" t="s">
        <v>2822</v>
      </c>
      <c r="B167" t="s">
        <v>2823</v>
      </c>
      <c r="F167" t="s">
        <v>302</v>
      </c>
      <c r="G167" t="s">
        <v>2728</v>
      </c>
      <c r="H167">
        <v>2011</v>
      </c>
      <c r="I167">
        <v>29</v>
      </c>
      <c r="J167">
        <v>7</v>
      </c>
      <c r="N167">
        <v>484</v>
      </c>
      <c r="O167">
        <v>498</v>
      </c>
      <c r="Q167" t="s">
        <v>2824</v>
      </c>
      <c r="T167">
        <v>35</v>
      </c>
      <c r="U167">
        <v>3.89</v>
      </c>
      <c r="V167">
        <v>0</v>
      </c>
      <c r="W167">
        <v>0</v>
      </c>
      <c r="X167">
        <v>0</v>
      </c>
      <c r="Y167">
        <v>0</v>
      </c>
      <c r="Z167">
        <v>0</v>
      </c>
      <c r="AA167">
        <v>0</v>
      </c>
      <c r="AB167">
        <v>0</v>
      </c>
      <c r="AC167">
        <v>0</v>
      </c>
      <c r="AD167">
        <v>0</v>
      </c>
      <c r="AE167">
        <v>0</v>
      </c>
      <c r="AF167">
        <v>0</v>
      </c>
      <c r="AG167">
        <v>7</v>
      </c>
      <c r="AH167">
        <v>9</v>
      </c>
      <c r="AI167">
        <v>2</v>
      </c>
      <c r="AJ167">
        <v>3</v>
      </c>
      <c r="AK167">
        <v>9</v>
      </c>
      <c r="AL167">
        <v>1</v>
      </c>
      <c r="AM167">
        <v>3</v>
      </c>
      <c r="AN167">
        <v>1</v>
      </c>
    </row>
    <row r="168" spans="1:40" x14ac:dyDescent="0.25">
      <c r="A168" t="s">
        <v>1692</v>
      </c>
      <c r="B168" t="s">
        <v>1694</v>
      </c>
      <c r="F168" t="s">
        <v>308</v>
      </c>
      <c r="G168" t="s">
        <v>2825</v>
      </c>
      <c r="H168">
        <v>2002</v>
      </c>
      <c r="I168">
        <v>35</v>
      </c>
      <c r="J168">
        <v>3</v>
      </c>
      <c r="N168">
        <v>639</v>
      </c>
      <c r="O168">
        <v>650</v>
      </c>
      <c r="Q168" t="s">
        <v>2826</v>
      </c>
      <c r="R168" t="s">
        <v>2827</v>
      </c>
      <c r="S168" t="s">
        <v>2828</v>
      </c>
      <c r="T168">
        <v>35</v>
      </c>
      <c r="U168">
        <v>1.94</v>
      </c>
      <c r="V168">
        <v>0</v>
      </c>
      <c r="W168">
        <v>1</v>
      </c>
      <c r="X168">
        <v>2</v>
      </c>
      <c r="Y168">
        <v>3</v>
      </c>
      <c r="Z168">
        <v>0</v>
      </c>
      <c r="AA168">
        <v>3</v>
      </c>
      <c r="AB168">
        <v>3</v>
      </c>
      <c r="AC168">
        <v>0</v>
      </c>
      <c r="AD168">
        <v>1</v>
      </c>
      <c r="AE168">
        <v>2</v>
      </c>
      <c r="AF168">
        <v>1</v>
      </c>
      <c r="AG168">
        <v>3</v>
      </c>
      <c r="AH168">
        <v>1</v>
      </c>
      <c r="AI168">
        <v>3</v>
      </c>
      <c r="AJ168">
        <v>5</v>
      </c>
      <c r="AK168">
        <v>3</v>
      </c>
      <c r="AL168">
        <v>1</v>
      </c>
      <c r="AM168">
        <v>2</v>
      </c>
      <c r="AN168">
        <v>1</v>
      </c>
    </row>
    <row r="169" spans="1:40" x14ac:dyDescent="0.25">
      <c r="A169" t="s">
        <v>2829</v>
      </c>
      <c r="B169" t="s">
        <v>2830</v>
      </c>
      <c r="F169" t="s">
        <v>325</v>
      </c>
      <c r="G169" t="s">
        <v>2831</v>
      </c>
      <c r="H169">
        <v>2014</v>
      </c>
      <c r="I169">
        <v>25</v>
      </c>
      <c r="J169">
        <v>12</v>
      </c>
      <c r="N169">
        <v>2212</v>
      </c>
      <c r="O169">
        <v>2225</v>
      </c>
      <c r="Q169" t="s">
        <v>2832</v>
      </c>
      <c r="T169">
        <v>34</v>
      </c>
      <c r="U169">
        <v>5.67</v>
      </c>
      <c r="V169">
        <v>0</v>
      </c>
      <c r="W169">
        <v>0</v>
      </c>
      <c r="X169">
        <v>0</v>
      </c>
      <c r="Y169">
        <v>0</v>
      </c>
      <c r="Z169">
        <v>0</v>
      </c>
      <c r="AA169">
        <v>0</v>
      </c>
      <c r="AB169">
        <v>0</v>
      </c>
      <c r="AC169">
        <v>0</v>
      </c>
      <c r="AD169">
        <v>0</v>
      </c>
      <c r="AE169">
        <v>0</v>
      </c>
      <c r="AF169">
        <v>0</v>
      </c>
      <c r="AG169">
        <v>0</v>
      </c>
      <c r="AH169">
        <v>0</v>
      </c>
      <c r="AI169">
        <v>0</v>
      </c>
      <c r="AJ169">
        <v>2</v>
      </c>
      <c r="AK169">
        <v>6</v>
      </c>
      <c r="AL169">
        <v>14</v>
      </c>
      <c r="AM169">
        <v>11</v>
      </c>
      <c r="AN169">
        <v>1</v>
      </c>
    </row>
    <row r="170" spans="1:40" x14ac:dyDescent="0.25">
      <c r="A170" t="s">
        <v>2833</v>
      </c>
      <c r="B170" t="s">
        <v>2834</v>
      </c>
      <c r="F170" t="s">
        <v>311</v>
      </c>
      <c r="G170" t="s">
        <v>2636</v>
      </c>
      <c r="H170">
        <v>2014</v>
      </c>
      <c r="I170">
        <v>23</v>
      </c>
      <c r="J170">
        <v>6</v>
      </c>
      <c r="N170">
        <v>2583</v>
      </c>
      <c r="O170">
        <v>2595</v>
      </c>
      <c r="Q170" t="s">
        <v>2835</v>
      </c>
      <c r="T170">
        <v>34</v>
      </c>
      <c r="U170">
        <v>5.67</v>
      </c>
      <c r="V170">
        <v>0</v>
      </c>
      <c r="W170">
        <v>0</v>
      </c>
      <c r="X170">
        <v>0</v>
      </c>
      <c r="Y170">
        <v>0</v>
      </c>
      <c r="Z170">
        <v>0</v>
      </c>
      <c r="AA170">
        <v>0</v>
      </c>
      <c r="AB170">
        <v>0</v>
      </c>
      <c r="AC170">
        <v>0</v>
      </c>
      <c r="AD170">
        <v>0</v>
      </c>
      <c r="AE170">
        <v>0</v>
      </c>
      <c r="AF170">
        <v>0</v>
      </c>
      <c r="AG170">
        <v>0</v>
      </c>
      <c r="AH170">
        <v>0</v>
      </c>
      <c r="AI170">
        <v>0</v>
      </c>
      <c r="AJ170">
        <v>8</v>
      </c>
      <c r="AK170">
        <v>7</v>
      </c>
      <c r="AL170">
        <v>10</v>
      </c>
      <c r="AM170">
        <v>7</v>
      </c>
      <c r="AN170">
        <v>2</v>
      </c>
    </row>
    <row r="171" spans="1:40" x14ac:dyDescent="0.25">
      <c r="A171" t="s">
        <v>1515</v>
      </c>
      <c r="B171" t="s">
        <v>1517</v>
      </c>
      <c r="F171" t="s">
        <v>303</v>
      </c>
      <c r="G171" t="s">
        <v>2836</v>
      </c>
      <c r="H171">
        <v>2006</v>
      </c>
      <c r="I171">
        <v>70</v>
      </c>
      <c r="J171">
        <v>1</v>
      </c>
      <c r="N171">
        <v>7</v>
      </c>
      <c r="O171">
        <v>22</v>
      </c>
      <c r="Q171" t="s">
        <v>2837</v>
      </c>
      <c r="R171" t="s">
        <v>2838</v>
      </c>
      <c r="S171" t="s">
        <v>2839</v>
      </c>
      <c r="T171">
        <v>34</v>
      </c>
      <c r="U171">
        <v>2.4300000000000002</v>
      </c>
      <c r="V171">
        <v>0</v>
      </c>
      <c r="W171">
        <v>0</v>
      </c>
      <c r="X171">
        <v>0</v>
      </c>
      <c r="Y171">
        <v>0</v>
      </c>
      <c r="Z171">
        <v>0</v>
      </c>
      <c r="AA171">
        <v>0</v>
      </c>
      <c r="AB171">
        <v>1</v>
      </c>
      <c r="AC171">
        <v>0</v>
      </c>
      <c r="AD171">
        <v>1</v>
      </c>
      <c r="AE171">
        <v>5</v>
      </c>
      <c r="AF171">
        <v>4</v>
      </c>
      <c r="AG171">
        <v>1</v>
      </c>
      <c r="AH171">
        <v>4</v>
      </c>
      <c r="AI171">
        <v>4</v>
      </c>
      <c r="AJ171">
        <v>2</v>
      </c>
      <c r="AK171">
        <v>5</v>
      </c>
      <c r="AL171">
        <v>3</v>
      </c>
      <c r="AM171">
        <v>4</v>
      </c>
      <c r="AN171">
        <v>0</v>
      </c>
    </row>
    <row r="172" spans="1:40" x14ac:dyDescent="0.25">
      <c r="A172" t="s">
        <v>1063</v>
      </c>
      <c r="B172" t="s">
        <v>1065</v>
      </c>
      <c r="F172" t="s">
        <v>298</v>
      </c>
      <c r="G172" t="s">
        <v>2840</v>
      </c>
      <c r="H172">
        <v>2010</v>
      </c>
      <c r="I172">
        <v>114</v>
      </c>
      <c r="J172">
        <v>5</v>
      </c>
      <c r="M172" t="s">
        <v>1948</v>
      </c>
      <c r="N172">
        <v>583</v>
      </c>
      <c r="O172">
        <v>595</v>
      </c>
      <c r="Q172" t="s">
        <v>2841</v>
      </c>
      <c r="T172">
        <v>33</v>
      </c>
      <c r="U172">
        <v>3.3</v>
      </c>
      <c r="V172">
        <v>0</v>
      </c>
      <c r="W172">
        <v>0</v>
      </c>
      <c r="X172">
        <v>0</v>
      </c>
      <c r="Y172">
        <v>0</v>
      </c>
      <c r="Z172">
        <v>0</v>
      </c>
      <c r="AA172">
        <v>0</v>
      </c>
      <c r="AB172">
        <v>0</v>
      </c>
      <c r="AC172">
        <v>0</v>
      </c>
      <c r="AD172">
        <v>0</v>
      </c>
      <c r="AE172">
        <v>0</v>
      </c>
      <c r="AF172">
        <v>3</v>
      </c>
      <c r="AG172">
        <v>2</v>
      </c>
      <c r="AH172">
        <v>3</v>
      </c>
      <c r="AI172">
        <v>5</v>
      </c>
      <c r="AJ172">
        <v>7</v>
      </c>
      <c r="AK172">
        <v>6</v>
      </c>
      <c r="AL172">
        <v>6</v>
      </c>
      <c r="AM172">
        <v>1</v>
      </c>
      <c r="AN172">
        <v>0</v>
      </c>
    </row>
    <row r="173" spans="1:40" x14ac:dyDescent="0.25">
      <c r="A173" t="s">
        <v>2842</v>
      </c>
      <c r="B173" t="s">
        <v>2843</v>
      </c>
      <c r="F173" t="s">
        <v>2844</v>
      </c>
      <c r="G173" t="s">
        <v>2845</v>
      </c>
      <c r="H173">
        <v>2007</v>
      </c>
      <c r="I173">
        <v>11</v>
      </c>
      <c r="J173">
        <v>5</v>
      </c>
      <c r="N173">
        <v>635</v>
      </c>
      <c r="O173">
        <v>650</v>
      </c>
      <c r="Q173" t="s">
        <v>2846</v>
      </c>
      <c r="T173">
        <v>33</v>
      </c>
      <c r="U173">
        <v>2.54</v>
      </c>
      <c r="V173">
        <v>0</v>
      </c>
      <c r="W173">
        <v>0</v>
      </c>
      <c r="X173">
        <v>0</v>
      </c>
      <c r="Y173">
        <v>0</v>
      </c>
      <c r="Z173">
        <v>0</v>
      </c>
      <c r="AA173">
        <v>0</v>
      </c>
      <c r="AB173">
        <v>0</v>
      </c>
      <c r="AC173">
        <v>1</v>
      </c>
      <c r="AD173">
        <v>6</v>
      </c>
      <c r="AE173">
        <v>4</v>
      </c>
      <c r="AF173">
        <v>5</v>
      </c>
      <c r="AG173">
        <v>4</v>
      </c>
      <c r="AH173">
        <v>3</v>
      </c>
      <c r="AI173">
        <v>1</v>
      </c>
      <c r="AJ173">
        <v>0</v>
      </c>
      <c r="AK173">
        <v>4</v>
      </c>
      <c r="AL173">
        <v>3</v>
      </c>
      <c r="AM173">
        <v>2</v>
      </c>
      <c r="AN173">
        <v>0</v>
      </c>
    </row>
    <row r="174" spans="1:40" x14ac:dyDescent="0.25">
      <c r="A174" t="s">
        <v>2847</v>
      </c>
      <c r="B174" t="s">
        <v>2848</v>
      </c>
      <c r="F174" t="s">
        <v>300</v>
      </c>
      <c r="G174" t="s">
        <v>2849</v>
      </c>
      <c r="H174">
        <v>2007</v>
      </c>
      <c r="I174">
        <v>29</v>
      </c>
      <c r="J174">
        <v>5</v>
      </c>
      <c r="N174">
        <v>896</v>
      </c>
      <c r="O174">
        <v>900</v>
      </c>
      <c r="Q174" t="s">
        <v>2850</v>
      </c>
      <c r="T174">
        <v>33</v>
      </c>
      <c r="U174">
        <v>2.54</v>
      </c>
      <c r="V174">
        <v>0</v>
      </c>
      <c r="W174">
        <v>0</v>
      </c>
      <c r="X174">
        <v>0</v>
      </c>
      <c r="Y174">
        <v>0</v>
      </c>
      <c r="Z174">
        <v>0</v>
      </c>
      <c r="AA174">
        <v>0</v>
      </c>
      <c r="AB174">
        <v>4</v>
      </c>
      <c r="AC174">
        <v>3</v>
      </c>
      <c r="AD174">
        <v>6</v>
      </c>
      <c r="AE174">
        <v>6</v>
      </c>
      <c r="AF174">
        <v>5</v>
      </c>
      <c r="AG174">
        <v>2</v>
      </c>
      <c r="AH174">
        <v>2</v>
      </c>
      <c r="AI174">
        <v>1</v>
      </c>
      <c r="AJ174">
        <v>1</v>
      </c>
      <c r="AK174">
        <v>1</v>
      </c>
      <c r="AL174">
        <v>0</v>
      </c>
      <c r="AM174">
        <v>2</v>
      </c>
      <c r="AN174">
        <v>0</v>
      </c>
    </row>
    <row r="175" spans="1:40" x14ac:dyDescent="0.25">
      <c r="A175" t="s">
        <v>2851</v>
      </c>
      <c r="B175" t="s">
        <v>2852</v>
      </c>
      <c r="F175" t="s">
        <v>300</v>
      </c>
      <c r="G175" t="s">
        <v>2400</v>
      </c>
      <c r="H175">
        <v>2007</v>
      </c>
      <c r="I175">
        <v>29</v>
      </c>
      <c r="J175">
        <v>3</v>
      </c>
      <c r="N175">
        <v>508</v>
      </c>
      <c r="O175">
        <v>512</v>
      </c>
      <c r="Q175" t="s">
        <v>2853</v>
      </c>
      <c r="T175">
        <v>33</v>
      </c>
      <c r="U175">
        <v>2.54</v>
      </c>
      <c r="V175">
        <v>0</v>
      </c>
      <c r="W175">
        <v>0</v>
      </c>
      <c r="X175">
        <v>0</v>
      </c>
      <c r="Y175">
        <v>0</v>
      </c>
      <c r="Z175">
        <v>0</v>
      </c>
      <c r="AA175">
        <v>0</v>
      </c>
      <c r="AB175">
        <v>0</v>
      </c>
      <c r="AC175">
        <v>3</v>
      </c>
      <c r="AD175">
        <v>3</v>
      </c>
      <c r="AE175">
        <v>8</v>
      </c>
      <c r="AF175">
        <v>1</v>
      </c>
      <c r="AG175">
        <v>0</v>
      </c>
      <c r="AH175">
        <v>3</v>
      </c>
      <c r="AI175">
        <v>1</v>
      </c>
      <c r="AJ175">
        <v>7</v>
      </c>
      <c r="AK175">
        <v>2</v>
      </c>
      <c r="AL175">
        <v>3</v>
      </c>
      <c r="AM175">
        <v>2</v>
      </c>
      <c r="AN175">
        <v>0</v>
      </c>
    </row>
    <row r="176" spans="1:40" x14ac:dyDescent="0.25">
      <c r="A176" t="s">
        <v>2854</v>
      </c>
      <c r="B176" t="s">
        <v>2855</v>
      </c>
      <c r="F176" t="s">
        <v>311</v>
      </c>
      <c r="G176" t="s">
        <v>2856</v>
      </c>
      <c r="H176">
        <v>2015</v>
      </c>
      <c r="I176">
        <v>24</v>
      </c>
      <c r="J176">
        <v>11</v>
      </c>
      <c r="Q176" t="s">
        <v>2857</v>
      </c>
      <c r="T176">
        <v>32</v>
      </c>
      <c r="U176">
        <v>6.4</v>
      </c>
      <c r="V176">
        <v>0</v>
      </c>
      <c r="W176">
        <v>0</v>
      </c>
      <c r="X176">
        <v>0</v>
      </c>
      <c r="Y176">
        <v>0</v>
      </c>
      <c r="Z176">
        <v>0</v>
      </c>
      <c r="AA176">
        <v>0</v>
      </c>
      <c r="AB176">
        <v>0</v>
      </c>
      <c r="AC176">
        <v>0</v>
      </c>
      <c r="AD176">
        <v>0</v>
      </c>
      <c r="AE176">
        <v>0</v>
      </c>
      <c r="AF176">
        <v>0</v>
      </c>
      <c r="AG176">
        <v>0</v>
      </c>
      <c r="AH176">
        <v>0</v>
      </c>
      <c r="AI176">
        <v>0</v>
      </c>
      <c r="AJ176">
        <v>0</v>
      </c>
      <c r="AK176">
        <v>6</v>
      </c>
      <c r="AL176">
        <v>13</v>
      </c>
      <c r="AM176">
        <v>12</v>
      </c>
      <c r="AN176">
        <v>1</v>
      </c>
    </row>
    <row r="177" spans="1:40" x14ac:dyDescent="0.25">
      <c r="A177" t="s">
        <v>2858</v>
      </c>
      <c r="B177" t="s">
        <v>2859</v>
      </c>
      <c r="F177" t="s">
        <v>303</v>
      </c>
      <c r="G177" t="s">
        <v>2626</v>
      </c>
      <c r="H177">
        <v>2012</v>
      </c>
      <c r="I177">
        <v>99</v>
      </c>
      <c r="J177">
        <v>3</v>
      </c>
      <c r="N177">
        <v>259</v>
      </c>
      <c r="O177">
        <v>280</v>
      </c>
      <c r="Q177" t="s">
        <v>2860</v>
      </c>
      <c r="T177">
        <v>32</v>
      </c>
      <c r="U177">
        <v>4</v>
      </c>
      <c r="V177">
        <v>0</v>
      </c>
      <c r="W177">
        <v>0</v>
      </c>
      <c r="X177">
        <v>0</v>
      </c>
      <c r="Y177">
        <v>0</v>
      </c>
      <c r="Z177">
        <v>0</v>
      </c>
      <c r="AA177">
        <v>0</v>
      </c>
      <c r="AB177">
        <v>0</v>
      </c>
      <c r="AC177">
        <v>0</v>
      </c>
      <c r="AD177">
        <v>0</v>
      </c>
      <c r="AE177">
        <v>0</v>
      </c>
      <c r="AF177">
        <v>0</v>
      </c>
      <c r="AG177">
        <v>1</v>
      </c>
      <c r="AH177">
        <v>4</v>
      </c>
      <c r="AI177">
        <v>8</v>
      </c>
      <c r="AJ177">
        <v>7</v>
      </c>
      <c r="AK177">
        <v>7</v>
      </c>
      <c r="AL177">
        <v>4</v>
      </c>
      <c r="AM177">
        <v>1</v>
      </c>
      <c r="AN177">
        <v>0</v>
      </c>
    </row>
    <row r="178" spans="1:40" x14ac:dyDescent="0.25">
      <c r="A178" t="s">
        <v>1614</v>
      </c>
      <c r="B178" t="s">
        <v>1616</v>
      </c>
      <c r="F178" t="s">
        <v>320</v>
      </c>
      <c r="G178" t="s">
        <v>2487</v>
      </c>
      <c r="H178">
        <v>2011</v>
      </c>
      <c r="I178">
        <v>23</v>
      </c>
      <c r="J178">
        <v>9</v>
      </c>
      <c r="N178">
        <v>2289</v>
      </c>
      <c r="O178">
        <v>2323</v>
      </c>
      <c r="Q178" t="s">
        <v>2861</v>
      </c>
      <c r="T178">
        <v>32</v>
      </c>
      <c r="U178">
        <v>3.56</v>
      </c>
      <c r="V178">
        <v>0</v>
      </c>
      <c r="W178">
        <v>0</v>
      </c>
      <c r="X178">
        <v>0</v>
      </c>
      <c r="Y178">
        <v>0</v>
      </c>
      <c r="Z178">
        <v>0</v>
      </c>
      <c r="AA178">
        <v>0</v>
      </c>
      <c r="AB178">
        <v>0</v>
      </c>
      <c r="AC178">
        <v>0</v>
      </c>
      <c r="AD178">
        <v>0</v>
      </c>
      <c r="AE178">
        <v>0</v>
      </c>
      <c r="AF178">
        <v>0</v>
      </c>
      <c r="AG178">
        <v>2</v>
      </c>
      <c r="AH178">
        <v>5</v>
      </c>
      <c r="AI178">
        <v>10</v>
      </c>
      <c r="AJ178">
        <v>4</v>
      </c>
      <c r="AK178">
        <v>4</v>
      </c>
      <c r="AL178">
        <v>2</v>
      </c>
      <c r="AM178">
        <v>5</v>
      </c>
      <c r="AN178">
        <v>0</v>
      </c>
    </row>
    <row r="179" spans="1:40" x14ac:dyDescent="0.25">
      <c r="A179" t="s">
        <v>2862</v>
      </c>
      <c r="B179" t="s">
        <v>2863</v>
      </c>
      <c r="F179" t="s">
        <v>305</v>
      </c>
      <c r="G179" t="s">
        <v>2864</v>
      </c>
      <c r="H179">
        <v>2008</v>
      </c>
      <c r="I179">
        <v>29</v>
      </c>
      <c r="J179">
        <v>15</v>
      </c>
      <c r="M179" t="s">
        <v>1948</v>
      </c>
      <c r="N179">
        <v>1988</v>
      </c>
      <c r="O179">
        <v>1995</v>
      </c>
      <c r="Q179" t="s">
        <v>2865</v>
      </c>
      <c r="R179" t="s">
        <v>2866</v>
      </c>
      <c r="S179">
        <v>2007</v>
      </c>
      <c r="T179">
        <v>32</v>
      </c>
      <c r="U179">
        <v>2.67</v>
      </c>
      <c r="V179">
        <v>0</v>
      </c>
      <c r="W179">
        <v>0</v>
      </c>
      <c r="X179">
        <v>0</v>
      </c>
      <c r="Y179">
        <v>0</v>
      </c>
      <c r="Z179">
        <v>0</v>
      </c>
      <c r="AA179">
        <v>0</v>
      </c>
      <c r="AB179">
        <v>0</v>
      </c>
      <c r="AC179">
        <v>3</v>
      </c>
      <c r="AD179">
        <v>2</v>
      </c>
      <c r="AE179">
        <v>9</v>
      </c>
      <c r="AF179">
        <v>5</v>
      </c>
      <c r="AG179">
        <v>4</v>
      </c>
      <c r="AH179">
        <v>3</v>
      </c>
      <c r="AI179">
        <v>2</v>
      </c>
      <c r="AJ179">
        <v>0</v>
      </c>
      <c r="AK179">
        <v>2</v>
      </c>
      <c r="AL179">
        <v>0</v>
      </c>
      <c r="AM179">
        <v>2</v>
      </c>
      <c r="AN179">
        <v>0</v>
      </c>
    </row>
    <row r="180" spans="1:40" x14ac:dyDescent="0.25">
      <c r="A180" t="s">
        <v>1341</v>
      </c>
      <c r="B180" t="s">
        <v>1343</v>
      </c>
      <c r="F180" t="s">
        <v>325</v>
      </c>
      <c r="G180" t="s">
        <v>2867</v>
      </c>
      <c r="H180">
        <v>2018</v>
      </c>
      <c r="I180">
        <v>29</v>
      </c>
      <c r="J180">
        <v>4</v>
      </c>
      <c r="N180">
        <v>1301</v>
      </c>
      <c r="O180">
        <v>1313</v>
      </c>
      <c r="Q180" t="s">
        <v>2868</v>
      </c>
      <c r="T180">
        <v>31</v>
      </c>
      <c r="U180">
        <v>15.5</v>
      </c>
      <c r="V180">
        <v>0</v>
      </c>
      <c r="W180">
        <v>0</v>
      </c>
      <c r="X180">
        <v>0</v>
      </c>
      <c r="Y180">
        <v>0</v>
      </c>
      <c r="Z180">
        <v>0</v>
      </c>
      <c r="AA180">
        <v>0</v>
      </c>
      <c r="AB180">
        <v>0</v>
      </c>
      <c r="AC180">
        <v>0</v>
      </c>
      <c r="AD180">
        <v>0</v>
      </c>
      <c r="AE180">
        <v>0</v>
      </c>
      <c r="AF180">
        <v>0</v>
      </c>
      <c r="AG180">
        <v>0</v>
      </c>
      <c r="AH180">
        <v>0</v>
      </c>
      <c r="AI180">
        <v>0</v>
      </c>
      <c r="AJ180">
        <v>0</v>
      </c>
      <c r="AK180">
        <v>0</v>
      </c>
      <c r="AL180">
        <v>4</v>
      </c>
      <c r="AM180">
        <v>19</v>
      </c>
      <c r="AN180">
        <v>8</v>
      </c>
    </row>
    <row r="181" spans="1:40" x14ac:dyDescent="0.25">
      <c r="A181" t="s">
        <v>1389</v>
      </c>
      <c r="B181" t="s">
        <v>1391</v>
      </c>
      <c r="F181" t="s">
        <v>300</v>
      </c>
      <c r="G181" t="s">
        <v>2869</v>
      </c>
      <c r="H181">
        <v>2016</v>
      </c>
      <c r="I181">
        <v>38</v>
      </c>
      <c r="J181">
        <v>10</v>
      </c>
      <c r="N181">
        <v>1943</v>
      </c>
      <c r="O181">
        <v>1955</v>
      </c>
      <c r="Q181" t="s">
        <v>2870</v>
      </c>
      <c r="T181">
        <v>31</v>
      </c>
      <c r="U181">
        <v>7.75</v>
      </c>
      <c r="V181">
        <v>0</v>
      </c>
      <c r="W181">
        <v>0</v>
      </c>
      <c r="X181">
        <v>0</v>
      </c>
      <c r="Y181">
        <v>0</v>
      </c>
      <c r="Z181">
        <v>0</v>
      </c>
      <c r="AA181">
        <v>0</v>
      </c>
      <c r="AB181">
        <v>0</v>
      </c>
      <c r="AC181">
        <v>0</v>
      </c>
      <c r="AD181">
        <v>0</v>
      </c>
      <c r="AE181">
        <v>0</v>
      </c>
      <c r="AF181">
        <v>0</v>
      </c>
      <c r="AG181">
        <v>0</v>
      </c>
      <c r="AH181">
        <v>0</v>
      </c>
      <c r="AI181">
        <v>0</v>
      </c>
      <c r="AJ181">
        <v>0</v>
      </c>
      <c r="AK181">
        <v>0</v>
      </c>
      <c r="AL181">
        <v>11</v>
      </c>
      <c r="AM181">
        <v>16</v>
      </c>
      <c r="AN181">
        <v>4</v>
      </c>
    </row>
    <row r="182" spans="1:40" x14ac:dyDescent="0.25">
      <c r="A182" t="s">
        <v>2871</v>
      </c>
      <c r="B182" t="s">
        <v>2872</v>
      </c>
      <c r="F182" t="s">
        <v>314</v>
      </c>
      <c r="G182" t="s">
        <v>2528</v>
      </c>
      <c r="H182">
        <v>2016</v>
      </c>
      <c r="I182">
        <v>46</v>
      </c>
      <c r="J182">
        <v>4</v>
      </c>
      <c r="N182">
        <v>1014</v>
      </c>
      <c r="O182">
        <v>1027</v>
      </c>
      <c r="Q182" t="s">
        <v>2873</v>
      </c>
      <c r="T182">
        <v>31</v>
      </c>
      <c r="U182">
        <v>7.75</v>
      </c>
      <c r="V182">
        <v>0</v>
      </c>
      <c r="W182">
        <v>0</v>
      </c>
      <c r="X182">
        <v>0</v>
      </c>
      <c r="Y182">
        <v>0</v>
      </c>
      <c r="Z182">
        <v>0</v>
      </c>
      <c r="AA182">
        <v>0</v>
      </c>
      <c r="AB182">
        <v>0</v>
      </c>
      <c r="AC182">
        <v>0</v>
      </c>
      <c r="AD182">
        <v>0</v>
      </c>
      <c r="AE182">
        <v>0</v>
      </c>
      <c r="AF182">
        <v>0</v>
      </c>
      <c r="AG182">
        <v>0</v>
      </c>
      <c r="AH182">
        <v>0</v>
      </c>
      <c r="AI182">
        <v>0</v>
      </c>
      <c r="AJ182">
        <v>0</v>
      </c>
      <c r="AK182">
        <v>3</v>
      </c>
      <c r="AL182">
        <v>9</v>
      </c>
      <c r="AM182">
        <v>16</v>
      </c>
      <c r="AN182">
        <v>3</v>
      </c>
    </row>
    <row r="183" spans="1:40" x14ac:dyDescent="0.25">
      <c r="A183" t="s">
        <v>1680</v>
      </c>
      <c r="B183" t="s">
        <v>1682</v>
      </c>
      <c r="F183" t="s">
        <v>308</v>
      </c>
      <c r="G183" t="s">
        <v>2856</v>
      </c>
      <c r="H183">
        <v>2015</v>
      </c>
      <c r="I183">
        <v>48</v>
      </c>
      <c r="J183">
        <v>11</v>
      </c>
      <c r="M183" t="s">
        <v>1948</v>
      </c>
      <c r="N183">
        <v>3542</v>
      </c>
      <c r="O183">
        <v>3559</v>
      </c>
      <c r="Q183" t="s">
        <v>2874</v>
      </c>
      <c r="T183">
        <v>31</v>
      </c>
      <c r="U183">
        <v>6.2</v>
      </c>
      <c r="V183">
        <v>0</v>
      </c>
      <c r="W183">
        <v>0</v>
      </c>
      <c r="X183">
        <v>0</v>
      </c>
      <c r="Y183">
        <v>0</v>
      </c>
      <c r="Z183">
        <v>0</v>
      </c>
      <c r="AA183">
        <v>0</v>
      </c>
      <c r="AB183">
        <v>0</v>
      </c>
      <c r="AC183">
        <v>0</v>
      </c>
      <c r="AD183">
        <v>0</v>
      </c>
      <c r="AE183">
        <v>0</v>
      </c>
      <c r="AF183">
        <v>0</v>
      </c>
      <c r="AG183">
        <v>0</v>
      </c>
      <c r="AH183">
        <v>0</v>
      </c>
      <c r="AI183">
        <v>0</v>
      </c>
      <c r="AJ183">
        <v>1</v>
      </c>
      <c r="AK183">
        <v>9</v>
      </c>
      <c r="AL183">
        <v>12</v>
      </c>
      <c r="AM183">
        <v>9</v>
      </c>
      <c r="AN183">
        <v>0</v>
      </c>
    </row>
    <row r="184" spans="1:40" x14ac:dyDescent="0.25">
      <c r="A184" t="s">
        <v>2875</v>
      </c>
      <c r="B184" t="s">
        <v>2876</v>
      </c>
      <c r="F184" t="s">
        <v>303</v>
      </c>
      <c r="G184" t="s">
        <v>2697</v>
      </c>
      <c r="H184">
        <v>2012</v>
      </c>
      <c r="I184">
        <v>98</v>
      </c>
      <c r="J184">
        <v>2</v>
      </c>
      <c r="N184">
        <v>217</v>
      </c>
      <c r="O184">
        <v>241</v>
      </c>
      <c r="Q184" t="s">
        <v>2877</v>
      </c>
      <c r="T184">
        <v>31</v>
      </c>
      <c r="U184">
        <v>3.88</v>
      </c>
      <c r="V184">
        <v>0</v>
      </c>
      <c r="W184">
        <v>0</v>
      </c>
      <c r="X184">
        <v>0</v>
      </c>
      <c r="Y184">
        <v>0</v>
      </c>
      <c r="Z184">
        <v>0</v>
      </c>
      <c r="AA184">
        <v>0</v>
      </c>
      <c r="AB184">
        <v>0</v>
      </c>
      <c r="AC184">
        <v>0</v>
      </c>
      <c r="AD184">
        <v>0</v>
      </c>
      <c r="AE184">
        <v>0</v>
      </c>
      <c r="AF184">
        <v>0</v>
      </c>
      <c r="AG184">
        <v>0</v>
      </c>
      <c r="AH184">
        <v>3</v>
      </c>
      <c r="AI184">
        <v>3</v>
      </c>
      <c r="AJ184">
        <v>4</v>
      </c>
      <c r="AK184">
        <v>7</v>
      </c>
      <c r="AL184">
        <v>8</v>
      </c>
      <c r="AM184">
        <v>6</v>
      </c>
      <c r="AN184">
        <v>0</v>
      </c>
    </row>
    <row r="185" spans="1:40" x14ac:dyDescent="0.25">
      <c r="A185" t="s">
        <v>1260</v>
      </c>
      <c r="B185" t="s">
        <v>1262</v>
      </c>
      <c r="F185" t="s">
        <v>298</v>
      </c>
      <c r="G185" t="s">
        <v>2790</v>
      </c>
      <c r="H185">
        <v>2008</v>
      </c>
      <c r="I185">
        <v>109</v>
      </c>
      <c r="J185">
        <v>3</v>
      </c>
      <c r="N185">
        <v>305</v>
      </c>
      <c r="O185">
        <v>334</v>
      </c>
      <c r="Q185" t="s">
        <v>2878</v>
      </c>
      <c r="T185">
        <v>31</v>
      </c>
      <c r="U185">
        <v>2.58</v>
      </c>
      <c r="V185">
        <v>0</v>
      </c>
      <c r="W185">
        <v>0</v>
      </c>
      <c r="X185">
        <v>0</v>
      </c>
      <c r="Y185">
        <v>0</v>
      </c>
      <c r="Z185">
        <v>0</v>
      </c>
      <c r="AA185">
        <v>0</v>
      </c>
      <c r="AB185">
        <v>0</v>
      </c>
      <c r="AC185">
        <v>1</v>
      </c>
      <c r="AD185">
        <v>2</v>
      </c>
      <c r="AE185">
        <v>5</v>
      </c>
      <c r="AF185">
        <v>2</v>
      </c>
      <c r="AG185">
        <v>2</v>
      </c>
      <c r="AH185">
        <v>4</v>
      </c>
      <c r="AI185">
        <v>4</v>
      </c>
      <c r="AJ185">
        <v>5</v>
      </c>
      <c r="AK185">
        <v>3</v>
      </c>
      <c r="AL185">
        <v>2</v>
      </c>
      <c r="AM185">
        <v>1</v>
      </c>
      <c r="AN185">
        <v>0</v>
      </c>
    </row>
    <row r="186" spans="1:40" x14ac:dyDescent="0.25">
      <c r="A186" t="s">
        <v>2879</v>
      </c>
      <c r="B186" t="s">
        <v>2880</v>
      </c>
      <c r="F186" t="s">
        <v>311</v>
      </c>
      <c r="G186" t="s">
        <v>2881</v>
      </c>
      <c r="H186">
        <v>2005</v>
      </c>
      <c r="I186">
        <v>14</v>
      </c>
      <c r="J186">
        <v>12</v>
      </c>
      <c r="N186">
        <v>2060</v>
      </c>
      <c r="O186">
        <v>2072</v>
      </c>
      <c r="Q186" t="s">
        <v>2882</v>
      </c>
      <c r="T186">
        <v>31</v>
      </c>
      <c r="U186">
        <v>2.0699999999999998</v>
      </c>
      <c r="V186">
        <v>0</v>
      </c>
      <c r="W186">
        <v>0</v>
      </c>
      <c r="X186">
        <v>0</v>
      </c>
      <c r="Y186">
        <v>0</v>
      </c>
      <c r="Z186">
        <v>0</v>
      </c>
      <c r="AA186">
        <v>2</v>
      </c>
      <c r="AB186">
        <v>5</v>
      </c>
      <c r="AC186">
        <v>2</v>
      </c>
      <c r="AD186">
        <v>1</v>
      </c>
      <c r="AE186">
        <v>3</v>
      </c>
      <c r="AF186">
        <v>1</v>
      </c>
      <c r="AG186">
        <v>4</v>
      </c>
      <c r="AH186">
        <v>3</v>
      </c>
      <c r="AI186">
        <v>2</v>
      </c>
      <c r="AJ186">
        <v>2</v>
      </c>
      <c r="AK186">
        <v>2</v>
      </c>
      <c r="AL186">
        <v>3</v>
      </c>
      <c r="AM186">
        <v>1</v>
      </c>
      <c r="AN186">
        <v>0</v>
      </c>
    </row>
    <row r="187" spans="1:40" x14ac:dyDescent="0.25">
      <c r="A187" t="s">
        <v>2883</v>
      </c>
      <c r="B187" t="s">
        <v>2884</v>
      </c>
      <c r="F187" t="s">
        <v>300</v>
      </c>
      <c r="G187" t="s">
        <v>2441</v>
      </c>
      <c r="H187">
        <v>2009</v>
      </c>
      <c r="I187">
        <v>31</v>
      </c>
      <c r="J187">
        <v>1</v>
      </c>
      <c r="N187">
        <v>172</v>
      </c>
      <c r="O187">
        <v>179</v>
      </c>
      <c r="Q187" t="s">
        <v>2885</v>
      </c>
      <c r="T187">
        <v>30</v>
      </c>
      <c r="U187">
        <v>2.73</v>
      </c>
      <c r="V187">
        <v>0</v>
      </c>
      <c r="W187">
        <v>0</v>
      </c>
      <c r="X187">
        <v>0</v>
      </c>
      <c r="Y187">
        <v>0</v>
      </c>
      <c r="Z187">
        <v>0</v>
      </c>
      <c r="AA187">
        <v>0</v>
      </c>
      <c r="AB187">
        <v>0</v>
      </c>
      <c r="AC187">
        <v>0</v>
      </c>
      <c r="AD187">
        <v>1</v>
      </c>
      <c r="AE187">
        <v>1</v>
      </c>
      <c r="AF187">
        <v>3</v>
      </c>
      <c r="AG187">
        <v>4</v>
      </c>
      <c r="AH187">
        <v>5</v>
      </c>
      <c r="AI187">
        <v>5</v>
      </c>
      <c r="AJ187">
        <v>5</v>
      </c>
      <c r="AK187">
        <v>2</v>
      </c>
      <c r="AL187">
        <v>2</v>
      </c>
      <c r="AM187">
        <v>2</v>
      </c>
      <c r="AN187">
        <v>0</v>
      </c>
    </row>
    <row r="188" spans="1:40" x14ac:dyDescent="0.25">
      <c r="A188" t="s">
        <v>2886</v>
      </c>
      <c r="B188" t="s">
        <v>2887</v>
      </c>
      <c r="F188" t="s">
        <v>305</v>
      </c>
      <c r="G188" t="s">
        <v>2888</v>
      </c>
      <c r="H188">
        <v>2007</v>
      </c>
      <c r="I188">
        <v>28</v>
      </c>
      <c r="J188">
        <v>13</v>
      </c>
      <c r="N188">
        <v>1759</v>
      </c>
      <c r="O188">
        <v>1768</v>
      </c>
      <c r="Q188" t="s">
        <v>2889</v>
      </c>
      <c r="T188">
        <v>30</v>
      </c>
      <c r="U188">
        <v>2.31</v>
      </c>
      <c r="V188">
        <v>0</v>
      </c>
      <c r="W188">
        <v>0</v>
      </c>
      <c r="X188">
        <v>0</v>
      </c>
      <c r="Y188">
        <v>0</v>
      </c>
      <c r="Z188">
        <v>0</v>
      </c>
      <c r="AA188">
        <v>0</v>
      </c>
      <c r="AB188">
        <v>0</v>
      </c>
      <c r="AC188">
        <v>2</v>
      </c>
      <c r="AD188">
        <v>3</v>
      </c>
      <c r="AE188">
        <v>4</v>
      </c>
      <c r="AF188">
        <v>3</v>
      </c>
      <c r="AG188">
        <v>4</v>
      </c>
      <c r="AH188">
        <v>1</v>
      </c>
      <c r="AI188">
        <v>2</v>
      </c>
      <c r="AJ188">
        <v>1</v>
      </c>
      <c r="AK188">
        <v>6</v>
      </c>
      <c r="AL188">
        <v>4</v>
      </c>
      <c r="AM188">
        <v>0</v>
      </c>
      <c r="AN188">
        <v>0</v>
      </c>
    </row>
    <row r="189" spans="1:40" x14ac:dyDescent="0.25">
      <c r="A189" t="s">
        <v>2890</v>
      </c>
      <c r="B189" t="s">
        <v>2891</v>
      </c>
      <c r="F189" t="s">
        <v>311</v>
      </c>
      <c r="G189" t="s">
        <v>2892</v>
      </c>
      <c r="H189">
        <v>2007</v>
      </c>
      <c r="I189">
        <v>16</v>
      </c>
      <c r="J189">
        <v>8</v>
      </c>
      <c r="N189">
        <v>2139</v>
      </c>
      <c r="O189">
        <v>2149</v>
      </c>
      <c r="Q189" t="s">
        <v>2893</v>
      </c>
      <c r="T189">
        <v>30</v>
      </c>
      <c r="U189">
        <v>2.31</v>
      </c>
      <c r="V189">
        <v>0</v>
      </c>
      <c r="W189">
        <v>0</v>
      </c>
      <c r="X189">
        <v>0</v>
      </c>
      <c r="Y189">
        <v>0</v>
      </c>
      <c r="Z189">
        <v>0</v>
      </c>
      <c r="AA189">
        <v>0</v>
      </c>
      <c r="AB189">
        <v>0</v>
      </c>
      <c r="AC189">
        <v>2</v>
      </c>
      <c r="AD189">
        <v>1</v>
      </c>
      <c r="AE189">
        <v>1</v>
      </c>
      <c r="AF189">
        <v>3</v>
      </c>
      <c r="AG189">
        <v>4</v>
      </c>
      <c r="AH189">
        <v>4</v>
      </c>
      <c r="AI189">
        <v>5</v>
      </c>
      <c r="AJ189">
        <v>3</v>
      </c>
      <c r="AK189">
        <v>2</v>
      </c>
      <c r="AL189">
        <v>3</v>
      </c>
      <c r="AM189">
        <v>2</v>
      </c>
      <c r="AN189">
        <v>0</v>
      </c>
    </row>
    <row r="190" spans="1:40" x14ac:dyDescent="0.25">
      <c r="A190" t="s">
        <v>2894</v>
      </c>
      <c r="B190" t="s">
        <v>2895</v>
      </c>
      <c r="F190" t="s">
        <v>300</v>
      </c>
      <c r="G190" t="s">
        <v>2624</v>
      </c>
      <c r="H190">
        <v>2015</v>
      </c>
      <c r="I190">
        <v>37</v>
      </c>
      <c r="J190">
        <v>4</v>
      </c>
      <c r="N190">
        <v>862</v>
      </c>
      <c r="O190">
        <v>875</v>
      </c>
      <c r="Q190" t="s">
        <v>2896</v>
      </c>
      <c r="T190">
        <v>29</v>
      </c>
      <c r="U190">
        <v>5.8</v>
      </c>
      <c r="V190">
        <v>0</v>
      </c>
      <c r="W190">
        <v>0</v>
      </c>
      <c r="X190">
        <v>0</v>
      </c>
      <c r="Y190">
        <v>0</v>
      </c>
      <c r="Z190">
        <v>0</v>
      </c>
      <c r="AA190">
        <v>0</v>
      </c>
      <c r="AB190">
        <v>0</v>
      </c>
      <c r="AC190">
        <v>0</v>
      </c>
      <c r="AD190">
        <v>0</v>
      </c>
      <c r="AE190">
        <v>0</v>
      </c>
      <c r="AF190">
        <v>0</v>
      </c>
      <c r="AG190">
        <v>0</v>
      </c>
      <c r="AH190">
        <v>0</v>
      </c>
      <c r="AI190">
        <v>0</v>
      </c>
      <c r="AJ190">
        <v>3</v>
      </c>
      <c r="AK190">
        <v>6</v>
      </c>
      <c r="AL190">
        <v>10</v>
      </c>
      <c r="AM190">
        <v>10</v>
      </c>
      <c r="AN190">
        <v>0</v>
      </c>
    </row>
    <row r="191" spans="1:40" x14ac:dyDescent="0.25">
      <c r="A191" t="s">
        <v>2897</v>
      </c>
      <c r="B191" t="s">
        <v>2898</v>
      </c>
      <c r="F191" t="s">
        <v>305</v>
      </c>
      <c r="G191" t="s">
        <v>2899</v>
      </c>
      <c r="H191">
        <v>2013</v>
      </c>
      <c r="I191">
        <v>34</v>
      </c>
      <c r="J191">
        <v>11</v>
      </c>
      <c r="N191">
        <v>1211</v>
      </c>
      <c r="O191">
        <v>1220</v>
      </c>
      <c r="Q191" t="s">
        <v>2900</v>
      </c>
      <c r="T191">
        <v>29</v>
      </c>
      <c r="U191">
        <v>4.1399999999999997</v>
      </c>
      <c r="V191">
        <v>0</v>
      </c>
      <c r="W191">
        <v>0</v>
      </c>
      <c r="X191">
        <v>0</v>
      </c>
      <c r="Y191">
        <v>0</v>
      </c>
      <c r="Z191">
        <v>0</v>
      </c>
      <c r="AA191">
        <v>0</v>
      </c>
      <c r="AB191">
        <v>0</v>
      </c>
      <c r="AC191">
        <v>0</v>
      </c>
      <c r="AD191">
        <v>0</v>
      </c>
      <c r="AE191">
        <v>0</v>
      </c>
      <c r="AF191">
        <v>0</v>
      </c>
      <c r="AG191">
        <v>0</v>
      </c>
      <c r="AH191">
        <v>4</v>
      </c>
      <c r="AI191">
        <v>1</v>
      </c>
      <c r="AJ191">
        <v>7</v>
      </c>
      <c r="AK191">
        <v>5</v>
      </c>
      <c r="AL191">
        <v>10</v>
      </c>
      <c r="AM191">
        <v>2</v>
      </c>
      <c r="AN191">
        <v>0</v>
      </c>
    </row>
    <row r="192" spans="1:40" x14ac:dyDescent="0.25">
      <c r="A192" t="s">
        <v>2901</v>
      </c>
      <c r="B192" t="s">
        <v>1196</v>
      </c>
      <c r="F192" t="s">
        <v>325</v>
      </c>
      <c r="G192" t="s">
        <v>2797</v>
      </c>
      <c r="H192">
        <v>2013</v>
      </c>
      <c r="I192">
        <v>24</v>
      </c>
      <c r="J192">
        <v>5</v>
      </c>
      <c r="N192">
        <v>723</v>
      </c>
      <c r="O192">
        <v>735</v>
      </c>
      <c r="Q192" t="s">
        <v>2902</v>
      </c>
      <c r="T192">
        <v>28</v>
      </c>
      <c r="U192">
        <v>4</v>
      </c>
      <c r="V192">
        <v>0</v>
      </c>
      <c r="W192">
        <v>0</v>
      </c>
      <c r="X192">
        <v>0</v>
      </c>
      <c r="Y192">
        <v>0</v>
      </c>
      <c r="Z192">
        <v>0</v>
      </c>
      <c r="AA192">
        <v>0</v>
      </c>
      <c r="AB192">
        <v>0</v>
      </c>
      <c r="AC192">
        <v>0</v>
      </c>
      <c r="AD192">
        <v>0</v>
      </c>
      <c r="AE192">
        <v>0</v>
      </c>
      <c r="AF192">
        <v>0</v>
      </c>
      <c r="AG192">
        <v>0</v>
      </c>
      <c r="AH192">
        <v>1</v>
      </c>
      <c r="AI192">
        <v>5</v>
      </c>
      <c r="AJ192">
        <v>4</v>
      </c>
      <c r="AK192">
        <v>9</v>
      </c>
      <c r="AL192">
        <v>4</v>
      </c>
      <c r="AM192">
        <v>5</v>
      </c>
      <c r="AN192">
        <v>0</v>
      </c>
    </row>
    <row r="193" spans="1:40" x14ac:dyDescent="0.25">
      <c r="A193" t="s">
        <v>2903</v>
      </c>
      <c r="B193" t="s">
        <v>2904</v>
      </c>
      <c r="F193" t="s">
        <v>313</v>
      </c>
      <c r="G193" t="s">
        <v>2483</v>
      </c>
      <c r="H193">
        <v>2012</v>
      </c>
      <c r="I193">
        <v>39</v>
      </c>
      <c r="J193">
        <v>1</v>
      </c>
      <c r="N193">
        <v>33</v>
      </c>
      <c r="O193">
        <v>43</v>
      </c>
      <c r="Q193" t="s">
        <v>2905</v>
      </c>
      <c r="R193" t="s">
        <v>2906</v>
      </c>
      <c r="S193" t="s">
        <v>2907</v>
      </c>
      <c r="T193">
        <v>28</v>
      </c>
      <c r="U193">
        <v>3.5</v>
      </c>
      <c r="V193">
        <v>0</v>
      </c>
      <c r="W193">
        <v>0</v>
      </c>
      <c r="X193">
        <v>0</v>
      </c>
      <c r="Y193">
        <v>0</v>
      </c>
      <c r="Z193">
        <v>0</v>
      </c>
      <c r="AA193">
        <v>0</v>
      </c>
      <c r="AB193">
        <v>0</v>
      </c>
      <c r="AC193">
        <v>0</v>
      </c>
      <c r="AD193">
        <v>0</v>
      </c>
      <c r="AE193">
        <v>0</v>
      </c>
      <c r="AF193">
        <v>0</v>
      </c>
      <c r="AG193">
        <v>0</v>
      </c>
      <c r="AH193">
        <v>4</v>
      </c>
      <c r="AI193">
        <v>3</v>
      </c>
      <c r="AJ193">
        <v>9</v>
      </c>
      <c r="AK193">
        <v>3</v>
      </c>
      <c r="AL193">
        <v>4</v>
      </c>
      <c r="AM193">
        <v>3</v>
      </c>
      <c r="AN193">
        <v>2</v>
      </c>
    </row>
    <row r="194" spans="1:40" x14ac:dyDescent="0.25">
      <c r="A194" t="s">
        <v>2908</v>
      </c>
      <c r="B194" t="s">
        <v>2909</v>
      </c>
      <c r="F194" t="s">
        <v>300</v>
      </c>
      <c r="G194" t="s">
        <v>2697</v>
      </c>
      <c r="H194">
        <v>2012</v>
      </c>
      <c r="I194">
        <v>34</v>
      </c>
      <c r="J194">
        <v>6</v>
      </c>
      <c r="N194">
        <v>1080</v>
      </c>
      <c r="O194">
        <v>1091</v>
      </c>
      <c r="Q194" t="s">
        <v>2910</v>
      </c>
      <c r="T194">
        <v>27</v>
      </c>
      <c r="U194">
        <v>3.38</v>
      </c>
      <c r="V194">
        <v>0</v>
      </c>
      <c r="W194">
        <v>0</v>
      </c>
      <c r="X194">
        <v>0</v>
      </c>
      <c r="Y194">
        <v>0</v>
      </c>
      <c r="Z194">
        <v>0</v>
      </c>
      <c r="AA194">
        <v>0</v>
      </c>
      <c r="AB194">
        <v>0</v>
      </c>
      <c r="AC194">
        <v>0</v>
      </c>
      <c r="AD194">
        <v>0</v>
      </c>
      <c r="AE194">
        <v>0</v>
      </c>
      <c r="AF194">
        <v>0</v>
      </c>
      <c r="AG194">
        <v>3</v>
      </c>
      <c r="AH194">
        <v>1</v>
      </c>
      <c r="AI194">
        <v>7</v>
      </c>
      <c r="AJ194">
        <v>6</v>
      </c>
      <c r="AK194">
        <v>2</v>
      </c>
      <c r="AL194">
        <v>4</v>
      </c>
      <c r="AM194">
        <v>4</v>
      </c>
      <c r="AN194">
        <v>0</v>
      </c>
    </row>
    <row r="195" spans="1:40" x14ac:dyDescent="0.25">
      <c r="A195" t="s">
        <v>2911</v>
      </c>
      <c r="B195" t="s">
        <v>2912</v>
      </c>
      <c r="F195" t="s">
        <v>305</v>
      </c>
      <c r="G195" t="s">
        <v>2913</v>
      </c>
      <c r="H195">
        <v>2009</v>
      </c>
      <c r="I195">
        <v>30</v>
      </c>
      <c r="J195">
        <v>5</v>
      </c>
      <c r="N195">
        <v>544</v>
      </c>
      <c r="O195">
        <v>557</v>
      </c>
      <c r="Q195" t="s">
        <v>2914</v>
      </c>
      <c r="T195">
        <v>27</v>
      </c>
      <c r="U195">
        <v>2.4500000000000002</v>
      </c>
      <c r="V195">
        <v>0</v>
      </c>
      <c r="W195">
        <v>0</v>
      </c>
      <c r="X195">
        <v>0</v>
      </c>
      <c r="Y195">
        <v>0</v>
      </c>
      <c r="Z195">
        <v>0</v>
      </c>
      <c r="AA195">
        <v>0</v>
      </c>
      <c r="AB195">
        <v>0</v>
      </c>
      <c r="AC195">
        <v>0</v>
      </c>
      <c r="AD195">
        <v>1</v>
      </c>
      <c r="AE195">
        <v>2</v>
      </c>
      <c r="AF195">
        <v>5</v>
      </c>
      <c r="AG195">
        <v>3</v>
      </c>
      <c r="AH195">
        <v>5</v>
      </c>
      <c r="AI195">
        <v>2</v>
      </c>
      <c r="AJ195">
        <v>3</v>
      </c>
      <c r="AK195">
        <v>1</v>
      </c>
      <c r="AL195">
        <v>4</v>
      </c>
      <c r="AM195">
        <v>1</v>
      </c>
      <c r="AN195">
        <v>0</v>
      </c>
    </row>
    <row r="196" spans="1:40" x14ac:dyDescent="0.25">
      <c r="A196" t="s">
        <v>2915</v>
      </c>
      <c r="B196" t="s">
        <v>2916</v>
      </c>
      <c r="F196" t="s">
        <v>305</v>
      </c>
      <c r="G196" t="s">
        <v>2917</v>
      </c>
      <c r="H196">
        <v>2002</v>
      </c>
      <c r="I196">
        <v>23</v>
      </c>
      <c r="J196">
        <v>13</v>
      </c>
      <c r="N196">
        <v>1529</v>
      </c>
      <c r="O196">
        <v>1536</v>
      </c>
      <c r="P196" t="s">
        <v>2918</v>
      </c>
      <c r="Q196" t="s">
        <v>2919</v>
      </c>
      <c r="T196">
        <v>27</v>
      </c>
      <c r="U196">
        <v>1.5</v>
      </c>
      <c r="V196">
        <v>0</v>
      </c>
      <c r="W196">
        <v>0</v>
      </c>
      <c r="X196">
        <v>0</v>
      </c>
      <c r="Y196">
        <v>3</v>
      </c>
      <c r="Z196">
        <v>2</v>
      </c>
      <c r="AA196">
        <v>4</v>
      </c>
      <c r="AB196">
        <v>2</v>
      </c>
      <c r="AC196">
        <v>0</v>
      </c>
      <c r="AD196">
        <v>2</v>
      </c>
      <c r="AE196">
        <v>2</v>
      </c>
      <c r="AF196">
        <v>2</v>
      </c>
      <c r="AG196">
        <v>1</v>
      </c>
      <c r="AH196">
        <v>4</v>
      </c>
      <c r="AI196">
        <v>3</v>
      </c>
      <c r="AJ196">
        <v>1</v>
      </c>
      <c r="AK196">
        <v>0</v>
      </c>
      <c r="AL196">
        <v>0</v>
      </c>
      <c r="AM196">
        <v>1</v>
      </c>
      <c r="AN196">
        <v>0</v>
      </c>
    </row>
    <row r="197" spans="1:40" x14ac:dyDescent="0.25">
      <c r="A197" t="s">
        <v>2920</v>
      </c>
      <c r="B197" t="s">
        <v>2921</v>
      </c>
      <c r="F197" t="s">
        <v>300</v>
      </c>
      <c r="G197" t="s">
        <v>2922</v>
      </c>
      <c r="H197">
        <v>2017</v>
      </c>
      <c r="I197">
        <v>39</v>
      </c>
      <c r="J197">
        <v>1</v>
      </c>
      <c r="N197">
        <v>189</v>
      </c>
      <c r="O197">
        <v>203</v>
      </c>
      <c r="Q197" t="s">
        <v>2923</v>
      </c>
      <c r="T197">
        <v>26</v>
      </c>
      <c r="U197">
        <v>8.67</v>
      </c>
      <c r="V197">
        <v>0</v>
      </c>
      <c r="W197">
        <v>0</v>
      </c>
      <c r="X197">
        <v>0</v>
      </c>
      <c r="Y197">
        <v>0</v>
      </c>
      <c r="Z197">
        <v>0</v>
      </c>
      <c r="AA197">
        <v>0</v>
      </c>
      <c r="AB197">
        <v>0</v>
      </c>
      <c r="AC197">
        <v>0</v>
      </c>
      <c r="AD197">
        <v>0</v>
      </c>
      <c r="AE197">
        <v>0</v>
      </c>
      <c r="AF197">
        <v>0</v>
      </c>
      <c r="AG197">
        <v>0</v>
      </c>
      <c r="AH197">
        <v>0</v>
      </c>
      <c r="AI197">
        <v>0</v>
      </c>
      <c r="AJ197">
        <v>0</v>
      </c>
      <c r="AK197">
        <v>0</v>
      </c>
      <c r="AL197">
        <v>9</v>
      </c>
      <c r="AM197">
        <v>16</v>
      </c>
      <c r="AN197">
        <v>1</v>
      </c>
    </row>
    <row r="198" spans="1:40" x14ac:dyDescent="0.25">
      <c r="A198" t="s">
        <v>1644</v>
      </c>
      <c r="B198" t="s">
        <v>1646</v>
      </c>
      <c r="F198" t="s">
        <v>306</v>
      </c>
      <c r="G198" t="s">
        <v>2924</v>
      </c>
      <c r="H198">
        <v>2016</v>
      </c>
      <c r="I198">
        <v>177</v>
      </c>
      <c r="N198">
        <v>342</v>
      </c>
      <c r="O198">
        <v>362</v>
      </c>
      <c r="Q198" t="s">
        <v>2925</v>
      </c>
      <c r="T198">
        <v>26</v>
      </c>
      <c r="U198">
        <v>6.5</v>
      </c>
      <c r="V198">
        <v>0</v>
      </c>
      <c r="W198">
        <v>0</v>
      </c>
      <c r="X198">
        <v>0</v>
      </c>
      <c r="Y198">
        <v>0</v>
      </c>
      <c r="Z198">
        <v>0</v>
      </c>
      <c r="AA198">
        <v>0</v>
      </c>
      <c r="AB198">
        <v>0</v>
      </c>
      <c r="AC198">
        <v>0</v>
      </c>
      <c r="AD198">
        <v>0</v>
      </c>
      <c r="AE198">
        <v>0</v>
      </c>
      <c r="AF198">
        <v>0</v>
      </c>
      <c r="AG198">
        <v>0</v>
      </c>
      <c r="AH198">
        <v>0</v>
      </c>
      <c r="AI198">
        <v>0</v>
      </c>
      <c r="AJ198">
        <v>0</v>
      </c>
      <c r="AK198">
        <v>0</v>
      </c>
      <c r="AL198">
        <v>11</v>
      </c>
      <c r="AM198">
        <v>12</v>
      </c>
      <c r="AN198">
        <v>3</v>
      </c>
    </row>
    <row r="199" spans="1:40" x14ac:dyDescent="0.25">
      <c r="A199" t="s">
        <v>2926</v>
      </c>
      <c r="B199" t="s">
        <v>2927</v>
      </c>
      <c r="F199" t="s">
        <v>313</v>
      </c>
      <c r="G199" t="s">
        <v>2928</v>
      </c>
      <c r="H199">
        <v>2015</v>
      </c>
      <c r="I199">
        <v>42</v>
      </c>
      <c r="J199">
        <v>9</v>
      </c>
      <c r="N199">
        <v>4177</v>
      </c>
      <c r="O199">
        <v>4195</v>
      </c>
      <c r="Q199" t="s">
        <v>2929</v>
      </c>
      <c r="T199">
        <v>26</v>
      </c>
      <c r="U199">
        <v>5.2</v>
      </c>
      <c r="V199">
        <v>0</v>
      </c>
      <c r="W199">
        <v>0</v>
      </c>
      <c r="X199">
        <v>0</v>
      </c>
      <c r="Y199">
        <v>0</v>
      </c>
      <c r="Z199">
        <v>0</v>
      </c>
      <c r="AA199">
        <v>0</v>
      </c>
      <c r="AB199">
        <v>0</v>
      </c>
      <c r="AC199">
        <v>0</v>
      </c>
      <c r="AD199">
        <v>0</v>
      </c>
      <c r="AE199">
        <v>0</v>
      </c>
      <c r="AF199">
        <v>0</v>
      </c>
      <c r="AG199">
        <v>0</v>
      </c>
      <c r="AH199">
        <v>0</v>
      </c>
      <c r="AI199">
        <v>0</v>
      </c>
      <c r="AJ199">
        <v>2</v>
      </c>
      <c r="AK199">
        <v>5</v>
      </c>
      <c r="AL199">
        <v>7</v>
      </c>
      <c r="AM199">
        <v>12</v>
      </c>
      <c r="AN199">
        <v>0</v>
      </c>
    </row>
    <row r="200" spans="1:40" x14ac:dyDescent="0.25">
      <c r="A200" t="s">
        <v>2930</v>
      </c>
      <c r="B200" t="s">
        <v>2931</v>
      </c>
      <c r="F200" t="s">
        <v>315</v>
      </c>
      <c r="G200" t="s">
        <v>2932</v>
      </c>
      <c r="H200">
        <v>2014</v>
      </c>
      <c r="I200">
        <v>25</v>
      </c>
      <c r="J200">
        <v>3</v>
      </c>
      <c r="M200" t="s">
        <v>1948</v>
      </c>
      <c r="N200">
        <v>599</v>
      </c>
      <c r="O200">
        <v>611</v>
      </c>
      <c r="Q200" t="s">
        <v>2933</v>
      </c>
      <c r="T200">
        <v>26</v>
      </c>
      <c r="U200">
        <v>4.33</v>
      </c>
      <c r="V200">
        <v>0</v>
      </c>
      <c r="W200">
        <v>0</v>
      </c>
      <c r="X200">
        <v>0</v>
      </c>
      <c r="Y200">
        <v>0</v>
      </c>
      <c r="Z200">
        <v>0</v>
      </c>
      <c r="AA200">
        <v>0</v>
      </c>
      <c r="AB200">
        <v>0</v>
      </c>
      <c r="AC200">
        <v>0</v>
      </c>
      <c r="AD200">
        <v>0</v>
      </c>
      <c r="AE200">
        <v>0</v>
      </c>
      <c r="AF200">
        <v>0</v>
      </c>
      <c r="AG200">
        <v>0</v>
      </c>
      <c r="AH200">
        <v>0</v>
      </c>
      <c r="AI200">
        <v>2</v>
      </c>
      <c r="AJ200">
        <v>6</v>
      </c>
      <c r="AK200">
        <v>8</v>
      </c>
      <c r="AL200">
        <v>6</v>
      </c>
      <c r="AM200">
        <v>4</v>
      </c>
      <c r="AN200">
        <v>0</v>
      </c>
    </row>
    <row r="201" spans="1:40" x14ac:dyDescent="0.25">
      <c r="A201" t="s">
        <v>2934</v>
      </c>
      <c r="B201" t="s">
        <v>2935</v>
      </c>
      <c r="F201" t="s">
        <v>300</v>
      </c>
      <c r="G201" t="s">
        <v>2936</v>
      </c>
      <c r="H201">
        <v>2012</v>
      </c>
      <c r="I201">
        <v>34</v>
      </c>
      <c r="J201">
        <v>2</v>
      </c>
      <c r="N201">
        <v>225</v>
      </c>
      <c r="O201">
        <v>239</v>
      </c>
      <c r="Q201" t="s">
        <v>2937</v>
      </c>
      <c r="T201">
        <v>26</v>
      </c>
      <c r="U201">
        <v>3.25</v>
      </c>
      <c r="V201">
        <v>0</v>
      </c>
      <c r="W201">
        <v>0</v>
      </c>
      <c r="X201">
        <v>0</v>
      </c>
      <c r="Y201">
        <v>0</v>
      </c>
      <c r="Z201">
        <v>0</v>
      </c>
      <c r="AA201">
        <v>0</v>
      </c>
      <c r="AB201">
        <v>0</v>
      </c>
      <c r="AC201">
        <v>0</v>
      </c>
      <c r="AD201">
        <v>0</v>
      </c>
      <c r="AE201">
        <v>0</v>
      </c>
      <c r="AF201">
        <v>0</v>
      </c>
      <c r="AG201">
        <v>0</v>
      </c>
      <c r="AH201">
        <v>5</v>
      </c>
      <c r="AI201">
        <v>7</v>
      </c>
      <c r="AJ201">
        <v>7</v>
      </c>
      <c r="AK201">
        <v>2</v>
      </c>
      <c r="AL201">
        <v>4</v>
      </c>
      <c r="AM201">
        <v>0</v>
      </c>
      <c r="AN201">
        <v>1</v>
      </c>
    </row>
    <row r="202" spans="1:40" x14ac:dyDescent="0.25">
      <c r="A202" t="s">
        <v>1653</v>
      </c>
      <c r="B202" t="s">
        <v>1655</v>
      </c>
      <c r="F202" t="s">
        <v>306</v>
      </c>
      <c r="G202" t="s">
        <v>2938</v>
      </c>
      <c r="H202">
        <v>2011</v>
      </c>
      <c r="I202">
        <v>74</v>
      </c>
      <c r="J202">
        <v>6</v>
      </c>
      <c r="N202">
        <v>962</v>
      </c>
      <c r="O202">
        <v>973</v>
      </c>
      <c r="Q202" t="s">
        <v>2939</v>
      </c>
      <c r="T202">
        <v>26</v>
      </c>
      <c r="U202">
        <v>2.89</v>
      </c>
      <c r="V202">
        <v>0</v>
      </c>
      <c r="W202">
        <v>0</v>
      </c>
      <c r="X202">
        <v>0</v>
      </c>
      <c r="Y202">
        <v>0</v>
      </c>
      <c r="Z202">
        <v>0</v>
      </c>
      <c r="AA202">
        <v>0</v>
      </c>
      <c r="AB202">
        <v>0</v>
      </c>
      <c r="AC202">
        <v>0</v>
      </c>
      <c r="AD202">
        <v>0</v>
      </c>
      <c r="AE202">
        <v>0</v>
      </c>
      <c r="AF202">
        <v>1</v>
      </c>
      <c r="AG202">
        <v>5</v>
      </c>
      <c r="AH202">
        <v>4</v>
      </c>
      <c r="AI202">
        <v>1</v>
      </c>
      <c r="AJ202">
        <v>4</v>
      </c>
      <c r="AK202">
        <v>5</v>
      </c>
      <c r="AL202">
        <v>2</v>
      </c>
      <c r="AM202">
        <v>4</v>
      </c>
      <c r="AN202">
        <v>0</v>
      </c>
    </row>
    <row r="203" spans="1:40" x14ac:dyDescent="0.25">
      <c r="A203" t="s">
        <v>2940</v>
      </c>
      <c r="B203" t="s">
        <v>2941</v>
      </c>
      <c r="F203" t="s">
        <v>308</v>
      </c>
      <c r="G203" t="s">
        <v>2942</v>
      </c>
      <c r="H203">
        <v>2010</v>
      </c>
      <c r="I203">
        <v>43</v>
      </c>
      <c r="J203">
        <v>11</v>
      </c>
      <c r="N203">
        <v>3866</v>
      </c>
      <c r="O203">
        <v>3878</v>
      </c>
      <c r="Q203" t="s">
        <v>2943</v>
      </c>
      <c r="T203">
        <v>26</v>
      </c>
      <c r="U203">
        <v>2.6</v>
      </c>
      <c r="V203">
        <v>0</v>
      </c>
      <c r="W203">
        <v>0</v>
      </c>
      <c r="X203">
        <v>0</v>
      </c>
      <c r="Y203">
        <v>0</v>
      </c>
      <c r="Z203">
        <v>0</v>
      </c>
      <c r="AA203">
        <v>0</v>
      </c>
      <c r="AB203">
        <v>0</v>
      </c>
      <c r="AC203">
        <v>0</v>
      </c>
      <c r="AD203">
        <v>0</v>
      </c>
      <c r="AE203">
        <v>0</v>
      </c>
      <c r="AF203">
        <v>3</v>
      </c>
      <c r="AG203">
        <v>3</v>
      </c>
      <c r="AH203">
        <v>4</v>
      </c>
      <c r="AI203">
        <v>1</v>
      </c>
      <c r="AJ203">
        <v>2</v>
      </c>
      <c r="AK203">
        <v>6</v>
      </c>
      <c r="AL203">
        <v>2</v>
      </c>
      <c r="AM203">
        <v>5</v>
      </c>
      <c r="AN203">
        <v>0</v>
      </c>
    </row>
    <row r="204" spans="1:40" x14ac:dyDescent="0.25">
      <c r="A204" t="s">
        <v>2944</v>
      </c>
      <c r="B204" t="s">
        <v>2945</v>
      </c>
      <c r="F204" t="s">
        <v>300</v>
      </c>
      <c r="G204" t="s">
        <v>2688</v>
      </c>
      <c r="H204">
        <v>2008</v>
      </c>
      <c r="I204">
        <v>30</v>
      </c>
      <c r="J204">
        <v>10</v>
      </c>
      <c r="N204">
        <v>1771</v>
      </c>
      <c r="O204">
        <v>1785</v>
      </c>
      <c r="Q204" t="s">
        <v>2946</v>
      </c>
      <c r="R204" t="s">
        <v>2947</v>
      </c>
      <c r="S204" t="s">
        <v>2948</v>
      </c>
      <c r="T204">
        <v>26</v>
      </c>
      <c r="U204">
        <v>2.17</v>
      </c>
      <c r="V204">
        <v>0</v>
      </c>
      <c r="W204">
        <v>0</v>
      </c>
      <c r="X204">
        <v>0</v>
      </c>
      <c r="Y204">
        <v>0</v>
      </c>
      <c r="Z204">
        <v>0</v>
      </c>
      <c r="AA204">
        <v>0</v>
      </c>
      <c r="AB204">
        <v>0</v>
      </c>
      <c r="AC204">
        <v>0</v>
      </c>
      <c r="AD204">
        <v>3</v>
      </c>
      <c r="AE204">
        <v>1</v>
      </c>
      <c r="AF204">
        <v>5</v>
      </c>
      <c r="AG204">
        <v>4</v>
      </c>
      <c r="AH204">
        <v>4</v>
      </c>
      <c r="AI204">
        <v>5</v>
      </c>
      <c r="AJ204">
        <v>1</v>
      </c>
      <c r="AK204">
        <v>1</v>
      </c>
      <c r="AL204">
        <v>1</v>
      </c>
      <c r="AM204">
        <v>1</v>
      </c>
      <c r="AN204">
        <v>0</v>
      </c>
    </row>
    <row r="205" spans="1:40" x14ac:dyDescent="0.25">
      <c r="A205" t="s">
        <v>2949</v>
      </c>
      <c r="B205" t="s">
        <v>2950</v>
      </c>
      <c r="E205" t="s">
        <v>2951</v>
      </c>
      <c r="F205" t="s">
        <v>2952</v>
      </c>
      <c r="G205">
        <v>2005</v>
      </c>
      <c r="H205">
        <v>2005</v>
      </c>
      <c r="I205">
        <v>3757</v>
      </c>
      <c r="N205">
        <v>171</v>
      </c>
      <c r="O205">
        <v>186</v>
      </c>
      <c r="R205" t="s">
        <v>2953</v>
      </c>
      <c r="S205" t="s">
        <v>2954</v>
      </c>
      <c r="T205">
        <v>26</v>
      </c>
      <c r="U205">
        <v>1.73</v>
      </c>
      <c r="V205">
        <v>0</v>
      </c>
      <c r="W205">
        <v>0</v>
      </c>
      <c r="X205">
        <v>0</v>
      </c>
      <c r="Y205">
        <v>0</v>
      </c>
      <c r="Z205">
        <v>0</v>
      </c>
      <c r="AA205">
        <v>0</v>
      </c>
      <c r="AB205">
        <v>3</v>
      </c>
      <c r="AC205">
        <v>1</v>
      </c>
      <c r="AD205">
        <v>2</v>
      </c>
      <c r="AE205">
        <v>0</v>
      </c>
      <c r="AF205">
        <v>0</v>
      </c>
      <c r="AG205">
        <v>2</v>
      </c>
      <c r="AH205">
        <v>4</v>
      </c>
      <c r="AI205">
        <v>3</v>
      </c>
      <c r="AJ205">
        <v>2</v>
      </c>
      <c r="AK205">
        <v>5</v>
      </c>
      <c r="AL205">
        <v>2</v>
      </c>
      <c r="AM205">
        <v>2</v>
      </c>
      <c r="AN205">
        <v>0</v>
      </c>
    </row>
    <row r="206" spans="1:40" x14ac:dyDescent="0.25">
      <c r="A206" t="s">
        <v>1469</v>
      </c>
      <c r="B206" t="s">
        <v>1471</v>
      </c>
      <c r="F206" t="s">
        <v>302</v>
      </c>
      <c r="G206" t="s">
        <v>2955</v>
      </c>
      <c r="H206">
        <v>2001</v>
      </c>
      <c r="I206">
        <v>19</v>
      </c>
      <c r="J206" t="s">
        <v>2956</v>
      </c>
      <c r="N206">
        <v>593</v>
      </c>
      <c r="O206">
        <v>618</v>
      </c>
      <c r="Q206" t="s">
        <v>2957</v>
      </c>
      <c r="T206">
        <v>26</v>
      </c>
      <c r="U206">
        <v>1.37</v>
      </c>
      <c r="V206">
        <v>0</v>
      </c>
      <c r="W206">
        <v>1</v>
      </c>
      <c r="X206">
        <v>2</v>
      </c>
      <c r="Y206">
        <v>1</v>
      </c>
      <c r="Z206">
        <v>4</v>
      </c>
      <c r="AA206">
        <v>3</v>
      </c>
      <c r="AB206">
        <v>2</v>
      </c>
      <c r="AC206">
        <v>3</v>
      </c>
      <c r="AD206">
        <v>3</v>
      </c>
      <c r="AE206">
        <v>1</v>
      </c>
      <c r="AF206">
        <v>2</v>
      </c>
      <c r="AG206">
        <v>0</v>
      </c>
      <c r="AH206">
        <v>0</v>
      </c>
      <c r="AI206">
        <v>0</v>
      </c>
      <c r="AJ206">
        <v>0</v>
      </c>
      <c r="AK206">
        <v>1</v>
      </c>
      <c r="AL206">
        <v>2</v>
      </c>
      <c r="AM206">
        <v>1</v>
      </c>
      <c r="AN206">
        <v>0</v>
      </c>
    </row>
    <row r="207" spans="1:40" x14ac:dyDescent="0.25">
      <c r="A207" t="s">
        <v>2958</v>
      </c>
      <c r="B207" t="s">
        <v>2959</v>
      </c>
      <c r="F207" t="s">
        <v>308</v>
      </c>
      <c r="G207" t="s">
        <v>2636</v>
      </c>
      <c r="H207">
        <v>2014</v>
      </c>
      <c r="I207">
        <v>47</v>
      </c>
      <c r="J207">
        <v>6</v>
      </c>
      <c r="N207">
        <v>2266</v>
      </c>
      <c r="O207">
        <v>2279</v>
      </c>
      <c r="Q207" t="s">
        <v>2960</v>
      </c>
      <c r="T207">
        <v>25</v>
      </c>
      <c r="U207">
        <v>4.17</v>
      </c>
      <c r="V207">
        <v>0</v>
      </c>
      <c r="W207">
        <v>0</v>
      </c>
      <c r="X207">
        <v>0</v>
      </c>
      <c r="Y207">
        <v>0</v>
      </c>
      <c r="Z207">
        <v>0</v>
      </c>
      <c r="AA207">
        <v>0</v>
      </c>
      <c r="AB207">
        <v>0</v>
      </c>
      <c r="AC207">
        <v>0</v>
      </c>
      <c r="AD207">
        <v>0</v>
      </c>
      <c r="AE207">
        <v>0</v>
      </c>
      <c r="AF207">
        <v>0</v>
      </c>
      <c r="AG207">
        <v>0</v>
      </c>
      <c r="AH207">
        <v>0</v>
      </c>
      <c r="AI207">
        <v>0</v>
      </c>
      <c r="AJ207">
        <v>5</v>
      </c>
      <c r="AK207">
        <v>4</v>
      </c>
      <c r="AL207">
        <v>7</v>
      </c>
      <c r="AM207">
        <v>9</v>
      </c>
      <c r="AN207">
        <v>0</v>
      </c>
    </row>
    <row r="208" spans="1:40" x14ac:dyDescent="0.25">
      <c r="A208" t="s">
        <v>2961</v>
      </c>
      <c r="B208" t="s">
        <v>2962</v>
      </c>
      <c r="F208" t="s">
        <v>303</v>
      </c>
      <c r="G208" t="s">
        <v>2754</v>
      </c>
      <c r="H208">
        <v>2014</v>
      </c>
      <c r="I208">
        <v>108</v>
      </c>
      <c r="J208" t="s">
        <v>2439</v>
      </c>
      <c r="M208" t="s">
        <v>1948</v>
      </c>
      <c r="N208">
        <v>3</v>
      </c>
      <c r="O208">
        <v>29</v>
      </c>
      <c r="Q208" t="s">
        <v>2963</v>
      </c>
      <c r="T208">
        <v>25</v>
      </c>
      <c r="U208">
        <v>4.17</v>
      </c>
      <c r="V208">
        <v>0</v>
      </c>
      <c r="W208">
        <v>0</v>
      </c>
      <c r="X208">
        <v>0</v>
      </c>
      <c r="Y208">
        <v>0</v>
      </c>
      <c r="Z208">
        <v>0</v>
      </c>
      <c r="AA208">
        <v>0</v>
      </c>
      <c r="AB208">
        <v>0</v>
      </c>
      <c r="AC208">
        <v>0</v>
      </c>
      <c r="AD208">
        <v>0</v>
      </c>
      <c r="AE208">
        <v>0</v>
      </c>
      <c r="AF208">
        <v>0</v>
      </c>
      <c r="AG208">
        <v>0</v>
      </c>
      <c r="AH208">
        <v>0</v>
      </c>
      <c r="AI208">
        <v>0</v>
      </c>
      <c r="AJ208">
        <v>1</v>
      </c>
      <c r="AK208">
        <v>9</v>
      </c>
      <c r="AL208">
        <v>8</v>
      </c>
      <c r="AM208">
        <v>7</v>
      </c>
      <c r="AN208">
        <v>0</v>
      </c>
    </row>
    <row r="209" spans="1:40" x14ac:dyDescent="0.25">
      <c r="A209" t="s">
        <v>1380</v>
      </c>
      <c r="B209" t="s">
        <v>1382</v>
      </c>
      <c r="F209" t="s">
        <v>300</v>
      </c>
      <c r="G209" t="s">
        <v>2964</v>
      </c>
      <c r="H209">
        <v>2013</v>
      </c>
      <c r="I209">
        <v>35</v>
      </c>
      <c r="J209">
        <v>4</v>
      </c>
      <c r="N209">
        <v>882</v>
      </c>
      <c r="O209">
        <v>897</v>
      </c>
      <c r="Q209" t="s">
        <v>2965</v>
      </c>
      <c r="T209">
        <v>25</v>
      </c>
      <c r="U209">
        <v>3.57</v>
      </c>
      <c r="V209">
        <v>0</v>
      </c>
      <c r="W209">
        <v>0</v>
      </c>
      <c r="X209">
        <v>0</v>
      </c>
      <c r="Y209">
        <v>0</v>
      </c>
      <c r="Z209">
        <v>0</v>
      </c>
      <c r="AA209">
        <v>0</v>
      </c>
      <c r="AB209">
        <v>0</v>
      </c>
      <c r="AC209">
        <v>0</v>
      </c>
      <c r="AD209">
        <v>0</v>
      </c>
      <c r="AE209">
        <v>0</v>
      </c>
      <c r="AF209">
        <v>0</v>
      </c>
      <c r="AG209">
        <v>0</v>
      </c>
      <c r="AH209">
        <v>0</v>
      </c>
      <c r="AI209">
        <v>10</v>
      </c>
      <c r="AJ209">
        <v>3</v>
      </c>
      <c r="AK209">
        <v>8</v>
      </c>
      <c r="AL209">
        <v>2</v>
      </c>
      <c r="AM209">
        <v>2</v>
      </c>
      <c r="AN209">
        <v>0</v>
      </c>
    </row>
    <row r="210" spans="1:40" x14ac:dyDescent="0.25">
      <c r="A210" t="s">
        <v>2966</v>
      </c>
      <c r="B210" t="s">
        <v>2967</v>
      </c>
      <c r="F210" t="s">
        <v>2968</v>
      </c>
      <c r="G210" t="s">
        <v>2572</v>
      </c>
      <c r="H210">
        <v>2008</v>
      </c>
      <c r="I210">
        <v>9</v>
      </c>
      <c r="N210">
        <v>2549</v>
      </c>
      <c r="O210">
        <v>2578</v>
      </c>
      <c r="T210">
        <v>25</v>
      </c>
      <c r="U210">
        <v>2.08</v>
      </c>
      <c r="V210">
        <v>0</v>
      </c>
      <c r="W210">
        <v>0</v>
      </c>
      <c r="X210">
        <v>0</v>
      </c>
      <c r="Y210">
        <v>0</v>
      </c>
      <c r="Z210">
        <v>0</v>
      </c>
      <c r="AA210">
        <v>0</v>
      </c>
      <c r="AB210">
        <v>0</v>
      </c>
      <c r="AC210">
        <v>0</v>
      </c>
      <c r="AD210">
        <v>2</v>
      </c>
      <c r="AE210">
        <v>1</v>
      </c>
      <c r="AF210">
        <v>3</v>
      </c>
      <c r="AG210">
        <v>5</v>
      </c>
      <c r="AH210">
        <v>3</v>
      </c>
      <c r="AI210">
        <v>4</v>
      </c>
      <c r="AJ210">
        <v>2</v>
      </c>
      <c r="AK210">
        <v>1</v>
      </c>
      <c r="AL210">
        <v>2</v>
      </c>
      <c r="AM210">
        <v>2</v>
      </c>
      <c r="AN210">
        <v>0</v>
      </c>
    </row>
    <row r="211" spans="1:40" x14ac:dyDescent="0.25">
      <c r="A211" t="s">
        <v>2969</v>
      </c>
      <c r="B211" t="s">
        <v>2970</v>
      </c>
      <c r="F211" t="s">
        <v>300</v>
      </c>
      <c r="G211" t="s">
        <v>2971</v>
      </c>
      <c r="H211">
        <v>2004</v>
      </c>
      <c r="I211">
        <v>26</v>
      </c>
      <c r="J211">
        <v>11</v>
      </c>
      <c r="N211">
        <v>1507</v>
      </c>
      <c r="O211">
        <v>1520</v>
      </c>
      <c r="Q211" t="s">
        <v>2972</v>
      </c>
      <c r="T211">
        <v>25</v>
      </c>
      <c r="U211">
        <v>1.56</v>
      </c>
      <c r="V211">
        <v>0</v>
      </c>
      <c r="W211">
        <v>0</v>
      </c>
      <c r="X211">
        <v>0</v>
      </c>
      <c r="Y211">
        <v>0</v>
      </c>
      <c r="Z211">
        <v>1</v>
      </c>
      <c r="AA211">
        <v>3</v>
      </c>
      <c r="AB211">
        <v>4</v>
      </c>
      <c r="AC211">
        <v>2</v>
      </c>
      <c r="AD211">
        <v>2</v>
      </c>
      <c r="AE211">
        <v>2</v>
      </c>
      <c r="AF211">
        <v>2</v>
      </c>
      <c r="AG211">
        <v>1</v>
      </c>
      <c r="AH211">
        <v>2</v>
      </c>
      <c r="AI211">
        <v>3</v>
      </c>
      <c r="AJ211">
        <v>1</v>
      </c>
      <c r="AK211">
        <v>0</v>
      </c>
      <c r="AL211">
        <v>1</v>
      </c>
      <c r="AM211">
        <v>1</v>
      </c>
      <c r="AN211">
        <v>0</v>
      </c>
    </row>
    <row r="212" spans="1:40" x14ac:dyDescent="0.25">
      <c r="A212" t="s">
        <v>1004</v>
      </c>
      <c r="B212" t="s">
        <v>1006</v>
      </c>
      <c r="F212" t="s">
        <v>301</v>
      </c>
      <c r="G212" t="s">
        <v>2973</v>
      </c>
      <c r="H212">
        <v>2004</v>
      </c>
      <c r="I212">
        <v>4</v>
      </c>
      <c r="J212">
        <v>2</v>
      </c>
      <c r="N212">
        <v>175</v>
      </c>
      <c r="O212">
        <v>201</v>
      </c>
      <c r="Q212" t="s">
        <v>2974</v>
      </c>
      <c r="T212">
        <v>25</v>
      </c>
      <c r="U212">
        <v>1.56</v>
      </c>
      <c r="V212">
        <v>0</v>
      </c>
      <c r="W212">
        <v>0</v>
      </c>
      <c r="X212">
        <v>0</v>
      </c>
      <c r="Y212">
        <v>0</v>
      </c>
      <c r="Z212">
        <v>2</v>
      </c>
      <c r="AA212">
        <v>1</v>
      </c>
      <c r="AB212">
        <v>2</v>
      </c>
      <c r="AC212">
        <v>2</v>
      </c>
      <c r="AD212">
        <v>4</v>
      </c>
      <c r="AE212">
        <v>1</v>
      </c>
      <c r="AF212">
        <v>3</v>
      </c>
      <c r="AG212">
        <v>3</v>
      </c>
      <c r="AH212">
        <v>2</v>
      </c>
      <c r="AI212">
        <v>1</v>
      </c>
      <c r="AJ212">
        <v>1</v>
      </c>
      <c r="AK212">
        <v>2</v>
      </c>
      <c r="AL212">
        <v>1</v>
      </c>
      <c r="AM212">
        <v>0</v>
      </c>
      <c r="AN212">
        <v>0</v>
      </c>
    </row>
    <row r="213" spans="1:40" x14ac:dyDescent="0.25">
      <c r="A213" t="s">
        <v>2975</v>
      </c>
      <c r="B213" t="s">
        <v>2976</v>
      </c>
      <c r="F213" t="s">
        <v>320</v>
      </c>
      <c r="G213" t="s">
        <v>2973</v>
      </c>
      <c r="H213">
        <v>2004</v>
      </c>
      <c r="I213">
        <v>16</v>
      </c>
      <c r="J213">
        <v>5</v>
      </c>
      <c r="N213">
        <v>1013</v>
      </c>
      <c r="O213">
        <v>1037</v>
      </c>
      <c r="Q213" t="s">
        <v>2977</v>
      </c>
      <c r="T213">
        <v>25</v>
      </c>
      <c r="U213">
        <v>1.56</v>
      </c>
      <c r="V213">
        <v>0</v>
      </c>
      <c r="W213">
        <v>0</v>
      </c>
      <c r="X213">
        <v>0</v>
      </c>
      <c r="Y213">
        <v>2</v>
      </c>
      <c r="Z213">
        <v>1</v>
      </c>
      <c r="AA213">
        <v>1</v>
      </c>
      <c r="AB213">
        <v>5</v>
      </c>
      <c r="AC213">
        <v>1</v>
      </c>
      <c r="AD213">
        <v>2</v>
      </c>
      <c r="AE213">
        <v>2</v>
      </c>
      <c r="AF213">
        <v>1</v>
      </c>
      <c r="AG213">
        <v>1</v>
      </c>
      <c r="AH213">
        <v>1</v>
      </c>
      <c r="AI213">
        <v>3</v>
      </c>
      <c r="AJ213">
        <v>1</v>
      </c>
      <c r="AK213">
        <v>3</v>
      </c>
      <c r="AL213">
        <v>1</v>
      </c>
      <c r="AM213">
        <v>0</v>
      </c>
      <c r="AN213">
        <v>0</v>
      </c>
    </row>
    <row r="214" spans="1:40" x14ac:dyDescent="0.25">
      <c r="A214" t="s">
        <v>2978</v>
      </c>
      <c r="B214" t="s">
        <v>2979</v>
      </c>
      <c r="F214" t="s">
        <v>300</v>
      </c>
      <c r="G214" t="s">
        <v>2980</v>
      </c>
      <c r="H214">
        <v>2003</v>
      </c>
      <c r="I214">
        <v>25</v>
      </c>
      <c r="J214">
        <v>3</v>
      </c>
      <c r="N214">
        <v>379</v>
      </c>
      <c r="O214">
        <v>384</v>
      </c>
      <c r="Q214" t="s">
        <v>2981</v>
      </c>
      <c r="T214">
        <v>25</v>
      </c>
      <c r="U214">
        <v>1.47</v>
      </c>
      <c r="V214">
        <v>0</v>
      </c>
      <c r="W214">
        <v>0</v>
      </c>
      <c r="X214">
        <v>2</v>
      </c>
      <c r="Y214">
        <v>3</v>
      </c>
      <c r="Z214">
        <v>1</v>
      </c>
      <c r="AA214">
        <v>3</v>
      </c>
      <c r="AB214">
        <v>2</v>
      </c>
      <c r="AC214">
        <v>2</v>
      </c>
      <c r="AD214">
        <v>1</v>
      </c>
      <c r="AE214">
        <v>5</v>
      </c>
      <c r="AF214">
        <v>2</v>
      </c>
      <c r="AG214">
        <v>0</v>
      </c>
      <c r="AH214">
        <v>2</v>
      </c>
      <c r="AI214">
        <v>0</v>
      </c>
      <c r="AJ214">
        <v>1</v>
      </c>
      <c r="AK214">
        <v>1</v>
      </c>
      <c r="AL214">
        <v>0</v>
      </c>
      <c r="AM214">
        <v>0</v>
      </c>
      <c r="AN214">
        <v>0</v>
      </c>
    </row>
    <row r="215" spans="1:40" x14ac:dyDescent="0.25">
      <c r="A215" t="s">
        <v>2982</v>
      </c>
      <c r="B215" t="s">
        <v>2983</v>
      </c>
      <c r="F215" t="s">
        <v>308</v>
      </c>
      <c r="G215" t="s">
        <v>2856</v>
      </c>
      <c r="H215">
        <v>2015</v>
      </c>
      <c r="I215">
        <v>48</v>
      </c>
      <c r="J215">
        <v>11</v>
      </c>
      <c r="M215" t="s">
        <v>1948</v>
      </c>
      <c r="N215">
        <v>3488</v>
      </c>
      <c r="O215">
        <v>3503</v>
      </c>
      <c r="Q215" t="s">
        <v>2984</v>
      </c>
      <c r="T215">
        <v>24</v>
      </c>
      <c r="U215">
        <v>4.8</v>
      </c>
      <c r="V215">
        <v>0</v>
      </c>
      <c r="W215">
        <v>0</v>
      </c>
      <c r="X215">
        <v>0</v>
      </c>
      <c r="Y215">
        <v>0</v>
      </c>
      <c r="Z215">
        <v>0</v>
      </c>
      <c r="AA215">
        <v>0</v>
      </c>
      <c r="AB215">
        <v>0</v>
      </c>
      <c r="AC215">
        <v>0</v>
      </c>
      <c r="AD215">
        <v>0</v>
      </c>
      <c r="AE215">
        <v>0</v>
      </c>
      <c r="AF215">
        <v>0</v>
      </c>
      <c r="AG215">
        <v>0</v>
      </c>
      <c r="AH215">
        <v>0</v>
      </c>
      <c r="AI215">
        <v>0</v>
      </c>
      <c r="AJ215">
        <v>0</v>
      </c>
      <c r="AK215">
        <v>2</v>
      </c>
      <c r="AL215">
        <v>5</v>
      </c>
      <c r="AM215">
        <v>16</v>
      </c>
      <c r="AN215">
        <v>1</v>
      </c>
    </row>
    <row r="216" spans="1:40" x14ac:dyDescent="0.25">
      <c r="A216" t="s">
        <v>1659</v>
      </c>
      <c r="B216" t="s">
        <v>1661</v>
      </c>
      <c r="F216" t="s">
        <v>306</v>
      </c>
      <c r="G216" t="s">
        <v>2985</v>
      </c>
      <c r="H216">
        <v>2015</v>
      </c>
      <c r="I216">
        <v>151</v>
      </c>
      <c r="K216">
        <v>3</v>
      </c>
      <c r="N216">
        <v>1006</v>
      </c>
      <c r="O216">
        <v>1014</v>
      </c>
      <c r="Q216" t="s">
        <v>2986</v>
      </c>
      <c r="T216">
        <v>24</v>
      </c>
      <c r="U216">
        <v>4.8</v>
      </c>
      <c r="V216">
        <v>0</v>
      </c>
      <c r="W216">
        <v>0</v>
      </c>
      <c r="X216">
        <v>0</v>
      </c>
      <c r="Y216">
        <v>0</v>
      </c>
      <c r="Z216">
        <v>0</v>
      </c>
      <c r="AA216">
        <v>0</v>
      </c>
      <c r="AB216">
        <v>0</v>
      </c>
      <c r="AC216">
        <v>0</v>
      </c>
      <c r="AD216">
        <v>0</v>
      </c>
      <c r="AE216">
        <v>0</v>
      </c>
      <c r="AF216">
        <v>0</v>
      </c>
      <c r="AG216">
        <v>0</v>
      </c>
      <c r="AH216">
        <v>0</v>
      </c>
      <c r="AI216">
        <v>0</v>
      </c>
      <c r="AJ216">
        <v>3</v>
      </c>
      <c r="AK216">
        <v>4</v>
      </c>
      <c r="AL216">
        <v>9</v>
      </c>
      <c r="AM216">
        <v>8</v>
      </c>
      <c r="AN216">
        <v>0</v>
      </c>
    </row>
    <row r="217" spans="1:40" x14ac:dyDescent="0.25">
      <c r="A217" t="s">
        <v>2987</v>
      </c>
      <c r="B217" t="s">
        <v>2988</v>
      </c>
      <c r="F217" t="s">
        <v>313</v>
      </c>
      <c r="G217" t="s">
        <v>2989</v>
      </c>
      <c r="H217">
        <v>2015</v>
      </c>
      <c r="I217">
        <v>42</v>
      </c>
      <c r="J217">
        <v>3</v>
      </c>
      <c r="N217">
        <v>1446</v>
      </c>
      <c r="O217">
        <v>1464</v>
      </c>
      <c r="Q217" t="s">
        <v>2990</v>
      </c>
      <c r="T217">
        <v>24</v>
      </c>
      <c r="U217">
        <v>4.8</v>
      </c>
      <c r="V217">
        <v>0</v>
      </c>
      <c r="W217">
        <v>0</v>
      </c>
      <c r="X217">
        <v>0</v>
      </c>
      <c r="Y217">
        <v>0</v>
      </c>
      <c r="Z217">
        <v>0</v>
      </c>
      <c r="AA217">
        <v>0</v>
      </c>
      <c r="AB217">
        <v>0</v>
      </c>
      <c r="AC217">
        <v>0</v>
      </c>
      <c r="AD217">
        <v>0</v>
      </c>
      <c r="AE217">
        <v>0</v>
      </c>
      <c r="AF217">
        <v>0</v>
      </c>
      <c r="AG217">
        <v>0</v>
      </c>
      <c r="AH217">
        <v>0</v>
      </c>
      <c r="AI217">
        <v>1</v>
      </c>
      <c r="AJ217">
        <v>1</v>
      </c>
      <c r="AK217">
        <v>8</v>
      </c>
      <c r="AL217">
        <v>8</v>
      </c>
      <c r="AM217">
        <v>5</v>
      </c>
      <c r="AN217">
        <v>1</v>
      </c>
    </row>
    <row r="218" spans="1:40" x14ac:dyDescent="0.25">
      <c r="A218" t="s">
        <v>2991</v>
      </c>
      <c r="B218" t="s">
        <v>2992</v>
      </c>
      <c r="F218" t="s">
        <v>2787</v>
      </c>
      <c r="G218" t="s">
        <v>2626</v>
      </c>
      <c r="H218">
        <v>2012</v>
      </c>
      <c r="I218">
        <v>16</v>
      </c>
      <c r="J218">
        <v>9</v>
      </c>
      <c r="M218" t="s">
        <v>1948</v>
      </c>
      <c r="N218">
        <v>1525</v>
      </c>
      <c r="O218">
        <v>1537</v>
      </c>
      <c r="Q218" t="s">
        <v>2993</v>
      </c>
      <c r="T218">
        <v>24</v>
      </c>
      <c r="U218">
        <v>3</v>
      </c>
      <c r="V218">
        <v>0</v>
      </c>
      <c r="W218">
        <v>0</v>
      </c>
      <c r="X218">
        <v>0</v>
      </c>
      <c r="Y218">
        <v>0</v>
      </c>
      <c r="Z218">
        <v>0</v>
      </c>
      <c r="AA218">
        <v>0</v>
      </c>
      <c r="AB218">
        <v>0</v>
      </c>
      <c r="AC218">
        <v>0</v>
      </c>
      <c r="AD218">
        <v>0</v>
      </c>
      <c r="AE218">
        <v>0</v>
      </c>
      <c r="AF218">
        <v>0</v>
      </c>
      <c r="AG218">
        <v>1</v>
      </c>
      <c r="AH218">
        <v>3</v>
      </c>
      <c r="AI218">
        <v>4</v>
      </c>
      <c r="AJ218">
        <v>6</v>
      </c>
      <c r="AK218">
        <v>6</v>
      </c>
      <c r="AL218">
        <v>1</v>
      </c>
      <c r="AM218">
        <v>3</v>
      </c>
      <c r="AN218">
        <v>0</v>
      </c>
    </row>
    <row r="219" spans="1:40" x14ac:dyDescent="0.25">
      <c r="A219" t="s">
        <v>1542</v>
      </c>
      <c r="B219" t="s">
        <v>1544</v>
      </c>
      <c r="F219" t="s">
        <v>331</v>
      </c>
      <c r="G219" t="s">
        <v>2728</v>
      </c>
      <c r="H219">
        <v>2011</v>
      </c>
      <c r="I219">
        <v>2</v>
      </c>
      <c r="J219">
        <v>2</v>
      </c>
      <c r="N219">
        <v>89</v>
      </c>
      <c r="O219">
        <v>98</v>
      </c>
      <c r="Q219" t="s">
        <v>2994</v>
      </c>
      <c r="T219">
        <v>24</v>
      </c>
      <c r="U219">
        <v>2.67</v>
      </c>
      <c r="V219">
        <v>0</v>
      </c>
      <c r="W219">
        <v>0</v>
      </c>
      <c r="X219">
        <v>0</v>
      </c>
      <c r="Y219">
        <v>0</v>
      </c>
      <c r="Z219">
        <v>0</v>
      </c>
      <c r="AA219">
        <v>0</v>
      </c>
      <c r="AB219">
        <v>0</v>
      </c>
      <c r="AC219">
        <v>0</v>
      </c>
      <c r="AD219">
        <v>0</v>
      </c>
      <c r="AE219">
        <v>0</v>
      </c>
      <c r="AF219">
        <v>0</v>
      </c>
      <c r="AG219">
        <v>4</v>
      </c>
      <c r="AH219">
        <v>3</v>
      </c>
      <c r="AI219">
        <v>6</v>
      </c>
      <c r="AJ219">
        <v>3</v>
      </c>
      <c r="AK219">
        <v>4</v>
      </c>
      <c r="AL219">
        <v>2</v>
      </c>
      <c r="AM219">
        <v>2</v>
      </c>
      <c r="AN219">
        <v>0</v>
      </c>
    </row>
    <row r="220" spans="1:40" x14ac:dyDescent="0.25">
      <c r="A220" t="s">
        <v>1422</v>
      </c>
      <c r="B220" t="s">
        <v>1424</v>
      </c>
      <c r="F220" t="s">
        <v>310</v>
      </c>
      <c r="G220" t="s">
        <v>2995</v>
      </c>
      <c r="H220">
        <v>2008</v>
      </c>
      <c r="I220">
        <v>2</v>
      </c>
      <c r="J220">
        <v>4</v>
      </c>
      <c r="N220">
        <v>236</v>
      </c>
      <c r="O220">
        <v>246</v>
      </c>
      <c r="Q220" t="s">
        <v>2996</v>
      </c>
      <c r="R220" t="s">
        <v>2997</v>
      </c>
      <c r="S220">
        <v>2007</v>
      </c>
      <c r="T220">
        <v>24</v>
      </c>
      <c r="U220">
        <v>2</v>
      </c>
      <c r="V220">
        <v>0</v>
      </c>
      <c r="W220">
        <v>0</v>
      </c>
      <c r="X220">
        <v>0</v>
      </c>
      <c r="Y220">
        <v>0</v>
      </c>
      <c r="Z220">
        <v>0</v>
      </c>
      <c r="AA220">
        <v>0</v>
      </c>
      <c r="AB220">
        <v>0</v>
      </c>
      <c r="AC220">
        <v>0</v>
      </c>
      <c r="AD220">
        <v>1</v>
      </c>
      <c r="AE220">
        <v>3</v>
      </c>
      <c r="AF220">
        <v>1</v>
      </c>
      <c r="AG220">
        <v>3</v>
      </c>
      <c r="AH220">
        <v>2</v>
      </c>
      <c r="AI220">
        <v>3</v>
      </c>
      <c r="AJ220">
        <v>3</v>
      </c>
      <c r="AK220">
        <v>3</v>
      </c>
      <c r="AL220">
        <v>5</v>
      </c>
      <c r="AM220">
        <v>0</v>
      </c>
      <c r="AN220">
        <v>0</v>
      </c>
    </row>
    <row r="221" spans="1:40" x14ac:dyDescent="0.25">
      <c r="A221" t="s">
        <v>2998</v>
      </c>
      <c r="B221" t="s">
        <v>2999</v>
      </c>
      <c r="F221" t="s">
        <v>298</v>
      </c>
      <c r="G221" t="s">
        <v>3000</v>
      </c>
      <c r="H221">
        <v>2003</v>
      </c>
      <c r="I221">
        <v>89</v>
      </c>
      <c r="J221">
        <v>1</v>
      </c>
      <c r="N221">
        <v>70</v>
      </c>
      <c r="O221">
        <v>107</v>
      </c>
      <c r="Q221" t="s">
        <v>3001</v>
      </c>
      <c r="T221">
        <v>24</v>
      </c>
      <c r="U221">
        <v>1.41</v>
      </c>
      <c r="V221">
        <v>0</v>
      </c>
      <c r="W221">
        <v>0</v>
      </c>
      <c r="X221">
        <v>1</v>
      </c>
      <c r="Y221">
        <v>1</v>
      </c>
      <c r="Z221">
        <v>6</v>
      </c>
      <c r="AA221">
        <v>1</v>
      </c>
      <c r="AB221">
        <v>1</v>
      </c>
      <c r="AC221">
        <v>3</v>
      </c>
      <c r="AD221">
        <v>1</v>
      </c>
      <c r="AE221">
        <v>1</v>
      </c>
      <c r="AF221">
        <v>4</v>
      </c>
      <c r="AG221">
        <v>2</v>
      </c>
      <c r="AH221">
        <v>0</v>
      </c>
      <c r="AI221">
        <v>0</v>
      </c>
      <c r="AJ221">
        <v>3</v>
      </c>
      <c r="AK221">
        <v>0</v>
      </c>
      <c r="AL221">
        <v>0</v>
      </c>
      <c r="AM221">
        <v>0</v>
      </c>
      <c r="AN221">
        <v>0</v>
      </c>
    </row>
    <row r="222" spans="1:40" x14ac:dyDescent="0.25">
      <c r="A222" t="s">
        <v>3002</v>
      </c>
      <c r="B222" t="s">
        <v>3003</v>
      </c>
      <c r="F222" t="s">
        <v>306</v>
      </c>
      <c r="G222" t="s">
        <v>3000</v>
      </c>
      <c r="H222">
        <v>2003</v>
      </c>
      <c r="I222">
        <v>50</v>
      </c>
      <c r="N222">
        <v>341</v>
      </c>
      <c r="O222">
        <v>364</v>
      </c>
      <c r="P222" t="s">
        <v>3004</v>
      </c>
      <c r="Q222" t="s">
        <v>3005</v>
      </c>
      <c r="T222">
        <v>24</v>
      </c>
      <c r="U222">
        <v>1.41</v>
      </c>
      <c r="V222">
        <v>0</v>
      </c>
      <c r="W222">
        <v>0</v>
      </c>
      <c r="X222">
        <v>2</v>
      </c>
      <c r="Y222">
        <v>0</v>
      </c>
      <c r="Z222">
        <v>4</v>
      </c>
      <c r="AA222">
        <v>2</v>
      </c>
      <c r="AB222">
        <v>4</v>
      </c>
      <c r="AC222">
        <v>4</v>
      </c>
      <c r="AD222">
        <v>2</v>
      </c>
      <c r="AE222">
        <v>1</v>
      </c>
      <c r="AF222">
        <v>1</v>
      </c>
      <c r="AG222">
        <v>0</v>
      </c>
      <c r="AH222">
        <v>2</v>
      </c>
      <c r="AI222">
        <v>1</v>
      </c>
      <c r="AJ222">
        <v>0</v>
      </c>
      <c r="AK222">
        <v>0</v>
      </c>
      <c r="AL222">
        <v>0</v>
      </c>
      <c r="AM222">
        <v>1</v>
      </c>
      <c r="AN222">
        <v>0</v>
      </c>
    </row>
    <row r="223" spans="1:40" x14ac:dyDescent="0.25">
      <c r="A223" t="s">
        <v>3006</v>
      </c>
      <c r="B223" t="s">
        <v>3007</v>
      </c>
      <c r="E223" t="s">
        <v>3008</v>
      </c>
      <c r="F223" t="s">
        <v>3009</v>
      </c>
      <c r="G223">
        <v>2002</v>
      </c>
      <c r="H223">
        <v>2002</v>
      </c>
      <c r="I223">
        <v>2388</v>
      </c>
      <c r="N223">
        <v>334</v>
      </c>
      <c r="O223">
        <v>341</v>
      </c>
      <c r="R223" t="s">
        <v>3010</v>
      </c>
      <c r="S223" t="s">
        <v>3011</v>
      </c>
      <c r="T223">
        <v>24</v>
      </c>
      <c r="U223">
        <v>1.33</v>
      </c>
      <c r="V223">
        <v>0</v>
      </c>
      <c r="W223">
        <v>0</v>
      </c>
      <c r="X223">
        <v>2</v>
      </c>
      <c r="Y223">
        <v>1</v>
      </c>
      <c r="Z223">
        <v>1</v>
      </c>
      <c r="AA223">
        <v>1</v>
      </c>
      <c r="AB223">
        <v>1</v>
      </c>
      <c r="AC223">
        <v>0</v>
      </c>
      <c r="AD223">
        <v>3</v>
      </c>
      <c r="AE223">
        <v>3</v>
      </c>
      <c r="AF223">
        <v>6</v>
      </c>
      <c r="AG223">
        <v>0</v>
      </c>
      <c r="AH223">
        <v>2</v>
      </c>
      <c r="AI223">
        <v>1</v>
      </c>
      <c r="AJ223">
        <v>0</v>
      </c>
      <c r="AK223">
        <v>0</v>
      </c>
      <c r="AL223">
        <v>2</v>
      </c>
      <c r="AM223">
        <v>1</v>
      </c>
      <c r="AN223">
        <v>0</v>
      </c>
    </row>
    <row r="224" spans="1:40" x14ac:dyDescent="0.25">
      <c r="A224" t="s">
        <v>3012</v>
      </c>
      <c r="B224" t="s">
        <v>3013</v>
      </c>
      <c r="F224" t="s">
        <v>305</v>
      </c>
      <c r="G224" t="s">
        <v>3014</v>
      </c>
      <c r="H224">
        <v>2015</v>
      </c>
      <c r="I224">
        <v>51</v>
      </c>
      <c r="N224">
        <v>16</v>
      </c>
      <c r="O224">
        <v>22</v>
      </c>
      <c r="Q224" t="s">
        <v>3015</v>
      </c>
      <c r="T224">
        <v>23</v>
      </c>
      <c r="U224">
        <v>4.5999999999999996</v>
      </c>
      <c r="V224">
        <v>0</v>
      </c>
      <c r="W224">
        <v>0</v>
      </c>
      <c r="X224">
        <v>0</v>
      </c>
      <c r="Y224">
        <v>0</v>
      </c>
      <c r="Z224">
        <v>0</v>
      </c>
      <c r="AA224">
        <v>0</v>
      </c>
      <c r="AB224">
        <v>0</v>
      </c>
      <c r="AC224">
        <v>0</v>
      </c>
      <c r="AD224">
        <v>0</v>
      </c>
      <c r="AE224">
        <v>0</v>
      </c>
      <c r="AF224">
        <v>0</v>
      </c>
      <c r="AG224">
        <v>0</v>
      </c>
      <c r="AH224">
        <v>0</v>
      </c>
      <c r="AI224">
        <v>0</v>
      </c>
      <c r="AJ224">
        <v>3</v>
      </c>
      <c r="AK224">
        <v>5</v>
      </c>
      <c r="AL224">
        <v>8</v>
      </c>
      <c r="AM224">
        <v>7</v>
      </c>
      <c r="AN224">
        <v>0</v>
      </c>
    </row>
    <row r="225" spans="1:40" x14ac:dyDescent="0.25">
      <c r="A225" t="s">
        <v>3016</v>
      </c>
      <c r="B225" t="s">
        <v>3017</v>
      </c>
      <c r="F225" t="s">
        <v>300</v>
      </c>
      <c r="G225" t="s">
        <v>2479</v>
      </c>
      <c r="H225">
        <v>2013</v>
      </c>
      <c r="I225">
        <v>35</v>
      </c>
      <c r="J225">
        <v>3</v>
      </c>
      <c r="N225">
        <v>728</v>
      </c>
      <c r="O225">
        <v>739</v>
      </c>
      <c r="Q225" t="s">
        <v>3018</v>
      </c>
      <c r="T225">
        <v>23</v>
      </c>
      <c r="U225">
        <v>3.29</v>
      </c>
      <c r="V225">
        <v>0</v>
      </c>
      <c r="W225">
        <v>0</v>
      </c>
      <c r="X225">
        <v>0</v>
      </c>
      <c r="Y225">
        <v>0</v>
      </c>
      <c r="Z225">
        <v>0</v>
      </c>
      <c r="AA225">
        <v>0</v>
      </c>
      <c r="AB225">
        <v>0</v>
      </c>
      <c r="AC225">
        <v>0</v>
      </c>
      <c r="AD225">
        <v>0</v>
      </c>
      <c r="AE225">
        <v>0</v>
      </c>
      <c r="AF225">
        <v>0</v>
      </c>
      <c r="AG225">
        <v>0</v>
      </c>
      <c r="AH225">
        <v>2</v>
      </c>
      <c r="AI225">
        <v>6</v>
      </c>
      <c r="AJ225">
        <v>2</v>
      </c>
      <c r="AK225">
        <v>4</v>
      </c>
      <c r="AL225">
        <v>7</v>
      </c>
      <c r="AM225">
        <v>2</v>
      </c>
      <c r="AN225">
        <v>0</v>
      </c>
    </row>
    <row r="226" spans="1:40" x14ac:dyDescent="0.25">
      <c r="A226" t="s">
        <v>3019</v>
      </c>
      <c r="B226" t="s">
        <v>3020</v>
      </c>
      <c r="F226" t="s">
        <v>300</v>
      </c>
      <c r="G226" t="s">
        <v>2515</v>
      </c>
      <c r="H226">
        <v>2012</v>
      </c>
      <c r="I226">
        <v>34</v>
      </c>
      <c r="J226">
        <v>11</v>
      </c>
      <c r="N226">
        <v>2177</v>
      </c>
      <c r="O226">
        <v>2188</v>
      </c>
      <c r="Q226" t="s">
        <v>3021</v>
      </c>
      <c r="T226">
        <v>23</v>
      </c>
      <c r="U226">
        <v>2.88</v>
      </c>
      <c r="V226">
        <v>0</v>
      </c>
      <c r="W226">
        <v>0</v>
      </c>
      <c r="X226">
        <v>0</v>
      </c>
      <c r="Y226">
        <v>0</v>
      </c>
      <c r="Z226">
        <v>0</v>
      </c>
      <c r="AA226">
        <v>0</v>
      </c>
      <c r="AB226">
        <v>0</v>
      </c>
      <c r="AC226">
        <v>0</v>
      </c>
      <c r="AD226">
        <v>0</v>
      </c>
      <c r="AE226">
        <v>0</v>
      </c>
      <c r="AF226">
        <v>0</v>
      </c>
      <c r="AG226">
        <v>0</v>
      </c>
      <c r="AH226">
        <v>3</v>
      </c>
      <c r="AI226">
        <v>5</v>
      </c>
      <c r="AJ226">
        <v>7</v>
      </c>
      <c r="AK226">
        <v>4</v>
      </c>
      <c r="AL226">
        <v>4</v>
      </c>
      <c r="AM226">
        <v>0</v>
      </c>
      <c r="AN226">
        <v>0</v>
      </c>
    </row>
    <row r="227" spans="1:40" x14ac:dyDescent="0.25">
      <c r="A227" t="s">
        <v>3022</v>
      </c>
      <c r="B227" t="s">
        <v>1508</v>
      </c>
      <c r="F227" t="s">
        <v>311</v>
      </c>
      <c r="G227" t="s">
        <v>2441</v>
      </c>
      <c r="H227">
        <v>2009</v>
      </c>
      <c r="I227">
        <v>18</v>
      </c>
      <c r="J227">
        <v>1</v>
      </c>
      <c r="N227">
        <v>188</v>
      </c>
      <c r="O227">
        <v>201</v>
      </c>
      <c r="Q227" t="s">
        <v>3023</v>
      </c>
      <c r="T227">
        <v>23</v>
      </c>
      <c r="U227">
        <v>2.09</v>
      </c>
      <c r="V227">
        <v>0</v>
      </c>
      <c r="W227">
        <v>0</v>
      </c>
      <c r="X227">
        <v>0</v>
      </c>
      <c r="Y227">
        <v>0</v>
      </c>
      <c r="Z227">
        <v>0</v>
      </c>
      <c r="AA227">
        <v>0</v>
      </c>
      <c r="AB227">
        <v>0</v>
      </c>
      <c r="AC227">
        <v>0</v>
      </c>
      <c r="AD227">
        <v>1</v>
      </c>
      <c r="AE227">
        <v>0</v>
      </c>
      <c r="AF227">
        <v>4</v>
      </c>
      <c r="AG227">
        <v>4</v>
      </c>
      <c r="AH227">
        <v>4</v>
      </c>
      <c r="AI227">
        <v>3</v>
      </c>
      <c r="AJ227">
        <v>1</v>
      </c>
      <c r="AK227">
        <v>1</v>
      </c>
      <c r="AL227">
        <v>4</v>
      </c>
      <c r="AM227">
        <v>1</v>
      </c>
      <c r="AN227">
        <v>0</v>
      </c>
    </row>
    <row r="228" spans="1:40" x14ac:dyDescent="0.25">
      <c r="A228" t="s">
        <v>3024</v>
      </c>
      <c r="B228" t="s">
        <v>3025</v>
      </c>
      <c r="F228" t="s">
        <v>300</v>
      </c>
      <c r="G228" t="s">
        <v>2856</v>
      </c>
      <c r="H228">
        <v>2015</v>
      </c>
      <c r="I228">
        <v>37</v>
      </c>
      <c r="J228">
        <v>11</v>
      </c>
      <c r="N228">
        <v>2232</v>
      </c>
      <c r="O228">
        <v>2245</v>
      </c>
      <c r="Q228" t="s">
        <v>3026</v>
      </c>
      <c r="T228">
        <v>22</v>
      </c>
      <c r="U228">
        <v>4.4000000000000004</v>
      </c>
      <c r="V228">
        <v>0</v>
      </c>
      <c r="W228">
        <v>0</v>
      </c>
      <c r="X228">
        <v>0</v>
      </c>
      <c r="Y228">
        <v>0</v>
      </c>
      <c r="Z228">
        <v>0</v>
      </c>
      <c r="AA228">
        <v>0</v>
      </c>
      <c r="AB228">
        <v>0</v>
      </c>
      <c r="AC228">
        <v>0</v>
      </c>
      <c r="AD228">
        <v>0</v>
      </c>
      <c r="AE228">
        <v>0</v>
      </c>
      <c r="AF228">
        <v>0</v>
      </c>
      <c r="AG228">
        <v>0</v>
      </c>
      <c r="AH228">
        <v>0</v>
      </c>
      <c r="AI228">
        <v>0</v>
      </c>
      <c r="AJ228">
        <v>0</v>
      </c>
      <c r="AK228">
        <v>9</v>
      </c>
      <c r="AL228">
        <v>6</v>
      </c>
      <c r="AM228">
        <v>6</v>
      </c>
      <c r="AN228">
        <v>1</v>
      </c>
    </row>
    <row r="229" spans="1:40" x14ac:dyDescent="0.25">
      <c r="A229" t="s">
        <v>3027</v>
      </c>
      <c r="B229" t="s">
        <v>3028</v>
      </c>
      <c r="F229" t="s">
        <v>313</v>
      </c>
      <c r="G229" t="s">
        <v>3029</v>
      </c>
      <c r="H229">
        <v>2013</v>
      </c>
      <c r="I229">
        <v>40</v>
      </c>
      <c r="J229">
        <v>16</v>
      </c>
      <c r="N229">
        <v>6359</v>
      </c>
      <c r="O229">
        <v>6373</v>
      </c>
      <c r="Q229" t="s">
        <v>3030</v>
      </c>
      <c r="T229">
        <v>22</v>
      </c>
      <c r="U229">
        <v>3.14</v>
      </c>
      <c r="V229">
        <v>0</v>
      </c>
      <c r="W229">
        <v>0</v>
      </c>
      <c r="X229">
        <v>0</v>
      </c>
      <c r="Y229">
        <v>0</v>
      </c>
      <c r="Z229">
        <v>0</v>
      </c>
      <c r="AA229">
        <v>0</v>
      </c>
      <c r="AB229">
        <v>0</v>
      </c>
      <c r="AC229">
        <v>0</v>
      </c>
      <c r="AD229">
        <v>0</v>
      </c>
      <c r="AE229">
        <v>0</v>
      </c>
      <c r="AF229">
        <v>0</v>
      </c>
      <c r="AG229">
        <v>0</v>
      </c>
      <c r="AH229">
        <v>0</v>
      </c>
      <c r="AI229">
        <v>3</v>
      </c>
      <c r="AJ229">
        <v>3</v>
      </c>
      <c r="AK229">
        <v>2</v>
      </c>
      <c r="AL229">
        <v>11</v>
      </c>
      <c r="AM229">
        <v>1</v>
      </c>
      <c r="AN229">
        <v>2</v>
      </c>
    </row>
    <row r="230" spans="1:40" x14ac:dyDescent="0.25">
      <c r="A230" t="s">
        <v>1129</v>
      </c>
      <c r="B230" t="s">
        <v>1131</v>
      </c>
      <c r="F230" t="s">
        <v>311</v>
      </c>
      <c r="G230" t="s">
        <v>3031</v>
      </c>
      <c r="H230">
        <v>2010</v>
      </c>
      <c r="I230">
        <v>19</v>
      </c>
      <c r="J230">
        <v>10</v>
      </c>
      <c r="N230">
        <v>2595</v>
      </c>
      <c r="O230">
        <v>2613</v>
      </c>
      <c r="Q230" t="s">
        <v>3032</v>
      </c>
      <c r="T230">
        <v>22</v>
      </c>
      <c r="U230">
        <v>2.2000000000000002</v>
      </c>
      <c r="V230">
        <v>0</v>
      </c>
      <c r="W230">
        <v>0</v>
      </c>
      <c r="X230">
        <v>0</v>
      </c>
      <c r="Y230">
        <v>0</v>
      </c>
      <c r="Z230">
        <v>0</v>
      </c>
      <c r="AA230">
        <v>0</v>
      </c>
      <c r="AB230">
        <v>0</v>
      </c>
      <c r="AC230">
        <v>0</v>
      </c>
      <c r="AD230">
        <v>0</v>
      </c>
      <c r="AE230">
        <v>0</v>
      </c>
      <c r="AF230">
        <v>4</v>
      </c>
      <c r="AG230">
        <v>1</v>
      </c>
      <c r="AH230">
        <v>3</v>
      </c>
      <c r="AI230">
        <v>7</v>
      </c>
      <c r="AJ230">
        <v>3</v>
      </c>
      <c r="AK230">
        <v>2</v>
      </c>
      <c r="AL230">
        <v>1</v>
      </c>
      <c r="AM230">
        <v>1</v>
      </c>
      <c r="AN230">
        <v>0</v>
      </c>
    </row>
    <row r="231" spans="1:40" x14ac:dyDescent="0.25">
      <c r="A231" t="s">
        <v>3033</v>
      </c>
      <c r="B231" t="s">
        <v>3034</v>
      </c>
      <c r="F231" t="s">
        <v>300</v>
      </c>
      <c r="G231" t="s">
        <v>2441</v>
      </c>
      <c r="H231">
        <v>2009</v>
      </c>
      <c r="I231">
        <v>31</v>
      </c>
      <c r="J231">
        <v>1</v>
      </c>
      <c r="N231">
        <v>114</v>
      </c>
      <c r="O231">
        <v>128</v>
      </c>
      <c r="Q231" t="s">
        <v>3035</v>
      </c>
      <c r="T231">
        <v>22</v>
      </c>
      <c r="U231">
        <v>2</v>
      </c>
      <c r="V231">
        <v>0</v>
      </c>
      <c r="W231">
        <v>0</v>
      </c>
      <c r="X231">
        <v>0</v>
      </c>
      <c r="Y231">
        <v>0</v>
      </c>
      <c r="Z231">
        <v>0</v>
      </c>
      <c r="AA231">
        <v>0</v>
      </c>
      <c r="AB231">
        <v>0</v>
      </c>
      <c r="AC231">
        <v>0</v>
      </c>
      <c r="AD231">
        <v>1</v>
      </c>
      <c r="AE231">
        <v>2</v>
      </c>
      <c r="AF231">
        <v>3</v>
      </c>
      <c r="AG231">
        <v>3</v>
      </c>
      <c r="AH231">
        <v>2</v>
      </c>
      <c r="AI231">
        <v>3</v>
      </c>
      <c r="AJ231">
        <v>2</v>
      </c>
      <c r="AK231">
        <v>2</v>
      </c>
      <c r="AL231">
        <v>2</v>
      </c>
      <c r="AM231">
        <v>2</v>
      </c>
      <c r="AN231">
        <v>0</v>
      </c>
    </row>
    <row r="232" spans="1:40" x14ac:dyDescent="0.25">
      <c r="A232" t="s">
        <v>3036</v>
      </c>
      <c r="B232" t="s">
        <v>3037</v>
      </c>
      <c r="F232" t="s">
        <v>306</v>
      </c>
      <c r="G232" t="s">
        <v>2762</v>
      </c>
      <c r="H232">
        <v>2008</v>
      </c>
      <c r="I232">
        <v>71</v>
      </c>
      <c r="J232" t="s">
        <v>3038</v>
      </c>
      <c r="N232">
        <v>2868</v>
      </c>
      <c r="O232">
        <v>2879</v>
      </c>
      <c r="Q232" t="s">
        <v>3039</v>
      </c>
      <c r="T232">
        <v>22</v>
      </c>
      <c r="U232">
        <v>1.83</v>
      </c>
      <c r="V232">
        <v>0</v>
      </c>
      <c r="W232">
        <v>0</v>
      </c>
      <c r="X232">
        <v>0</v>
      </c>
      <c r="Y232">
        <v>0</v>
      </c>
      <c r="Z232">
        <v>0</v>
      </c>
      <c r="AA232">
        <v>0</v>
      </c>
      <c r="AB232">
        <v>0</v>
      </c>
      <c r="AC232">
        <v>0</v>
      </c>
      <c r="AD232">
        <v>1</v>
      </c>
      <c r="AE232">
        <v>3</v>
      </c>
      <c r="AF232">
        <v>2</v>
      </c>
      <c r="AG232">
        <v>3</v>
      </c>
      <c r="AH232">
        <v>1</v>
      </c>
      <c r="AI232">
        <v>3</v>
      </c>
      <c r="AJ232">
        <v>5</v>
      </c>
      <c r="AK232">
        <v>2</v>
      </c>
      <c r="AL232">
        <v>2</v>
      </c>
      <c r="AM232">
        <v>0</v>
      </c>
      <c r="AN232">
        <v>0</v>
      </c>
    </row>
    <row r="233" spans="1:40" x14ac:dyDescent="0.25">
      <c r="A233" t="s">
        <v>3040</v>
      </c>
      <c r="B233" t="s">
        <v>3041</v>
      </c>
      <c r="F233" t="s">
        <v>298</v>
      </c>
      <c r="G233" t="s">
        <v>2717</v>
      </c>
      <c r="H233">
        <v>2004</v>
      </c>
      <c r="I233">
        <v>93</v>
      </c>
      <c r="J233">
        <v>1</v>
      </c>
      <c r="N233">
        <v>34</v>
      </c>
      <c r="O233">
        <v>64</v>
      </c>
      <c r="Q233" t="s">
        <v>3042</v>
      </c>
      <c r="T233">
        <v>22</v>
      </c>
      <c r="U233">
        <v>1.38</v>
      </c>
      <c r="V233">
        <v>0</v>
      </c>
      <c r="W233">
        <v>0</v>
      </c>
      <c r="X233">
        <v>0</v>
      </c>
      <c r="Y233">
        <v>0</v>
      </c>
      <c r="Z233">
        <v>2</v>
      </c>
      <c r="AA233">
        <v>3</v>
      </c>
      <c r="AB233">
        <v>2</v>
      </c>
      <c r="AC233">
        <v>1</v>
      </c>
      <c r="AD233">
        <v>1</v>
      </c>
      <c r="AE233">
        <v>3</v>
      </c>
      <c r="AF233">
        <v>3</v>
      </c>
      <c r="AG233">
        <v>2</v>
      </c>
      <c r="AH233">
        <v>1</v>
      </c>
      <c r="AI233">
        <v>0</v>
      </c>
      <c r="AJ233">
        <v>1</v>
      </c>
      <c r="AK233">
        <v>0</v>
      </c>
      <c r="AL233">
        <v>1</v>
      </c>
      <c r="AM233">
        <v>2</v>
      </c>
      <c r="AN233">
        <v>0</v>
      </c>
    </row>
    <row r="234" spans="1:40" x14ac:dyDescent="0.25">
      <c r="A234" t="s">
        <v>3043</v>
      </c>
      <c r="B234" t="s">
        <v>3044</v>
      </c>
      <c r="F234" t="s">
        <v>306</v>
      </c>
      <c r="G234" t="s">
        <v>3045</v>
      </c>
      <c r="H234">
        <v>2016</v>
      </c>
      <c r="I234">
        <v>214</v>
      </c>
      <c r="N234">
        <v>758</v>
      </c>
      <c r="O234">
        <v>766</v>
      </c>
      <c r="Q234" t="s">
        <v>3046</v>
      </c>
      <c r="T234">
        <v>21</v>
      </c>
      <c r="U234">
        <v>5.25</v>
      </c>
      <c r="V234">
        <v>0</v>
      </c>
      <c r="W234">
        <v>0</v>
      </c>
      <c r="X234">
        <v>0</v>
      </c>
      <c r="Y234">
        <v>0</v>
      </c>
      <c r="Z234">
        <v>0</v>
      </c>
      <c r="AA234">
        <v>0</v>
      </c>
      <c r="AB234">
        <v>0</v>
      </c>
      <c r="AC234">
        <v>0</v>
      </c>
      <c r="AD234">
        <v>0</v>
      </c>
      <c r="AE234">
        <v>0</v>
      </c>
      <c r="AF234">
        <v>0</v>
      </c>
      <c r="AG234">
        <v>0</v>
      </c>
      <c r="AH234">
        <v>0</v>
      </c>
      <c r="AI234">
        <v>0</v>
      </c>
      <c r="AJ234">
        <v>0</v>
      </c>
      <c r="AK234">
        <v>0</v>
      </c>
      <c r="AL234">
        <v>8</v>
      </c>
      <c r="AM234">
        <v>13</v>
      </c>
      <c r="AN234">
        <v>0</v>
      </c>
    </row>
    <row r="235" spans="1:40" x14ac:dyDescent="0.25">
      <c r="A235" t="s">
        <v>3047</v>
      </c>
      <c r="B235" t="s">
        <v>3048</v>
      </c>
      <c r="F235" t="s">
        <v>300</v>
      </c>
      <c r="G235" t="s">
        <v>3049</v>
      </c>
      <c r="H235">
        <v>2015</v>
      </c>
      <c r="I235">
        <v>37</v>
      </c>
      <c r="J235">
        <v>7</v>
      </c>
      <c r="N235">
        <v>1408</v>
      </c>
      <c r="O235">
        <v>1424</v>
      </c>
      <c r="Q235" t="s">
        <v>3050</v>
      </c>
      <c r="T235">
        <v>21</v>
      </c>
      <c r="U235">
        <v>4.2</v>
      </c>
      <c r="V235">
        <v>0</v>
      </c>
      <c r="W235">
        <v>0</v>
      </c>
      <c r="X235">
        <v>0</v>
      </c>
      <c r="Y235">
        <v>0</v>
      </c>
      <c r="Z235">
        <v>0</v>
      </c>
      <c r="AA235">
        <v>0</v>
      </c>
      <c r="AB235">
        <v>0</v>
      </c>
      <c r="AC235">
        <v>0</v>
      </c>
      <c r="AD235">
        <v>0</v>
      </c>
      <c r="AE235">
        <v>0</v>
      </c>
      <c r="AF235">
        <v>0</v>
      </c>
      <c r="AG235">
        <v>0</v>
      </c>
      <c r="AH235">
        <v>0</v>
      </c>
      <c r="AI235">
        <v>0</v>
      </c>
      <c r="AJ235">
        <v>0</v>
      </c>
      <c r="AK235">
        <v>6</v>
      </c>
      <c r="AL235">
        <v>11</v>
      </c>
      <c r="AM235">
        <v>4</v>
      </c>
      <c r="AN235">
        <v>0</v>
      </c>
    </row>
    <row r="236" spans="1:40" x14ac:dyDescent="0.25">
      <c r="A236" t="s">
        <v>1279</v>
      </c>
      <c r="B236" t="s">
        <v>1281</v>
      </c>
      <c r="F236" t="s">
        <v>298</v>
      </c>
      <c r="G236" t="s">
        <v>2640</v>
      </c>
      <c r="H236">
        <v>2014</v>
      </c>
      <c r="I236">
        <v>118</v>
      </c>
      <c r="N236">
        <v>40</v>
      </c>
      <c r="O236">
        <v>49</v>
      </c>
      <c r="Q236" t="s">
        <v>3051</v>
      </c>
      <c r="T236">
        <v>21</v>
      </c>
      <c r="U236">
        <v>3.5</v>
      </c>
      <c r="V236">
        <v>0</v>
      </c>
      <c r="W236">
        <v>0</v>
      </c>
      <c r="X236">
        <v>0</v>
      </c>
      <c r="Y236">
        <v>0</v>
      </c>
      <c r="Z236">
        <v>0</v>
      </c>
      <c r="AA236">
        <v>0</v>
      </c>
      <c r="AB236">
        <v>0</v>
      </c>
      <c r="AC236">
        <v>0</v>
      </c>
      <c r="AD236">
        <v>0</v>
      </c>
      <c r="AE236">
        <v>0</v>
      </c>
      <c r="AF236">
        <v>0</v>
      </c>
      <c r="AG236">
        <v>0</v>
      </c>
      <c r="AH236">
        <v>0</v>
      </c>
      <c r="AI236">
        <v>1</v>
      </c>
      <c r="AJ236">
        <v>7</v>
      </c>
      <c r="AK236">
        <v>3</v>
      </c>
      <c r="AL236">
        <v>7</v>
      </c>
      <c r="AM236">
        <v>3</v>
      </c>
      <c r="AN236">
        <v>0</v>
      </c>
    </row>
    <row r="237" spans="1:40" x14ac:dyDescent="0.25">
      <c r="A237" t="s">
        <v>3052</v>
      </c>
      <c r="B237" t="s">
        <v>3053</v>
      </c>
      <c r="F237" t="s">
        <v>298</v>
      </c>
      <c r="G237" t="s">
        <v>2441</v>
      </c>
      <c r="H237">
        <v>2009</v>
      </c>
      <c r="I237">
        <v>113</v>
      </c>
      <c r="J237">
        <v>1</v>
      </c>
      <c r="N237">
        <v>126</v>
      </c>
      <c r="O237">
        <v>149</v>
      </c>
      <c r="Q237" t="s">
        <v>3054</v>
      </c>
      <c r="T237">
        <v>21</v>
      </c>
      <c r="U237">
        <v>1.91</v>
      </c>
      <c r="V237">
        <v>0</v>
      </c>
      <c r="W237">
        <v>0</v>
      </c>
      <c r="X237">
        <v>0</v>
      </c>
      <c r="Y237">
        <v>0</v>
      </c>
      <c r="Z237">
        <v>0</v>
      </c>
      <c r="AA237">
        <v>0</v>
      </c>
      <c r="AB237">
        <v>0</v>
      </c>
      <c r="AC237">
        <v>0</v>
      </c>
      <c r="AD237">
        <v>1</v>
      </c>
      <c r="AE237">
        <v>0</v>
      </c>
      <c r="AF237">
        <v>4</v>
      </c>
      <c r="AG237">
        <v>2</v>
      </c>
      <c r="AH237">
        <v>3</v>
      </c>
      <c r="AI237">
        <v>3</v>
      </c>
      <c r="AJ237">
        <v>3</v>
      </c>
      <c r="AK237">
        <v>2</v>
      </c>
      <c r="AL237">
        <v>2</v>
      </c>
      <c r="AM237">
        <v>1</v>
      </c>
      <c r="AN237">
        <v>0</v>
      </c>
    </row>
    <row r="238" spans="1:40" x14ac:dyDescent="0.25">
      <c r="A238" t="s">
        <v>3055</v>
      </c>
      <c r="B238" t="s">
        <v>3056</v>
      </c>
      <c r="F238" t="s">
        <v>298</v>
      </c>
      <c r="G238" t="s">
        <v>3057</v>
      </c>
      <c r="H238">
        <v>2006</v>
      </c>
      <c r="I238">
        <v>102</v>
      </c>
      <c r="J238">
        <v>3</v>
      </c>
      <c r="N238">
        <v>238</v>
      </c>
      <c r="O238">
        <v>249</v>
      </c>
      <c r="Q238" t="s">
        <v>3058</v>
      </c>
      <c r="T238">
        <v>21</v>
      </c>
      <c r="U238">
        <v>1.5</v>
      </c>
      <c r="V238">
        <v>0</v>
      </c>
      <c r="W238">
        <v>0</v>
      </c>
      <c r="X238">
        <v>0</v>
      </c>
      <c r="Y238">
        <v>0</v>
      </c>
      <c r="Z238">
        <v>0</v>
      </c>
      <c r="AA238">
        <v>0</v>
      </c>
      <c r="AB238">
        <v>3</v>
      </c>
      <c r="AC238">
        <v>3</v>
      </c>
      <c r="AD238">
        <v>2</v>
      </c>
      <c r="AE238">
        <v>2</v>
      </c>
      <c r="AF238">
        <v>2</v>
      </c>
      <c r="AG238">
        <v>1</v>
      </c>
      <c r="AH238">
        <v>1</v>
      </c>
      <c r="AI238">
        <v>1</v>
      </c>
      <c r="AJ238">
        <v>2</v>
      </c>
      <c r="AK238">
        <v>3</v>
      </c>
      <c r="AL238">
        <v>0</v>
      </c>
      <c r="AM238">
        <v>0</v>
      </c>
      <c r="AN238">
        <v>1</v>
      </c>
    </row>
    <row r="239" spans="1:40" x14ac:dyDescent="0.25">
      <c r="A239" t="s">
        <v>3059</v>
      </c>
      <c r="B239" t="s">
        <v>3060</v>
      </c>
      <c r="F239" t="s">
        <v>326</v>
      </c>
      <c r="G239" t="s">
        <v>2713</v>
      </c>
      <c r="H239">
        <v>2005</v>
      </c>
      <c r="I239">
        <v>35</v>
      </c>
      <c r="J239">
        <v>3</v>
      </c>
      <c r="N239">
        <v>538</v>
      </c>
      <c r="O239">
        <v>547</v>
      </c>
      <c r="Q239" t="s">
        <v>3061</v>
      </c>
      <c r="T239">
        <v>21</v>
      </c>
      <c r="U239">
        <v>1.4</v>
      </c>
      <c r="V239">
        <v>0</v>
      </c>
      <c r="W239">
        <v>0</v>
      </c>
      <c r="X239">
        <v>0</v>
      </c>
      <c r="Y239">
        <v>0</v>
      </c>
      <c r="Z239">
        <v>0</v>
      </c>
      <c r="AA239">
        <v>2</v>
      </c>
      <c r="AB239">
        <v>2</v>
      </c>
      <c r="AC239">
        <v>0</v>
      </c>
      <c r="AD239">
        <v>1</v>
      </c>
      <c r="AE239">
        <v>1</v>
      </c>
      <c r="AF239">
        <v>3</v>
      </c>
      <c r="AG239">
        <v>5</v>
      </c>
      <c r="AH239">
        <v>3</v>
      </c>
      <c r="AI239">
        <v>0</v>
      </c>
      <c r="AJ239">
        <v>2</v>
      </c>
      <c r="AK239">
        <v>1</v>
      </c>
      <c r="AL239">
        <v>1</v>
      </c>
      <c r="AM239">
        <v>0</v>
      </c>
      <c r="AN239">
        <v>0</v>
      </c>
    </row>
    <row r="240" spans="1:40" x14ac:dyDescent="0.25">
      <c r="A240" t="s">
        <v>3062</v>
      </c>
      <c r="B240" t="s">
        <v>3063</v>
      </c>
      <c r="F240" t="s">
        <v>302</v>
      </c>
      <c r="G240" t="s">
        <v>3064</v>
      </c>
      <c r="H240">
        <v>2005</v>
      </c>
      <c r="I240">
        <v>23</v>
      </c>
      <c r="J240">
        <v>3</v>
      </c>
      <c r="N240">
        <v>287</v>
      </c>
      <c r="O240">
        <v>298</v>
      </c>
      <c r="Q240" t="s">
        <v>3065</v>
      </c>
      <c r="T240">
        <v>21</v>
      </c>
      <c r="U240">
        <v>1.4</v>
      </c>
      <c r="V240">
        <v>0</v>
      </c>
      <c r="W240">
        <v>0</v>
      </c>
      <c r="X240">
        <v>0</v>
      </c>
      <c r="Y240">
        <v>0</v>
      </c>
      <c r="Z240">
        <v>0</v>
      </c>
      <c r="AA240">
        <v>1</v>
      </c>
      <c r="AB240">
        <v>3</v>
      </c>
      <c r="AC240">
        <v>5</v>
      </c>
      <c r="AD240">
        <v>2</v>
      </c>
      <c r="AE240">
        <v>3</v>
      </c>
      <c r="AF240">
        <v>0</v>
      </c>
      <c r="AG240">
        <v>0</v>
      </c>
      <c r="AH240">
        <v>1</v>
      </c>
      <c r="AI240">
        <v>0</v>
      </c>
      <c r="AJ240">
        <v>3</v>
      </c>
      <c r="AK240">
        <v>0</v>
      </c>
      <c r="AL240">
        <v>2</v>
      </c>
      <c r="AM240">
        <v>1</v>
      </c>
      <c r="AN240">
        <v>0</v>
      </c>
    </row>
    <row r="241" spans="1:40" x14ac:dyDescent="0.25">
      <c r="A241" t="s">
        <v>3066</v>
      </c>
      <c r="B241" t="s">
        <v>3067</v>
      </c>
      <c r="F241" t="s">
        <v>308</v>
      </c>
      <c r="G241" t="s">
        <v>2917</v>
      </c>
      <c r="H241">
        <v>2002</v>
      </c>
      <c r="I241">
        <v>35</v>
      </c>
      <c r="J241">
        <v>11</v>
      </c>
      <c r="N241">
        <v>2323</v>
      </c>
      <c r="O241">
        <v>2339</v>
      </c>
      <c r="P241" t="s">
        <v>3068</v>
      </c>
      <c r="Q241" t="s">
        <v>3069</v>
      </c>
      <c r="T241">
        <v>21</v>
      </c>
      <c r="U241">
        <v>1.17</v>
      </c>
      <c r="V241">
        <v>0</v>
      </c>
      <c r="W241">
        <v>0</v>
      </c>
      <c r="X241">
        <v>2</v>
      </c>
      <c r="Y241">
        <v>1</v>
      </c>
      <c r="Z241">
        <v>3</v>
      </c>
      <c r="AA241">
        <v>0</v>
      </c>
      <c r="AB241">
        <v>3</v>
      </c>
      <c r="AC241">
        <v>2</v>
      </c>
      <c r="AD241">
        <v>1</v>
      </c>
      <c r="AE241">
        <v>0</v>
      </c>
      <c r="AF241">
        <v>4</v>
      </c>
      <c r="AG241">
        <v>1</v>
      </c>
      <c r="AH241">
        <v>0</v>
      </c>
      <c r="AI241">
        <v>0</v>
      </c>
      <c r="AJ241">
        <v>1</v>
      </c>
      <c r="AK241">
        <v>1</v>
      </c>
      <c r="AL241">
        <v>0</v>
      </c>
      <c r="AM241">
        <v>2</v>
      </c>
      <c r="AN241">
        <v>0</v>
      </c>
    </row>
    <row r="242" spans="1:40" x14ac:dyDescent="0.25">
      <c r="A242" t="s">
        <v>1475</v>
      </c>
      <c r="B242" t="s">
        <v>1477</v>
      </c>
      <c r="F242" t="s">
        <v>302</v>
      </c>
      <c r="G242" t="s">
        <v>2774</v>
      </c>
      <c r="H242">
        <v>2016</v>
      </c>
      <c r="I242">
        <v>55</v>
      </c>
      <c r="K242">
        <v>2</v>
      </c>
      <c r="M242" t="s">
        <v>1948</v>
      </c>
      <c r="N242">
        <v>42</v>
      </c>
      <c r="O242">
        <v>52</v>
      </c>
      <c r="Q242" t="s">
        <v>3070</v>
      </c>
      <c r="T242">
        <v>20</v>
      </c>
      <c r="U242">
        <v>5</v>
      </c>
      <c r="V242">
        <v>0</v>
      </c>
      <c r="W242">
        <v>0</v>
      </c>
      <c r="X242">
        <v>0</v>
      </c>
      <c r="Y242">
        <v>0</v>
      </c>
      <c r="Z242">
        <v>0</v>
      </c>
      <c r="AA242">
        <v>0</v>
      </c>
      <c r="AB242">
        <v>0</v>
      </c>
      <c r="AC242">
        <v>0</v>
      </c>
      <c r="AD242">
        <v>0</v>
      </c>
      <c r="AE242">
        <v>0</v>
      </c>
      <c r="AF242">
        <v>0</v>
      </c>
      <c r="AG242">
        <v>0</v>
      </c>
      <c r="AH242">
        <v>0</v>
      </c>
      <c r="AI242">
        <v>0</v>
      </c>
      <c r="AJ242">
        <v>0</v>
      </c>
      <c r="AK242">
        <v>0</v>
      </c>
      <c r="AL242">
        <v>4</v>
      </c>
      <c r="AM242">
        <v>16</v>
      </c>
      <c r="AN242">
        <v>0</v>
      </c>
    </row>
    <row r="243" spans="1:40" x14ac:dyDescent="0.25">
      <c r="A243" t="s">
        <v>1239</v>
      </c>
      <c r="B243" t="s">
        <v>1241</v>
      </c>
      <c r="F243" t="s">
        <v>298</v>
      </c>
      <c r="G243" t="s">
        <v>3071</v>
      </c>
      <c r="H243">
        <v>2015</v>
      </c>
      <c r="I243">
        <v>131</v>
      </c>
      <c r="N243">
        <v>88</v>
      </c>
      <c r="O243">
        <v>99</v>
      </c>
      <c r="Q243" t="s">
        <v>3072</v>
      </c>
      <c r="T243">
        <v>20</v>
      </c>
      <c r="U243">
        <v>4</v>
      </c>
      <c r="V243">
        <v>0</v>
      </c>
      <c r="W243">
        <v>0</v>
      </c>
      <c r="X243">
        <v>0</v>
      </c>
      <c r="Y243">
        <v>0</v>
      </c>
      <c r="Z243">
        <v>0</v>
      </c>
      <c r="AA243">
        <v>0</v>
      </c>
      <c r="AB243">
        <v>0</v>
      </c>
      <c r="AC243">
        <v>0</v>
      </c>
      <c r="AD243">
        <v>0</v>
      </c>
      <c r="AE243">
        <v>0</v>
      </c>
      <c r="AF243">
        <v>0</v>
      </c>
      <c r="AG243">
        <v>0</v>
      </c>
      <c r="AH243">
        <v>0</v>
      </c>
      <c r="AI243">
        <v>0</v>
      </c>
      <c r="AJ243">
        <v>0</v>
      </c>
      <c r="AK243">
        <v>7</v>
      </c>
      <c r="AL243">
        <v>9</v>
      </c>
      <c r="AM243">
        <v>4</v>
      </c>
      <c r="AN243">
        <v>0</v>
      </c>
    </row>
    <row r="244" spans="1:40" x14ac:dyDescent="0.25">
      <c r="A244" t="s">
        <v>1273</v>
      </c>
      <c r="B244" t="s">
        <v>1275</v>
      </c>
      <c r="F244" t="s">
        <v>298</v>
      </c>
      <c r="G244" t="s">
        <v>2668</v>
      </c>
      <c r="H244">
        <v>2014</v>
      </c>
      <c r="I244">
        <v>127</v>
      </c>
      <c r="N244">
        <v>14</v>
      </c>
      <c r="O244">
        <v>30</v>
      </c>
      <c r="Q244" t="s">
        <v>3073</v>
      </c>
      <c r="T244">
        <v>20</v>
      </c>
      <c r="U244">
        <v>3.33</v>
      </c>
      <c r="V244">
        <v>0</v>
      </c>
      <c r="W244">
        <v>0</v>
      </c>
      <c r="X244">
        <v>0</v>
      </c>
      <c r="Y244">
        <v>0</v>
      </c>
      <c r="Z244">
        <v>0</v>
      </c>
      <c r="AA244">
        <v>0</v>
      </c>
      <c r="AB244">
        <v>0</v>
      </c>
      <c r="AC244">
        <v>0</v>
      </c>
      <c r="AD244">
        <v>0</v>
      </c>
      <c r="AE244">
        <v>0</v>
      </c>
      <c r="AF244">
        <v>0</v>
      </c>
      <c r="AG244">
        <v>0</v>
      </c>
      <c r="AH244">
        <v>0</v>
      </c>
      <c r="AI244">
        <v>0</v>
      </c>
      <c r="AJ244">
        <v>8</v>
      </c>
      <c r="AK244">
        <v>7</v>
      </c>
      <c r="AL244">
        <v>5</v>
      </c>
      <c r="AM244">
        <v>0</v>
      </c>
      <c r="AN244">
        <v>0</v>
      </c>
    </row>
    <row r="245" spans="1:40" x14ac:dyDescent="0.25">
      <c r="A245" t="s">
        <v>1075</v>
      </c>
      <c r="B245" t="s">
        <v>1077</v>
      </c>
      <c r="F245" t="s">
        <v>298</v>
      </c>
      <c r="G245" t="s">
        <v>2636</v>
      </c>
      <c r="H245">
        <v>2014</v>
      </c>
      <c r="I245">
        <v>123</v>
      </c>
      <c r="N245">
        <v>1</v>
      </c>
      <c r="O245">
        <v>13</v>
      </c>
      <c r="Q245" t="s">
        <v>3074</v>
      </c>
      <c r="T245">
        <v>20</v>
      </c>
      <c r="U245">
        <v>3.33</v>
      </c>
      <c r="V245">
        <v>0</v>
      </c>
      <c r="W245">
        <v>0</v>
      </c>
      <c r="X245">
        <v>0</v>
      </c>
      <c r="Y245">
        <v>0</v>
      </c>
      <c r="Z245">
        <v>0</v>
      </c>
      <c r="AA245">
        <v>0</v>
      </c>
      <c r="AB245">
        <v>0</v>
      </c>
      <c r="AC245">
        <v>0</v>
      </c>
      <c r="AD245">
        <v>0</v>
      </c>
      <c r="AE245">
        <v>0</v>
      </c>
      <c r="AF245">
        <v>0</v>
      </c>
      <c r="AG245">
        <v>0</v>
      </c>
      <c r="AH245">
        <v>0</v>
      </c>
      <c r="AI245">
        <v>0</v>
      </c>
      <c r="AJ245">
        <v>4</v>
      </c>
      <c r="AK245">
        <v>6</v>
      </c>
      <c r="AL245">
        <v>7</v>
      </c>
      <c r="AM245">
        <v>3</v>
      </c>
      <c r="AN245">
        <v>0</v>
      </c>
    </row>
    <row r="246" spans="1:40" x14ac:dyDescent="0.25">
      <c r="A246" t="s">
        <v>3075</v>
      </c>
      <c r="B246" t="s">
        <v>3076</v>
      </c>
      <c r="F246" t="s">
        <v>308</v>
      </c>
      <c r="G246" t="s">
        <v>2515</v>
      </c>
      <c r="H246">
        <v>2012</v>
      </c>
      <c r="I246">
        <v>45</v>
      </c>
      <c r="J246">
        <v>11</v>
      </c>
      <c r="N246">
        <v>3886</v>
      </c>
      <c r="O246">
        <v>3901</v>
      </c>
      <c r="Q246" t="s">
        <v>3077</v>
      </c>
      <c r="T246">
        <v>20</v>
      </c>
      <c r="U246">
        <v>2.5</v>
      </c>
      <c r="V246">
        <v>0</v>
      </c>
      <c r="W246">
        <v>0</v>
      </c>
      <c r="X246">
        <v>0</v>
      </c>
      <c r="Y246">
        <v>0</v>
      </c>
      <c r="Z246">
        <v>0</v>
      </c>
      <c r="AA246">
        <v>0</v>
      </c>
      <c r="AB246">
        <v>0</v>
      </c>
      <c r="AC246">
        <v>0</v>
      </c>
      <c r="AD246">
        <v>0</v>
      </c>
      <c r="AE246">
        <v>0</v>
      </c>
      <c r="AF246">
        <v>0</v>
      </c>
      <c r="AG246">
        <v>0</v>
      </c>
      <c r="AH246">
        <v>2</v>
      </c>
      <c r="AI246">
        <v>5</v>
      </c>
      <c r="AJ246">
        <v>7</v>
      </c>
      <c r="AK246">
        <v>1</v>
      </c>
      <c r="AL246">
        <v>3</v>
      </c>
      <c r="AM246">
        <v>2</v>
      </c>
      <c r="AN246">
        <v>0</v>
      </c>
    </row>
    <row r="247" spans="1:40" x14ac:dyDescent="0.25">
      <c r="A247" t="s">
        <v>3078</v>
      </c>
      <c r="B247" t="s">
        <v>3079</v>
      </c>
      <c r="F247" t="s">
        <v>311</v>
      </c>
      <c r="G247" t="s">
        <v>2657</v>
      </c>
      <c r="H247">
        <v>2012</v>
      </c>
      <c r="I247">
        <v>21</v>
      </c>
      <c r="J247">
        <v>5</v>
      </c>
      <c r="N247">
        <v>2681</v>
      </c>
      <c r="O247">
        <v>2692</v>
      </c>
      <c r="Q247" t="s">
        <v>3080</v>
      </c>
      <c r="T247">
        <v>20</v>
      </c>
      <c r="U247">
        <v>2.5</v>
      </c>
      <c r="V247">
        <v>0</v>
      </c>
      <c r="W247">
        <v>0</v>
      </c>
      <c r="X247">
        <v>0</v>
      </c>
      <c r="Y247">
        <v>0</v>
      </c>
      <c r="Z247">
        <v>0</v>
      </c>
      <c r="AA247">
        <v>0</v>
      </c>
      <c r="AB247">
        <v>0</v>
      </c>
      <c r="AC247">
        <v>0</v>
      </c>
      <c r="AD247">
        <v>0</v>
      </c>
      <c r="AE247">
        <v>0</v>
      </c>
      <c r="AF247">
        <v>0</v>
      </c>
      <c r="AG247">
        <v>1</v>
      </c>
      <c r="AH247">
        <v>3</v>
      </c>
      <c r="AI247">
        <v>7</v>
      </c>
      <c r="AJ247">
        <v>5</v>
      </c>
      <c r="AK247">
        <v>2</v>
      </c>
      <c r="AL247">
        <v>0</v>
      </c>
      <c r="AM247">
        <v>1</v>
      </c>
      <c r="AN247">
        <v>1</v>
      </c>
    </row>
    <row r="248" spans="1:40" x14ac:dyDescent="0.25">
      <c r="A248" t="s">
        <v>3081</v>
      </c>
      <c r="B248" t="s">
        <v>3082</v>
      </c>
      <c r="F248" t="s">
        <v>300</v>
      </c>
      <c r="G248" t="s">
        <v>2582</v>
      </c>
      <c r="H248">
        <v>2011</v>
      </c>
      <c r="I248">
        <v>33</v>
      </c>
      <c r="J248">
        <v>4</v>
      </c>
      <c r="N248">
        <v>699</v>
      </c>
      <c r="O248">
        <v>708</v>
      </c>
      <c r="Q248" t="s">
        <v>3083</v>
      </c>
      <c r="T248">
        <v>20</v>
      </c>
      <c r="U248">
        <v>2.2200000000000002</v>
      </c>
      <c r="V248">
        <v>0</v>
      </c>
      <c r="W248">
        <v>0</v>
      </c>
      <c r="X248">
        <v>0</v>
      </c>
      <c r="Y248">
        <v>0</v>
      </c>
      <c r="Z248">
        <v>0</v>
      </c>
      <c r="AA248">
        <v>0</v>
      </c>
      <c r="AB248">
        <v>0</v>
      </c>
      <c r="AC248">
        <v>0</v>
      </c>
      <c r="AD248">
        <v>0</v>
      </c>
      <c r="AE248">
        <v>0</v>
      </c>
      <c r="AF248">
        <v>0</v>
      </c>
      <c r="AG248">
        <v>4</v>
      </c>
      <c r="AH248">
        <v>3</v>
      </c>
      <c r="AI248">
        <v>4</v>
      </c>
      <c r="AJ248">
        <v>3</v>
      </c>
      <c r="AK248">
        <v>4</v>
      </c>
      <c r="AL248">
        <v>1</v>
      </c>
      <c r="AM248">
        <v>1</v>
      </c>
      <c r="AN248">
        <v>0</v>
      </c>
    </row>
    <row r="249" spans="1:40" x14ac:dyDescent="0.25">
      <c r="A249" t="s">
        <v>3084</v>
      </c>
      <c r="B249" t="s">
        <v>3085</v>
      </c>
      <c r="F249" t="s">
        <v>300</v>
      </c>
      <c r="G249" t="s">
        <v>3086</v>
      </c>
      <c r="H249">
        <v>2011</v>
      </c>
      <c r="I249">
        <v>33</v>
      </c>
      <c r="J249">
        <v>1</v>
      </c>
      <c r="N249">
        <v>30</v>
      </c>
      <c r="O249">
        <v>42</v>
      </c>
      <c r="Q249" t="s">
        <v>3087</v>
      </c>
      <c r="T249">
        <v>20</v>
      </c>
      <c r="U249">
        <v>2.2200000000000002</v>
      </c>
      <c r="V249">
        <v>0</v>
      </c>
      <c r="W249">
        <v>0</v>
      </c>
      <c r="X249">
        <v>0</v>
      </c>
      <c r="Y249">
        <v>0</v>
      </c>
      <c r="Z249">
        <v>0</v>
      </c>
      <c r="AA249">
        <v>0</v>
      </c>
      <c r="AB249">
        <v>0</v>
      </c>
      <c r="AC249">
        <v>0</v>
      </c>
      <c r="AD249">
        <v>0</v>
      </c>
      <c r="AE249">
        <v>0</v>
      </c>
      <c r="AF249">
        <v>1</v>
      </c>
      <c r="AG249">
        <v>5</v>
      </c>
      <c r="AH249">
        <v>6</v>
      </c>
      <c r="AI249">
        <v>2</v>
      </c>
      <c r="AJ249">
        <v>4</v>
      </c>
      <c r="AK249">
        <v>0</v>
      </c>
      <c r="AL249">
        <v>2</v>
      </c>
      <c r="AM249">
        <v>0</v>
      </c>
      <c r="AN249">
        <v>0</v>
      </c>
    </row>
    <row r="250" spans="1:40" x14ac:dyDescent="0.25">
      <c r="A250" t="s">
        <v>1722</v>
      </c>
      <c r="B250" t="s">
        <v>1724</v>
      </c>
      <c r="F250" t="s">
        <v>305</v>
      </c>
      <c r="G250" t="s">
        <v>3088</v>
      </c>
      <c r="H250">
        <v>2010</v>
      </c>
      <c r="I250">
        <v>31</v>
      </c>
      <c r="J250">
        <v>10</v>
      </c>
      <c r="M250" t="s">
        <v>1948</v>
      </c>
      <c r="N250">
        <v>1128</v>
      </c>
      <c r="O250">
        <v>1137</v>
      </c>
      <c r="Q250" t="s">
        <v>3089</v>
      </c>
      <c r="T250">
        <v>20</v>
      </c>
      <c r="U250">
        <v>2</v>
      </c>
      <c r="V250">
        <v>0</v>
      </c>
      <c r="W250">
        <v>0</v>
      </c>
      <c r="X250">
        <v>0</v>
      </c>
      <c r="Y250">
        <v>0</v>
      </c>
      <c r="Z250">
        <v>0</v>
      </c>
      <c r="AA250">
        <v>0</v>
      </c>
      <c r="AB250">
        <v>0</v>
      </c>
      <c r="AC250">
        <v>0</v>
      </c>
      <c r="AD250">
        <v>0</v>
      </c>
      <c r="AE250">
        <v>1</v>
      </c>
      <c r="AF250">
        <v>1</v>
      </c>
      <c r="AG250">
        <v>5</v>
      </c>
      <c r="AH250">
        <v>1</v>
      </c>
      <c r="AI250">
        <v>1</v>
      </c>
      <c r="AJ250">
        <v>5</v>
      </c>
      <c r="AK250">
        <v>3</v>
      </c>
      <c r="AL250">
        <v>1</v>
      </c>
      <c r="AM250">
        <v>2</v>
      </c>
      <c r="AN250">
        <v>0</v>
      </c>
    </row>
    <row r="251" spans="1:40" x14ac:dyDescent="0.25">
      <c r="A251" t="s">
        <v>3090</v>
      </c>
      <c r="B251" t="s">
        <v>3091</v>
      </c>
      <c r="F251" t="s">
        <v>303</v>
      </c>
      <c r="G251" t="s">
        <v>2812</v>
      </c>
      <c r="H251">
        <v>2008</v>
      </c>
      <c r="I251">
        <v>77</v>
      </c>
      <c r="J251" t="s">
        <v>3092</v>
      </c>
      <c r="N251">
        <v>239</v>
      </c>
      <c r="O251">
        <v>258</v>
      </c>
      <c r="Q251" t="s">
        <v>3093</v>
      </c>
      <c r="T251">
        <v>20</v>
      </c>
      <c r="U251">
        <v>1.67</v>
      </c>
      <c r="V251">
        <v>0</v>
      </c>
      <c r="W251">
        <v>0</v>
      </c>
      <c r="X251">
        <v>0</v>
      </c>
      <c r="Y251">
        <v>0</v>
      </c>
      <c r="Z251">
        <v>0</v>
      </c>
      <c r="AA251">
        <v>0</v>
      </c>
      <c r="AB251">
        <v>0</v>
      </c>
      <c r="AC251">
        <v>0</v>
      </c>
      <c r="AD251">
        <v>0</v>
      </c>
      <c r="AE251">
        <v>2</v>
      </c>
      <c r="AF251">
        <v>8</v>
      </c>
      <c r="AG251">
        <v>2</v>
      </c>
      <c r="AH251">
        <v>2</v>
      </c>
      <c r="AI251">
        <v>2</v>
      </c>
      <c r="AJ251">
        <v>1</v>
      </c>
      <c r="AK251">
        <v>2</v>
      </c>
      <c r="AL251">
        <v>0</v>
      </c>
      <c r="AM251">
        <v>1</v>
      </c>
      <c r="AN251">
        <v>0</v>
      </c>
    </row>
    <row r="252" spans="1:40" x14ac:dyDescent="0.25">
      <c r="A252" t="s">
        <v>1466</v>
      </c>
      <c r="B252" t="s">
        <v>1468</v>
      </c>
      <c r="F252" t="s">
        <v>302</v>
      </c>
      <c r="G252" t="s">
        <v>3094</v>
      </c>
      <c r="H252">
        <v>2007</v>
      </c>
      <c r="I252">
        <v>25</v>
      </c>
      <c r="J252">
        <v>8</v>
      </c>
      <c r="N252">
        <v>1282</v>
      </c>
      <c r="O252">
        <v>1290</v>
      </c>
      <c r="Q252" t="s">
        <v>3095</v>
      </c>
      <c r="T252">
        <v>20</v>
      </c>
      <c r="U252">
        <v>1.54</v>
      </c>
      <c r="V252">
        <v>0</v>
      </c>
      <c r="W252">
        <v>0</v>
      </c>
      <c r="X252">
        <v>0</v>
      </c>
      <c r="Y252">
        <v>0</v>
      </c>
      <c r="Z252">
        <v>0</v>
      </c>
      <c r="AA252">
        <v>0</v>
      </c>
      <c r="AB252">
        <v>0</v>
      </c>
      <c r="AC252">
        <v>1</v>
      </c>
      <c r="AD252">
        <v>3</v>
      </c>
      <c r="AE252">
        <v>2</v>
      </c>
      <c r="AF252">
        <v>1</v>
      </c>
      <c r="AG252">
        <v>1</v>
      </c>
      <c r="AH252">
        <v>1</v>
      </c>
      <c r="AI252">
        <v>4</v>
      </c>
      <c r="AJ252">
        <v>3</v>
      </c>
      <c r="AK252">
        <v>0</v>
      </c>
      <c r="AL252">
        <v>2</v>
      </c>
      <c r="AM252">
        <v>2</v>
      </c>
      <c r="AN252">
        <v>0</v>
      </c>
    </row>
    <row r="253" spans="1:40" x14ac:dyDescent="0.25">
      <c r="A253" t="s">
        <v>3096</v>
      </c>
      <c r="B253" t="s">
        <v>3097</v>
      </c>
      <c r="F253" t="s">
        <v>306</v>
      </c>
      <c r="G253" t="s">
        <v>3098</v>
      </c>
      <c r="H253">
        <v>2016</v>
      </c>
      <c r="I253">
        <v>175</v>
      </c>
      <c r="K253" t="s">
        <v>3099</v>
      </c>
      <c r="N253">
        <v>25</v>
      </c>
      <c r="O253">
        <v>39</v>
      </c>
      <c r="Q253" t="s">
        <v>3100</v>
      </c>
      <c r="T253">
        <v>19</v>
      </c>
      <c r="U253">
        <v>4.75</v>
      </c>
      <c r="V253">
        <v>0</v>
      </c>
      <c r="W253">
        <v>0</v>
      </c>
      <c r="X253">
        <v>0</v>
      </c>
      <c r="Y253">
        <v>0</v>
      </c>
      <c r="Z253">
        <v>0</v>
      </c>
      <c r="AA253">
        <v>0</v>
      </c>
      <c r="AB253">
        <v>0</v>
      </c>
      <c r="AC253">
        <v>0</v>
      </c>
      <c r="AD253">
        <v>0</v>
      </c>
      <c r="AE253">
        <v>0</v>
      </c>
      <c r="AF253">
        <v>0</v>
      </c>
      <c r="AG253">
        <v>0</v>
      </c>
      <c r="AH253">
        <v>0</v>
      </c>
      <c r="AI253">
        <v>0</v>
      </c>
      <c r="AJ253">
        <v>0</v>
      </c>
      <c r="AK253">
        <v>1</v>
      </c>
      <c r="AL253">
        <v>6</v>
      </c>
      <c r="AM253">
        <v>10</v>
      </c>
      <c r="AN253">
        <v>2</v>
      </c>
    </row>
    <row r="254" spans="1:40" x14ac:dyDescent="0.25">
      <c r="A254" t="s">
        <v>3101</v>
      </c>
      <c r="B254" t="s">
        <v>3102</v>
      </c>
      <c r="F254" t="s">
        <v>308</v>
      </c>
      <c r="G254" t="s">
        <v>2856</v>
      </c>
      <c r="H254">
        <v>2015</v>
      </c>
      <c r="I254">
        <v>48</v>
      </c>
      <c r="J254">
        <v>11</v>
      </c>
      <c r="M254" t="s">
        <v>1948</v>
      </c>
      <c r="N254">
        <v>3714</v>
      </c>
      <c r="O254">
        <v>3727</v>
      </c>
      <c r="Q254" t="s">
        <v>3103</v>
      </c>
      <c r="T254">
        <v>19</v>
      </c>
      <c r="U254">
        <v>3.8</v>
      </c>
      <c r="V254">
        <v>0</v>
      </c>
      <c r="W254">
        <v>0</v>
      </c>
      <c r="X254">
        <v>0</v>
      </c>
      <c r="Y254">
        <v>0</v>
      </c>
      <c r="Z254">
        <v>0</v>
      </c>
      <c r="AA254">
        <v>0</v>
      </c>
      <c r="AB254">
        <v>0</v>
      </c>
      <c r="AC254">
        <v>0</v>
      </c>
      <c r="AD254">
        <v>0</v>
      </c>
      <c r="AE254">
        <v>0</v>
      </c>
      <c r="AF254">
        <v>0</v>
      </c>
      <c r="AG254">
        <v>0</v>
      </c>
      <c r="AH254">
        <v>0</v>
      </c>
      <c r="AI254">
        <v>0</v>
      </c>
      <c r="AJ254">
        <v>0</v>
      </c>
      <c r="AK254">
        <v>7</v>
      </c>
      <c r="AL254">
        <v>6</v>
      </c>
      <c r="AM254">
        <v>6</v>
      </c>
      <c r="AN254">
        <v>0</v>
      </c>
    </row>
    <row r="255" spans="1:40" x14ac:dyDescent="0.25">
      <c r="A255" t="s">
        <v>3104</v>
      </c>
      <c r="B255" t="s">
        <v>3105</v>
      </c>
      <c r="F255" t="s">
        <v>313</v>
      </c>
      <c r="G255" t="s">
        <v>3106</v>
      </c>
      <c r="H255">
        <v>2015</v>
      </c>
      <c r="I255">
        <v>42</v>
      </c>
      <c r="J255">
        <v>11</v>
      </c>
      <c r="N255">
        <v>4927</v>
      </c>
      <c r="O255">
        <v>4936</v>
      </c>
      <c r="Q255" t="s">
        <v>3107</v>
      </c>
      <c r="T255">
        <v>19</v>
      </c>
      <c r="U255">
        <v>3.8</v>
      </c>
      <c r="V255">
        <v>0</v>
      </c>
      <c r="W255">
        <v>0</v>
      </c>
      <c r="X255">
        <v>0</v>
      </c>
      <c r="Y255">
        <v>0</v>
      </c>
      <c r="Z255">
        <v>0</v>
      </c>
      <c r="AA255">
        <v>0</v>
      </c>
      <c r="AB255">
        <v>0</v>
      </c>
      <c r="AC255">
        <v>0</v>
      </c>
      <c r="AD255">
        <v>0</v>
      </c>
      <c r="AE255">
        <v>0</v>
      </c>
      <c r="AF255">
        <v>0</v>
      </c>
      <c r="AG255">
        <v>0</v>
      </c>
      <c r="AH255">
        <v>0</v>
      </c>
      <c r="AI255">
        <v>0</v>
      </c>
      <c r="AJ255">
        <v>3</v>
      </c>
      <c r="AK255">
        <v>4</v>
      </c>
      <c r="AL255">
        <v>4</v>
      </c>
      <c r="AM255">
        <v>6</v>
      </c>
      <c r="AN255">
        <v>2</v>
      </c>
    </row>
    <row r="256" spans="1:40" x14ac:dyDescent="0.25">
      <c r="A256" t="s">
        <v>1407</v>
      </c>
      <c r="B256" t="s">
        <v>1409</v>
      </c>
      <c r="F256" t="s">
        <v>310</v>
      </c>
      <c r="G256" t="s">
        <v>2515</v>
      </c>
      <c r="H256">
        <v>2012</v>
      </c>
      <c r="I256">
        <v>6</v>
      </c>
      <c r="J256">
        <v>6</v>
      </c>
      <c r="N256">
        <v>514</v>
      </c>
      <c r="O256">
        <v>523</v>
      </c>
      <c r="Q256" t="s">
        <v>3108</v>
      </c>
      <c r="T256">
        <v>19</v>
      </c>
      <c r="U256">
        <v>2.38</v>
      </c>
      <c r="V256">
        <v>0</v>
      </c>
      <c r="W256">
        <v>0</v>
      </c>
      <c r="X256">
        <v>0</v>
      </c>
      <c r="Y256">
        <v>0</v>
      </c>
      <c r="Z256">
        <v>0</v>
      </c>
      <c r="AA256">
        <v>0</v>
      </c>
      <c r="AB256">
        <v>0</v>
      </c>
      <c r="AC256">
        <v>0</v>
      </c>
      <c r="AD256">
        <v>0</v>
      </c>
      <c r="AE256">
        <v>0</v>
      </c>
      <c r="AF256">
        <v>0</v>
      </c>
      <c r="AG256">
        <v>0</v>
      </c>
      <c r="AH256">
        <v>0</v>
      </c>
      <c r="AI256">
        <v>3</v>
      </c>
      <c r="AJ256">
        <v>6</v>
      </c>
      <c r="AK256">
        <v>3</v>
      </c>
      <c r="AL256">
        <v>5</v>
      </c>
      <c r="AM256">
        <v>2</v>
      </c>
      <c r="AN256">
        <v>0</v>
      </c>
    </row>
    <row r="257" spans="1:40" x14ac:dyDescent="0.25">
      <c r="A257" t="s">
        <v>3109</v>
      </c>
      <c r="B257" t="s">
        <v>3110</v>
      </c>
      <c r="F257" t="s">
        <v>306</v>
      </c>
      <c r="G257" t="s">
        <v>2688</v>
      </c>
      <c r="H257">
        <v>2008</v>
      </c>
      <c r="I257">
        <v>71</v>
      </c>
      <c r="J257" t="s">
        <v>3111</v>
      </c>
      <c r="M257" t="s">
        <v>1948</v>
      </c>
      <c r="N257">
        <v>3561</v>
      </c>
      <c r="O257">
        <v>3574</v>
      </c>
      <c r="Q257" t="s">
        <v>3112</v>
      </c>
      <c r="T257">
        <v>19</v>
      </c>
      <c r="U257">
        <v>1.58</v>
      </c>
      <c r="V257">
        <v>0</v>
      </c>
      <c r="W257">
        <v>0</v>
      </c>
      <c r="X257">
        <v>0</v>
      </c>
      <c r="Y257">
        <v>0</v>
      </c>
      <c r="Z257">
        <v>0</v>
      </c>
      <c r="AA257">
        <v>0</v>
      </c>
      <c r="AB257">
        <v>0</v>
      </c>
      <c r="AC257">
        <v>3</v>
      </c>
      <c r="AD257">
        <v>1</v>
      </c>
      <c r="AE257">
        <v>1</v>
      </c>
      <c r="AF257">
        <v>0</v>
      </c>
      <c r="AG257">
        <v>4</v>
      </c>
      <c r="AH257">
        <v>1</v>
      </c>
      <c r="AI257">
        <v>3</v>
      </c>
      <c r="AJ257">
        <v>3</v>
      </c>
      <c r="AK257">
        <v>2</v>
      </c>
      <c r="AL257">
        <v>1</v>
      </c>
      <c r="AM257">
        <v>0</v>
      </c>
      <c r="AN257">
        <v>0</v>
      </c>
    </row>
    <row r="258" spans="1:40" x14ac:dyDescent="0.25">
      <c r="A258" t="s">
        <v>1587</v>
      </c>
      <c r="B258" t="s">
        <v>1589</v>
      </c>
      <c r="F258" t="s">
        <v>312</v>
      </c>
      <c r="G258" t="s">
        <v>3113</v>
      </c>
      <c r="H258">
        <v>2008</v>
      </c>
      <c r="I258">
        <v>3</v>
      </c>
      <c r="J258">
        <v>3</v>
      </c>
      <c r="N258">
        <v>163</v>
      </c>
      <c r="O258">
        <v>176</v>
      </c>
      <c r="Q258" t="s">
        <v>3114</v>
      </c>
      <c r="T258">
        <v>19</v>
      </c>
      <c r="U258">
        <v>1.58</v>
      </c>
      <c r="V258">
        <v>0</v>
      </c>
      <c r="W258">
        <v>0</v>
      </c>
      <c r="X258">
        <v>0</v>
      </c>
      <c r="Y258">
        <v>0</v>
      </c>
      <c r="Z258">
        <v>0</v>
      </c>
      <c r="AA258">
        <v>0</v>
      </c>
      <c r="AB258">
        <v>0</v>
      </c>
      <c r="AC258">
        <v>0</v>
      </c>
      <c r="AD258">
        <v>1</v>
      </c>
      <c r="AE258">
        <v>3</v>
      </c>
      <c r="AF258">
        <v>1</v>
      </c>
      <c r="AG258">
        <v>3</v>
      </c>
      <c r="AH258">
        <v>1</v>
      </c>
      <c r="AI258">
        <v>2</v>
      </c>
      <c r="AJ258">
        <v>1</v>
      </c>
      <c r="AK258">
        <v>2</v>
      </c>
      <c r="AL258">
        <v>3</v>
      </c>
      <c r="AM258">
        <v>2</v>
      </c>
      <c r="AN258">
        <v>0</v>
      </c>
    </row>
    <row r="259" spans="1:40" x14ac:dyDescent="0.25">
      <c r="A259" t="s">
        <v>3115</v>
      </c>
      <c r="B259" t="s">
        <v>3116</v>
      </c>
      <c r="E259" t="s">
        <v>3117</v>
      </c>
      <c r="F259" t="s">
        <v>3118</v>
      </c>
      <c r="G259">
        <v>2003</v>
      </c>
      <c r="H259">
        <v>2003</v>
      </c>
      <c r="I259">
        <v>2688</v>
      </c>
      <c r="N259">
        <v>27</v>
      </c>
      <c r="O259">
        <v>34</v>
      </c>
      <c r="R259" t="s">
        <v>3119</v>
      </c>
      <c r="S259" t="s">
        <v>3120</v>
      </c>
      <c r="T259">
        <v>19</v>
      </c>
      <c r="U259">
        <v>1.1200000000000001</v>
      </c>
      <c r="V259">
        <v>0</v>
      </c>
      <c r="W259">
        <v>0</v>
      </c>
      <c r="X259">
        <v>0</v>
      </c>
      <c r="Y259">
        <v>1</v>
      </c>
      <c r="Z259">
        <v>1</v>
      </c>
      <c r="AA259">
        <v>0</v>
      </c>
      <c r="AB259">
        <v>0</v>
      </c>
      <c r="AC259">
        <v>1</v>
      </c>
      <c r="AD259">
        <v>0</v>
      </c>
      <c r="AE259">
        <v>1</v>
      </c>
      <c r="AF259">
        <v>1</v>
      </c>
      <c r="AG259">
        <v>3</v>
      </c>
      <c r="AH259">
        <v>3</v>
      </c>
      <c r="AI259">
        <v>5</v>
      </c>
      <c r="AJ259">
        <v>1</v>
      </c>
      <c r="AK259">
        <v>0</v>
      </c>
      <c r="AL259">
        <v>1</v>
      </c>
      <c r="AM259">
        <v>1</v>
      </c>
      <c r="AN259">
        <v>0</v>
      </c>
    </row>
    <row r="260" spans="1:40" x14ac:dyDescent="0.25">
      <c r="A260" t="s">
        <v>3121</v>
      </c>
      <c r="B260" t="s">
        <v>3122</v>
      </c>
      <c r="F260" t="s">
        <v>298</v>
      </c>
      <c r="G260" t="s">
        <v>2922</v>
      </c>
      <c r="H260">
        <v>2017</v>
      </c>
      <c r="I260">
        <v>154</v>
      </c>
      <c r="N260">
        <v>137</v>
      </c>
      <c r="O260">
        <v>151</v>
      </c>
      <c r="Q260" t="s">
        <v>3123</v>
      </c>
      <c r="T260">
        <v>18</v>
      </c>
      <c r="U260">
        <v>6</v>
      </c>
      <c r="V260">
        <v>0</v>
      </c>
      <c r="W260">
        <v>0</v>
      </c>
      <c r="X260">
        <v>0</v>
      </c>
      <c r="Y260">
        <v>0</v>
      </c>
      <c r="Z260">
        <v>0</v>
      </c>
      <c r="AA260">
        <v>0</v>
      </c>
      <c r="AB260">
        <v>0</v>
      </c>
      <c r="AC260">
        <v>0</v>
      </c>
      <c r="AD260">
        <v>0</v>
      </c>
      <c r="AE260">
        <v>0</v>
      </c>
      <c r="AF260">
        <v>0</v>
      </c>
      <c r="AG260">
        <v>0</v>
      </c>
      <c r="AH260">
        <v>0</v>
      </c>
      <c r="AI260">
        <v>0</v>
      </c>
      <c r="AJ260">
        <v>0</v>
      </c>
      <c r="AK260">
        <v>0</v>
      </c>
      <c r="AL260">
        <v>6</v>
      </c>
      <c r="AM260">
        <v>11</v>
      </c>
      <c r="AN260">
        <v>1</v>
      </c>
    </row>
    <row r="261" spans="1:40" x14ac:dyDescent="0.25">
      <c r="A261" t="s">
        <v>3124</v>
      </c>
      <c r="B261" t="s">
        <v>3125</v>
      </c>
      <c r="F261" t="s">
        <v>308</v>
      </c>
      <c r="G261" t="s">
        <v>3126</v>
      </c>
      <c r="H261">
        <v>2016</v>
      </c>
      <c r="I261">
        <v>56</v>
      </c>
      <c r="N261">
        <v>159</v>
      </c>
      <c r="O261">
        <v>169</v>
      </c>
      <c r="Q261" t="s">
        <v>3127</v>
      </c>
      <c r="T261">
        <v>18</v>
      </c>
      <c r="U261">
        <v>4.5</v>
      </c>
      <c r="V261">
        <v>0</v>
      </c>
      <c r="W261">
        <v>0</v>
      </c>
      <c r="X261">
        <v>0</v>
      </c>
      <c r="Y261">
        <v>0</v>
      </c>
      <c r="Z261">
        <v>0</v>
      </c>
      <c r="AA261">
        <v>0</v>
      </c>
      <c r="AB261">
        <v>0</v>
      </c>
      <c r="AC261">
        <v>0</v>
      </c>
      <c r="AD261">
        <v>0</v>
      </c>
      <c r="AE261">
        <v>0</v>
      </c>
      <c r="AF261">
        <v>0</v>
      </c>
      <c r="AG261">
        <v>0</v>
      </c>
      <c r="AH261">
        <v>0</v>
      </c>
      <c r="AI261">
        <v>0</v>
      </c>
      <c r="AJ261">
        <v>0</v>
      </c>
      <c r="AK261">
        <v>1</v>
      </c>
      <c r="AL261">
        <v>5</v>
      </c>
      <c r="AM261">
        <v>11</v>
      </c>
      <c r="AN261">
        <v>1</v>
      </c>
    </row>
    <row r="262" spans="1:40" x14ac:dyDescent="0.25">
      <c r="A262" t="s">
        <v>3128</v>
      </c>
      <c r="B262" t="s">
        <v>3129</v>
      </c>
      <c r="F262" t="s">
        <v>302</v>
      </c>
      <c r="G262" t="s">
        <v>2412</v>
      </c>
      <c r="H262">
        <v>2015</v>
      </c>
      <c r="I262">
        <v>35</v>
      </c>
      <c r="N262">
        <v>1</v>
      </c>
      <c r="O262">
        <v>13</v>
      </c>
      <c r="Q262" t="s">
        <v>3130</v>
      </c>
      <c r="T262">
        <v>18</v>
      </c>
      <c r="U262">
        <v>3.6</v>
      </c>
      <c r="V262">
        <v>0</v>
      </c>
      <c r="W262">
        <v>0</v>
      </c>
      <c r="X262">
        <v>0</v>
      </c>
      <c r="Y262">
        <v>0</v>
      </c>
      <c r="Z262">
        <v>0</v>
      </c>
      <c r="AA262">
        <v>0</v>
      </c>
      <c r="AB262">
        <v>0</v>
      </c>
      <c r="AC262">
        <v>0</v>
      </c>
      <c r="AD262">
        <v>0</v>
      </c>
      <c r="AE262">
        <v>0</v>
      </c>
      <c r="AF262">
        <v>0</v>
      </c>
      <c r="AG262">
        <v>0</v>
      </c>
      <c r="AH262">
        <v>0</v>
      </c>
      <c r="AI262">
        <v>0</v>
      </c>
      <c r="AJ262">
        <v>1</v>
      </c>
      <c r="AK262">
        <v>10</v>
      </c>
      <c r="AL262">
        <v>4</v>
      </c>
      <c r="AM262">
        <v>3</v>
      </c>
      <c r="AN262">
        <v>0</v>
      </c>
    </row>
    <row r="263" spans="1:40" x14ac:dyDescent="0.25">
      <c r="A263" t="s">
        <v>1774</v>
      </c>
      <c r="B263" t="s">
        <v>1776</v>
      </c>
      <c r="F263" t="s">
        <v>311</v>
      </c>
      <c r="G263" t="s">
        <v>2797</v>
      </c>
      <c r="H263">
        <v>2013</v>
      </c>
      <c r="I263">
        <v>22</v>
      </c>
      <c r="J263">
        <v>5</v>
      </c>
      <c r="N263">
        <v>1712</v>
      </c>
      <c r="O263">
        <v>1725</v>
      </c>
      <c r="Q263" t="s">
        <v>3131</v>
      </c>
      <c r="T263">
        <v>18</v>
      </c>
      <c r="U263">
        <v>2.57</v>
      </c>
      <c r="V263">
        <v>0</v>
      </c>
      <c r="W263">
        <v>0</v>
      </c>
      <c r="X263">
        <v>0</v>
      </c>
      <c r="Y263">
        <v>0</v>
      </c>
      <c r="Z263">
        <v>0</v>
      </c>
      <c r="AA263">
        <v>0</v>
      </c>
      <c r="AB263">
        <v>0</v>
      </c>
      <c r="AC263">
        <v>0</v>
      </c>
      <c r="AD263">
        <v>0</v>
      </c>
      <c r="AE263">
        <v>0</v>
      </c>
      <c r="AF263">
        <v>0</v>
      </c>
      <c r="AG263">
        <v>0</v>
      </c>
      <c r="AH263">
        <v>3</v>
      </c>
      <c r="AI263">
        <v>3</v>
      </c>
      <c r="AJ263">
        <v>5</v>
      </c>
      <c r="AK263">
        <v>2</v>
      </c>
      <c r="AL263">
        <v>2</v>
      </c>
      <c r="AM263">
        <v>3</v>
      </c>
      <c r="AN263">
        <v>0</v>
      </c>
    </row>
    <row r="264" spans="1:40" x14ac:dyDescent="0.25">
      <c r="A264" t="s">
        <v>3132</v>
      </c>
      <c r="B264" t="s">
        <v>2823</v>
      </c>
      <c r="F264" t="s">
        <v>301</v>
      </c>
      <c r="G264" t="s">
        <v>3133</v>
      </c>
      <c r="H264">
        <v>2012</v>
      </c>
      <c r="I264">
        <v>12</v>
      </c>
      <c r="J264">
        <v>8</v>
      </c>
      <c r="N264">
        <v>2566</v>
      </c>
      <c r="O264">
        <v>2582</v>
      </c>
      <c r="Q264" t="s">
        <v>3134</v>
      </c>
      <c r="T264">
        <v>18</v>
      </c>
      <c r="U264">
        <v>2.25</v>
      </c>
      <c r="V264">
        <v>0</v>
      </c>
      <c r="W264">
        <v>0</v>
      </c>
      <c r="X264">
        <v>0</v>
      </c>
      <c r="Y264">
        <v>0</v>
      </c>
      <c r="Z264">
        <v>0</v>
      </c>
      <c r="AA264">
        <v>0</v>
      </c>
      <c r="AB264">
        <v>0</v>
      </c>
      <c r="AC264">
        <v>0</v>
      </c>
      <c r="AD264">
        <v>0</v>
      </c>
      <c r="AE264">
        <v>0</v>
      </c>
      <c r="AF264">
        <v>0</v>
      </c>
      <c r="AG264">
        <v>0</v>
      </c>
      <c r="AH264">
        <v>2</v>
      </c>
      <c r="AI264">
        <v>1</v>
      </c>
      <c r="AJ264">
        <v>3</v>
      </c>
      <c r="AK264">
        <v>8</v>
      </c>
      <c r="AL264">
        <v>2</v>
      </c>
      <c r="AM264">
        <v>2</v>
      </c>
      <c r="AN264">
        <v>0</v>
      </c>
    </row>
    <row r="265" spans="1:40" x14ac:dyDescent="0.25">
      <c r="A265" t="s">
        <v>3135</v>
      </c>
      <c r="B265" t="s">
        <v>3136</v>
      </c>
      <c r="F265" t="s">
        <v>311</v>
      </c>
      <c r="G265" t="s">
        <v>3086</v>
      </c>
      <c r="H265">
        <v>2011</v>
      </c>
      <c r="I265">
        <v>20</v>
      </c>
      <c r="J265">
        <v>1</v>
      </c>
      <c r="N265">
        <v>22</v>
      </c>
      <c r="O265">
        <v>35</v>
      </c>
      <c r="Q265" t="s">
        <v>3137</v>
      </c>
      <c r="T265">
        <v>18</v>
      </c>
      <c r="U265">
        <v>2</v>
      </c>
      <c r="V265">
        <v>0</v>
      </c>
      <c r="W265">
        <v>0</v>
      </c>
      <c r="X265">
        <v>0</v>
      </c>
      <c r="Y265">
        <v>0</v>
      </c>
      <c r="Z265">
        <v>0</v>
      </c>
      <c r="AA265">
        <v>0</v>
      </c>
      <c r="AB265">
        <v>0</v>
      </c>
      <c r="AC265">
        <v>0</v>
      </c>
      <c r="AD265">
        <v>0</v>
      </c>
      <c r="AE265">
        <v>0</v>
      </c>
      <c r="AF265">
        <v>1</v>
      </c>
      <c r="AG265">
        <v>1</v>
      </c>
      <c r="AH265">
        <v>2</v>
      </c>
      <c r="AI265">
        <v>6</v>
      </c>
      <c r="AJ265">
        <v>3</v>
      </c>
      <c r="AK265">
        <v>2</v>
      </c>
      <c r="AL265">
        <v>2</v>
      </c>
      <c r="AM265">
        <v>1</v>
      </c>
      <c r="AN265">
        <v>0</v>
      </c>
    </row>
    <row r="266" spans="1:40" x14ac:dyDescent="0.25">
      <c r="A266" t="s">
        <v>1575</v>
      </c>
      <c r="B266" t="s">
        <v>1577</v>
      </c>
      <c r="F266" t="s">
        <v>319</v>
      </c>
      <c r="G266" t="s">
        <v>3138</v>
      </c>
      <c r="H266">
        <v>2010</v>
      </c>
      <c r="I266">
        <v>59</v>
      </c>
      <c r="J266">
        <v>2</v>
      </c>
      <c r="N266">
        <v>103</v>
      </c>
      <c r="O266">
        <v>125</v>
      </c>
      <c r="Q266" t="s">
        <v>3139</v>
      </c>
      <c r="T266">
        <v>18</v>
      </c>
      <c r="U266">
        <v>1.8</v>
      </c>
      <c r="V266">
        <v>0</v>
      </c>
      <c r="W266">
        <v>0</v>
      </c>
      <c r="X266">
        <v>0</v>
      </c>
      <c r="Y266">
        <v>0</v>
      </c>
      <c r="Z266">
        <v>0</v>
      </c>
      <c r="AA266">
        <v>0</v>
      </c>
      <c r="AB266">
        <v>0</v>
      </c>
      <c r="AC266">
        <v>0</v>
      </c>
      <c r="AD266">
        <v>0</v>
      </c>
      <c r="AE266">
        <v>0</v>
      </c>
      <c r="AF266">
        <v>0</v>
      </c>
      <c r="AG266">
        <v>2</v>
      </c>
      <c r="AH266">
        <v>1</v>
      </c>
      <c r="AI266">
        <v>3</v>
      </c>
      <c r="AJ266">
        <v>3</v>
      </c>
      <c r="AK266">
        <v>3</v>
      </c>
      <c r="AL266">
        <v>2</v>
      </c>
      <c r="AM266">
        <v>3</v>
      </c>
      <c r="AN266">
        <v>1</v>
      </c>
    </row>
    <row r="267" spans="1:40" x14ac:dyDescent="0.25">
      <c r="A267" t="s">
        <v>3140</v>
      </c>
      <c r="B267" t="s">
        <v>3141</v>
      </c>
      <c r="F267" t="s">
        <v>311</v>
      </c>
      <c r="G267" t="s">
        <v>2393</v>
      </c>
      <c r="H267">
        <v>2015</v>
      </c>
      <c r="I267">
        <v>24</v>
      </c>
      <c r="J267">
        <v>12</v>
      </c>
      <c r="N267">
        <v>5330</v>
      </c>
      <c r="O267">
        <v>5342</v>
      </c>
      <c r="Q267" t="s">
        <v>3142</v>
      </c>
      <c r="T267">
        <v>17</v>
      </c>
      <c r="U267">
        <v>3.4</v>
      </c>
      <c r="V267">
        <v>0</v>
      </c>
      <c r="W267">
        <v>0</v>
      </c>
      <c r="X267">
        <v>0</v>
      </c>
      <c r="Y267">
        <v>0</v>
      </c>
      <c r="Z267">
        <v>0</v>
      </c>
      <c r="AA267">
        <v>0</v>
      </c>
      <c r="AB267">
        <v>0</v>
      </c>
      <c r="AC267">
        <v>0</v>
      </c>
      <c r="AD267">
        <v>0</v>
      </c>
      <c r="AE267">
        <v>0</v>
      </c>
      <c r="AF267">
        <v>0</v>
      </c>
      <c r="AG267">
        <v>0</v>
      </c>
      <c r="AH267">
        <v>0</v>
      </c>
      <c r="AI267">
        <v>0</v>
      </c>
      <c r="AJ267">
        <v>0</v>
      </c>
      <c r="AK267">
        <v>4</v>
      </c>
      <c r="AL267">
        <v>8</v>
      </c>
      <c r="AM267">
        <v>5</v>
      </c>
      <c r="AN267">
        <v>0</v>
      </c>
    </row>
    <row r="268" spans="1:40" x14ac:dyDescent="0.25">
      <c r="A268" t="s">
        <v>3143</v>
      </c>
      <c r="B268" t="s">
        <v>3144</v>
      </c>
      <c r="F268" t="s">
        <v>305</v>
      </c>
      <c r="G268" t="s">
        <v>3145</v>
      </c>
      <c r="H268">
        <v>2015</v>
      </c>
      <c r="I268">
        <v>65</v>
      </c>
      <c r="N268">
        <v>15</v>
      </c>
      <c r="O268">
        <v>21</v>
      </c>
      <c r="Q268" t="s">
        <v>3146</v>
      </c>
      <c r="T268">
        <v>17</v>
      </c>
      <c r="U268">
        <v>3.4</v>
      </c>
      <c r="V268">
        <v>0</v>
      </c>
      <c r="W268">
        <v>0</v>
      </c>
      <c r="X268">
        <v>0</v>
      </c>
      <c r="Y268">
        <v>0</v>
      </c>
      <c r="Z268">
        <v>0</v>
      </c>
      <c r="AA268">
        <v>0</v>
      </c>
      <c r="AB268">
        <v>0</v>
      </c>
      <c r="AC268">
        <v>0</v>
      </c>
      <c r="AD268">
        <v>0</v>
      </c>
      <c r="AE268">
        <v>0</v>
      </c>
      <c r="AF268">
        <v>0</v>
      </c>
      <c r="AG268">
        <v>0</v>
      </c>
      <c r="AH268">
        <v>0</v>
      </c>
      <c r="AI268">
        <v>0</v>
      </c>
      <c r="AJ268">
        <v>0</v>
      </c>
      <c r="AK268">
        <v>6</v>
      </c>
      <c r="AL268">
        <v>6</v>
      </c>
      <c r="AM268">
        <v>5</v>
      </c>
      <c r="AN268">
        <v>0</v>
      </c>
    </row>
    <row r="269" spans="1:40" x14ac:dyDescent="0.25">
      <c r="A269" t="s">
        <v>3147</v>
      </c>
      <c r="B269" t="s">
        <v>3148</v>
      </c>
      <c r="F269" t="s">
        <v>300</v>
      </c>
      <c r="G269" t="s">
        <v>2668</v>
      </c>
      <c r="H269">
        <v>2014</v>
      </c>
      <c r="I269">
        <v>36</v>
      </c>
      <c r="J269">
        <v>10</v>
      </c>
      <c r="N269">
        <v>2104</v>
      </c>
      <c r="O269">
        <v>2116</v>
      </c>
      <c r="Q269" t="s">
        <v>3149</v>
      </c>
      <c r="T269">
        <v>17</v>
      </c>
      <c r="U269">
        <v>2.83</v>
      </c>
      <c r="V269">
        <v>0</v>
      </c>
      <c r="W269">
        <v>0</v>
      </c>
      <c r="X269">
        <v>0</v>
      </c>
      <c r="Y269">
        <v>0</v>
      </c>
      <c r="Z269">
        <v>0</v>
      </c>
      <c r="AA269">
        <v>0</v>
      </c>
      <c r="AB269">
        <v>0</v>
      </c>
      <c r="AC269">
        <v>0</v>
      </c>
      <c r="AD269">
        <v>0</v>
      </c>
      <c r="AE269">
        <v>0</v>
      </c>
      <c r="AF269">
        <v>0</v>
      </c>
      <c r="AG269">
        <v>0</v>
      </c>
      <c r="AH269">
        <v>0</v>
      </c>
      <c r="AI269">
        <v>0</v>
      </c>
      <c r="AJ269">
        <v>3</v>
      </c>
      <c r="AK269">
        <v>4</v>
      </c>
      <c r="AL269">
        <v>2</v>
      </c>
      <c r="AM269">
        <v>7</v>
      </c>
      <c r="AN269">
        <v>1</v>
      </c>
    </row>
    <row r="270" spans="1:40" x14ac:dyDescent="0.25">
      <c r="A270" t="s">
        <v>3150</v>
      </c>
      <c r="B270" t="s">
        <v>3151</v>
      </c>
      <c r="F270" t="s">
        <v>314</v>
      </c>
      <c r="G270" t="s">
        <v>2640</v>
      </c>
      <c r="H270">
        <v>2014</v>
      </c>
      <c r="I270">
        <v>44</v>
      </c>
      <c r="J270">
        <v>1</v>
      </c>
      <c r="N270">
        <v>137</v>
      </c>
      <c r="O270">
        <v>148</v>
      </c>
      <c r="Q270" t="s">
        <v>3152</v>
      </c>
      <c r="T270">
        <v>17</v>
      </c>
      <c r="U270">
        <v>2.83</v>
      </c>
      <c r="V270">
        <v>0</v>
      </c>
      <c r="W270">
        <v>0</v>
      </c>
      <c r="X270">
        <v>0</v>
      </c>
      <c r="Y270">
        <v>0</v>
      </c>
      <c r="Z270">
        <v>0</v>
      </c>
      <c r="AA270">
        <v>0</v>
      </c>
      <c r="AB270">
        <v>0</v>
      </c>
      <c r="AC270">
        <v>0</v>
      </c>
      <c r="AD270">
        <v>0</v>
      </c>
      <c r="AE270">
        <v>0</v>
      </c>
      <c r="AF270">
        <v>0</v>
      </c>
      <c r="AG270">
        <v>0</v>
      </c>
      <c r="AH270">
        <v>0</v>
      </c>
      <c r="AI270">
        <v>0</v>
      </c>
      <c r="AJ270">
        <v>4</v>
      </c>
      <c r="AK270">
        <v>1</v>
      </c>
      <c r="AL270">
        <v>5</v>
      </c>
      <c r="AM270">
        <v>7</v>
      </c>
      <c r="AN270">
        <v>0</v>
      </c>
    </row>
    <row r="271" spans="1:40" x14ac:dyDescent="0.25">
      <c r="A271" t="s">
        <v>1299</v>
      </c>
      <c r="B271" t="s">
        <v>1301</v>
      </c>
      <c r="F271" t="s">
        <v>313</v>
      </c>
      <c r="G271" t="s">
        <v>3153</v>
      </c>
      <c r="H271">
        <v>2013</v>
      </c>
      <c r="I271">
        <v>40</v>
      </c>
      <c r="J271">
        <v>17</v>
      </c>
      <c r="N271">
        <v>6848</v>
      </c>
      <c r="O271">
        <v>6855</v>
      </c>
      <c r="Q271" t="s">
        <v>3154</v>
      </c>
      <c r="T271">
        <v>17</v>
      </c>
      <c r="U271">
        <v>2.4300000000000002</v>
      </c>
      <c r="V271">
        <v>0</v>
      </c>
      <c r="W271">
        <v>0</v>
      </c>
      <c r="X271">
        <v>0</v>
      </c>
      <c r="Y271">
        <v>0</v>
      </c>
      <c r="Z271">
        <v>0</v>
      </c>
      <c r="AA271">
        <v>0</v>
      </c>
      <c r="AB271">
        <v>0</v>
      </c>
      <c r="AC271">
        <v>0</v>
      </c>
      <c r="AD271">
        <v>0</v>
      </c>
      <c r="AE271">
        <v>0</v>
      </c>
      <c r="AF271">
        <v>0</v>
      </c>
      <c r="AG271">
        <v>0</v>
      </c>
      <c r="AH271">
        <v>3</v>
      </c>
      <c r="AI271">
        <v>4</v>
      </c>
      <c r="AJ271">
        <v>5</v>
      </c>
      <c r="AK271">
        <v>3</v>
      </c>
      <c r="AL271">
        <v>1</v>
      </c>
      <c r="AM271">
        <v>1</v>
      </c>
      <c r="AN271">
        <v>0</v>
      </c>
    </row>
    <row r="272" spans="1:40" x14ac:dyDescent="0.25">
      <c r="A272" t="s">
        <v>3155</v>
      </c>
      <c r="B272" t="s">
        <v>3156</v>
      </c>
      <c r="F272" t="s">
        <v>320</v>
      </c>
      <c r="G272" t="s">
        <v>2685</v>
      </c>
      <c r="H272">
        <v>2011</v>
      </c>
      <c r="I272">
        <v>23</v>
      </c>
      <c r="J272">
        <v>3</v>
      </c>
      <c r="N272">
        <v>593</v>
      </c>
      <c r="O272">
        <v>650</v>
      </c>
      <c r="Q272" t="s">
        <v>3157</v>
      </c>
      <c r="T272">
        <v>17</v>
      </c>
      <c r="U272">
        <v>1.89</v>
      </c>
      <c r="V272">
        <v>0</v>
      </c>
      <c r="W272">
        <v>0</v>
      </c>
      <c r="X272">
        <v>0</v>
      </c>
      <c r="Y272">
        <v>0</v>
      </c>
      <c r="Z272">
        <v>0</v>
      </c>
      <c r="AA272">
        <v>0</v>
      </c>
      <c r="AB272">
        <v>0</v>
      </c>
      <c r="AC272">
        <v>0</v>
      </c>
      <c r="AD272">
        <v>0</v>
      </c>
      <c r="AE272">
        <v>0</v>
      </c>
      <c r="AF272">
        <v>1</v>
      </c>
      <c r="AG272">
        <v>0</v>
      </c>
      <c r="AH272">
        <v>0</v>
      </c>
      <c r="AI272">
        <v>4</v>
      </c>
      <c r="AJ272">
        <v>0</v>
      </c>
      <c r="AK272">
        <v>2</v>
      </c>
      <c r="AL272">
        <v>4</v>
      </c>
      <c r="AM272">
        <v>5</v>
      </c>
      <c r="AN272">
        <v>1</v>
      </c>
    </row>
    <row r="273" spans="1:40" x14ac:dyDescent="0.25">
      <c r="A273" t="s">
        <v>1145</v>
      </c>
      <c r="B273" t="s">
        <v>1147</v>
      </c>
      <c r="F273" t="s">
        <v>302</v>
      </c>
      <c r="G273" t="s">
        <v>3158</v>
      </c>
      <c r="H273">
        <v>2008</v>
      </c>
      <c r="I273">
        <v>26</v>
      </c>
      <c r="J273">
        <v>10</v>
      </c>
      <c r="N273">
        <v>1384</v>
      </c>
      <c r="O273">
        <v>1396</v>
      </c>
      <c r="Q273" t="s">
        <v>3159</v>
      </c>
      <c r="T273">
        <v>17</v>
      </c>
      <c r="U273">
        <v>1.42</v>
      </c>
      <c r="V273">
        <v>0</v>
      </c>
      <c r="W273">
        <v>0</v>
      </c>
      <c r="X273">
        <v>0</v>
      </c>
      <c r="Y273">
        <v>0</v>
      </c>
      <c r="Z273">
        <v>0</v>
      </c>
      <c r="AA273">
        <v>0</v>
      </c>
      <c r="AB273">
        <v>0</v>
      </c>
      <c r="AC273">
        <v>0</v>
      </c>
      <c r="AD273">
        <v>2</v>
      </c>
      <c r="AE273">
        <v>2</v>
      </c>
      <c r="AF273">
        <v>2</v>
      </c>
      <c r="AG273">
        <v>3</v>
      </c>
      <c r="AH273">
        <v>3</v>
      </c>
      <c r="AI273">
        <v>0</v>
      </c>
      <c r="AJ273">
        <v>3</v>
      </c>
      <c r="AK273">
        <v>1</v>
      </c>
      <c r="AL273">
        <v>1</v>
      </c>
      <c r="AM273">
        <v>0</v>
      </c>
      <c r="AN273">
        <v>0</v>
      </c>
    </row>
    <row r="274" spans="1:40" x14ac:dyDescent="0.25">
      <c r="A274" t="s">
        <v>3160</v>
      </c>
      <c r="B274" t="s">
        <v>3161</v>
      </c>
      <c r="F274" t="s">
        <v>330</v>
      </c>
      <c r="G274" t="s">
        <v>2790</v>
      </c>
      <c r="H274">
        <v>2008</v>
      </c>
      <c r="I274">
        <v>4</v>
      </c>
      <c r="J274">
        <v>3</v>
      </c>
      <c r="N274">
        <v>671</v>
      </c>
      <c r="O274">
        <v>680</v>
      </c>
      <c r="T274">
        <v>17</v>
      </c>
      <c r="U274">
        <v>1.42</v>
      </c>
      <c r="V274">
        <v>0</v>
      </c>
      <c r="W274">
        <v>0</v>
      </c>
      <c r="X274">
        <v>0</v>
      </c>
      <c r="Y274">
        <v>0</v>
      </c>
      <c r="Z274">
        <v>0</v>
      </c>
      <c r="AA274">
        <v>0</v>
      </c>
      <c r="AB274">
        <v>0</v>
      </c>
      <c r="AC274">
        <v>0</v>
      </c>
      <c r="AD274">
        <v>8</v>
      </c>
      <c r="AE274">
        <v>7</v>
      </c>
      <c r="AF274">
        <v>0</v>
      </c>
      <c r="AG274">
        <v>0</v>
      </c>
      <c r="AH274">
        <v>1</v>
      </c>
      <c r="AI274">
        <v>0</v>
      </c>
      <c r="AJ274">
        <v>0</v>
      </c>
      <c r="AK274">
        <v>0</v>
      </c>
      <c r="AL274">
        <v>0</v>
      </c>
      <c r="AM274">
        <v>1</v>
      </c>
      <c r="AN274">
        <v>0</v>
      </c>
    </row>
    <row r="275" spans="1:40" x14ac:dyDescent="0.25">
      <c r="A275" t="s">
        <v>1500</v>
      </c>
      <c r="B275" t="s">
        <v>1502</v>
      </c>
      <c r="F275" t="s">
        <v>303</v>
      </c>
      <c r="G275" t="s">
        <v>3162</v>
      </c>
      <c r="H275">
        <v>2001</v>
      </c>
      <c r="I275">
        <v>43</v>
      </c>
      <c r="J275">
        <v>3</v>
      </c>
      <c r="N275">
        <v>189</v>
      </c>
      <c r="O275">
        <v>204</v>
      </c>
      <c r="Q275" t="s">
        <v>3163</v>
      </c>
      <c r="T275">
        <v>17</v>
      </c>
      <c r="U275">
        <v>0.89</v>
      </c>
      <c r="V275">
        <v>0</v>
      </c>
      <c r="W275">
        <v>1</v>
      </c>
      <c r="X275">
        <v>0</v>
      </c>
      <c r="Y275">
        <v>0</v>
      </c>
      <c r="Z275">
        <v>0</v>
      </c>
      <c r="AA275">
        <v>2</v>
      </c>
      <c r="AB275">
        <v>3</v>
      </c>
      <c r="AC275">
        <v>1</v>
      </c>
      <c r="AD275">
        <v>1</v>
      </c>
      <c r="AE275">
        <v>0</v>
      </c>
      <c r="AF275">
        <v>2</v>
      </c>
      <c r="AG275">
        <v>0</v>
      </c>
      <c r="AH275">
        <v>4</v>
      </c>
      <c r="AI275">
        <v>1</v>
      </c>
      <c r="AJ275">
        <v>0</v>
      </c>
      <c r="AK275">
        <v>1</v>
      </c>
      <c r="AL275">
        <v>1</v>
      </c>
      <c r="AM275">
        <v>0</v>
      </c>
      <c r="AN275">
        <v>0</v>
      </c>
    </row>
    <row r="276" spans="1:40" x14ac:dyDescent="0.25">
      <c r="A276" t="s">
        <v>3164</v>
      </c>
      <c r="B276" t="s">
        <v>3165</v>
      </c>
      <c r="F276" t="s">
        <v>308</v>
      </c>
      <c r="G276" t="s">
        <v>2774</v>
      </c>
      <c r="H276">
        <v>2016</v>
      </c>
      <c r="I276">
        <v>59</v>
      </c>
      <c r="M276" t="s">
        <v>1948</v>
      </c>
      <c r="N276">
        <v>312</v>
      </c>
      <c r="O276">
        <v>324</v>
      </c>
      <c r="Q276" t="s">
        <v>3166</v>
      </c>
      <c r="T276">
        <v>16</v>
      </c>
      <c r="U276">
        <v>4</v>
      </c>
      <c r="V276">
        <v>0</v>
      </c>
      <c r="W276">
        <v>0</v>
      </c>
      <c r="X276">
        <v>0</v>
      </c>
      <c r="Y276">
        <v>0</v>
      </c>
      <c r="Z276">
        <v>0</v>
      </c>
      <c r="AA276">
        <v>0</v>
      </c>
      <c r="AB276">
        <v>0</v>
      </c>
      <c r="AC276">
        <v>0</v>
      </c>
      <c r="AD276">
        <v>0</v>
      </c>
      <c r="AE276">
        <v>0</v>
      </c>
      <c r="AF276">
        <v>0</v>
      </c>
      <c r="AG276">
        <v>0</v>
      </c>
      <c r="AH276">
        <v>0</v>
      </c>
      <c r="AI276">
        <v>0</v>
      </c>
      <c r="AJ276">
        <v>0</v>
      </c>
      <c r="AK276">
        <v>0</v>
      </c>
      <c r="AL276">
        <v>3</v>
      </c>
      <c r="AM276">
        <v>10</v>
      </c>
      <c r="AN276">
        <v>3</v>
      </c>
    </row>
    <row r="277" spans="1:40" x14ac:dyDescent="0.25">
      <c r="A277" t="s">
        <v>3167</v>
      </c>
      <c r="B277" t="s">
        <v>3168</v>
      </c>
      <c r="F277" t="s">
        <v>298</v>
      </c>
      <c r="G277" t="s">
        <v>2528</v>
      </c>
      <c r="H277">
        <v>2016</v>
      </c>
      <c r="I277">
        <v>145</v>
      </c>
      <c r="N277">
        <v>43</v>
      </c>
      <c r="O277">
        <v>58</v>
      </c>
      <c r="Q277" t="s">
        <v>3169</v>
      </c>
      <c r="T277">
        <v>16</v>
      </c>
      <c r="U277">
        <v>4</v>
      </c>
      <c r="V277">
        <v>0</v>
      </c>
      <c r="W277">
        <v>0</v>
      </c>
      <c r="X277">
        <v>0</v>
      </c>
      <c r="Y277">
        <v>0</v>
      </c>
      <c r="Z277">
        <v>0</v>
      </c>
      <c r="AA277">
        <v>0</v>
      </c>
      <c r="AB277">
        <v>0</v>
      </c>
      <c r="AC277">
        <v>0</v>
      </c>
      <c r="AD277">
        <v>0</v>
      </c>
      <c r="AE277">
        <v>0</v>
      </c>
      <c r="AF277">
        <v>0</v>
      </c>
      <c r="AG277">
        <v>0</v>
      </c>
      <c r="AH277">
        <v>0</v>
      </c>
      <c r="AI277">
        <v>0</v>
      </c>
      <c r="AJ277">
        <v>0</v>
      </c>
      <c r="AK277">
        <v>2</v>
      </c>
      <c r="AL277">
        <v>5</v>
      </c>
      <c r="AM277">
        <v>9</v>
      </c>
      <c r="AN277">
        <v>0</v>
      </c>
    </row>
    <row r="278" spans="1:40" x14ac:dyDescent="0.25">
      <c r="A278" t="s">
        <v>1662</v>
      </c>
      <c r="B278" t="s">
        <v>1664</v>
      </c>
      <c r="F278" t="s">
        <v>306</v>
      </c>
      <c r="G278" t="s">
        <v>3170</v>
      </c>
      <c r="H278">
        <v>2015</v>
      </c>
      <c r="I278">
        <v>168</v>
      </c>
      <c r="N278">
        <v>454</v>
      </c>
      <c r="O278">
        <v>463</v>
      </c>
      <c r="Q278" t="s">
        <v>3171</v>
      </c>
      <c r="T278">
        <v>16</v>
      </c>
      <c r="U278">
        <v>3.2</v>
      </c>
      <c r="V278">
        <v>0</v>
      </c>
      <c r="W278">
        <v>0</v>
      </c>
      <c r="X278">
        <v>0</v>
      </c>
      <c r="Y278">
        <v>0</v>
      </c>
      <c r="Z278">
        <v>0</v>
      </c>
      <c r="AA278">
        <v>0</v>
      </c>
      <c r="AB278">
        <v>0</v>
      </c>
      <c r="AC278">
        <v>0</v>
      </c>
      <c r="AD278">
        <v>0</v>
      </c>
      <c r="AE278">
        <v>0</v>
      </c>
      <c r="AF278">
        <v>0</v>
      </c>
      <c r="AG278">
        <v>0</v>
      </c>
      <c r="AH278">
        <v>0</v>
      </c>
      <c r="AI278">
        <v>0</v>
      </c>
      <c r="AJ278">
        <v>0</v>
      </c>
      <c r="AK278">
        <v>1</v>
      </c>
      <c r="AL278">
        <v>8</v>
      </c>
      <c r="AM278">
        <v>6</v>
      </c>
      <c r="AN278">
        <v>1</v>
      </c>
    </row>
    <row r="279" spans="1:40" x14ac:dyDescent="0.25">
      <c r="A279" t="s">
        <v>3172</v>
      </c>
      <c r="B279" t="s">
        <v>3173</v>
      </c>
      <c r="F279" t="s">
        <v>306</v>
      </c>
      <c r="G279" t="s">
        <v>3174</v>
      </c>
      <c r="H279">
        <v>2015</v>
      </c>
      <c r="I279">
        <v>161</v>
      </c>
      <c r="N279">
        <v>38</v>
      </c>
      <c r="O279">
        <v>46</v>
      </c>
      <c r="Q279" t="s">
        <v>3175</v>
      </c>
      <c r="T279">
        <v>16</v>
      </c>
      <c r="U279">
        <v>3.2</v>
      </c>
      <c r="V279">
        <v>0</v>
      </c>
      <c r="W279">
        <v>0</v>
      </c>
      <c r="X279">
        <v>0</v>
      </c>
      <c r="Y279">
        <v>0</v>
      </c>
      <c r="Z279">
        <v>0</v>
      </c>
      <c r="AA279">
        <v>0</v>
      </c>
      <c r="AB279">
        <v>0</v>
      </c>
      <c r="AC279">
        <v>0</v>
      </c>
      <c r="AD279">
        <v>0</v>
      </c>
      <c r="AE279">
        <v>0</v>
      </c>
      <c r="AF279">
        <v>0</v>
      </c>
      <c r="AG279">
        <v>0</v>
      </c>
      <c r="AH279">
        <v>0</v>
      </c>
      <c r="AI279">
        <v>0</v>
      </c>
      <c r="AJ279">
        <v>0</v>
      </c>
      <c r="AK279">
        <v>4</v>
      </c>
      <c r="AL279">
        <v>8</v>
      </c>
      <c r="AM279">
        <v>4</v>
      </c>
      <c r="AN279">
        <v>0</v>
      </c>
    </row>
    <row r="280" spans="1:40" x14ac:dyDescent="0.25">
      <c r="A280" t="s">
        <v>1086</v>
      </c>
      <c r="B280" t="s">
        <v>1088</v>
      </c>
      <c r="F280" t="s">
        <v>298</v>
      </c>
      <c r="G280" t="s">
        <v>2668</v>
      </c>
      <c r="H280">
        <v>2014</v>
      </c>
      <c r="I280">
        <v>127</v>
      </c>
      <c r="N280">
        <v>73</v>
      </c>
      <c r="O280">
        <v>85</v>
      </c>
      <c r="Q280" t="s">
        <v>3176</v>
      </c>
      <c r="T280">
        <v>16</v>
      </c>
      <c r="U280">
        <v>2.67</v>
      </c>
      <c r="V280">
        <v>0</v>
      </c>
      <c r="W280">
        <v>0</v>
      </c>
      <c r="X280">
        <v>0</v>
      </c>
      <c r="Y280">
        <v>0</v>
      </c>
      <c r="Z280">
        <v>0</v>
      </c>
      <c r="AA280">
        <v>0</v>
      </c>
      <c r="AB280">
        <v>0</v>
      </c>
      <c r="AC280">
        <v>0</v>
      </c>
      <c r="AD280">
        <v>0</v>
      </c>
      <c r="AE280">
        <v>0</v>
      </c>
      <c r="AF280">
        <v>0</v>
      </c>
      <c r="AG280">
        <v>0</v>
      </c>
      <c r="AH280">
        <v>0</v>
      </c>
      <c r="AI280">
        <v>0</v>
      </c>
      <c r="AJ280">
        <v>1</v>
      </c>
      <c r="AK280">
        <v>7</v>
      </c>
      <c r="AL280">
        <v>4</v>
      </c>
      <c r="AM280">
        <v>4</v>
      </c>
      <c r="AN280">
        <v>0</v>
      </c>
    </row>
    <row r="281" spans="1:40" x14ac:dyDescent="0.25">
      <c r="A281" t="s">
        <v>3177</v>
      </c>
      <c r="B281" t="s">
        <v>3178</v>
      </c>
      <c r="F281" t="s">
        <v>306</v>
      </c>
      <c r="G281" t="s">
        <v>3179</v>
      </c>
      <c r="H281">
        <v>2013</v>
      </c>
      <c r="I281">
        <v>105</v>
      </c>
      <c r="M281" t="s">
        <v>1948</v>
      </c>
      <c r="N281">
        <v>45</v>
      </c>
      <c r="O281">
        <v>50</v>
      </c>
      <c r="Q281" t="s">
        <v>3180</v>
      </c>
      <c r="T281">
        <v>16</v>
      </c>
      <c r="U281">
        <v>2.29</v>
      </c>
      <c r="V281">
        <v>0</v>
      </c>
      <c r="W281">
        <v>0</v>
      </c>
      <c r="X281">
        <v>0</v>
      </c>
      <c r="Y281">
        <v>0</v>
      </c>
      <c r="Z281">
        <v>0</v>
      </c>
      <c r="AA281">
        <v>0</v>
      </c>
      <c r="AB281">
        <v>0</v>
      </c>
      <c r="AC281">
        <v>0</v>
      </c>
      <c r="AD281">
        <v>0</v>
      </c>
      <c r="AE281">
        <v>0</v>
      </c>
      <c r="AF281">
        <v>0</v>
      </c>
      <c r="AG281">
        <v>0</v>
      </c>
      <c r="AH281">
        <v>0</v>
      </c>
      <c r="AI281">
        <v>4</v>
      </c>
      <c r="AJ281">
        <v>4</v>
      </c>
      <c r="AK281">
        <v>5</v>
      </c>
      <c r="AL281">
        <v>0</v>
      </c>
      <c r="AM281">
        <v>3</v>
      </c>
      <c r="AN281">
        <v>0</v>
      </c>
    </row>
    <row r="282" spans="1:40" x14ac:dyDescent="0.25">
      <c r="A282" t="s">
        <v>3181</v>
      </c>
      <c r="B282" t="s">
        <v>3182</v>
      </c>
      <c r="F282" t="s">
        <v>301</v>
      </c>
      <c r="G282" t="s">
        <v>2964</v>
      </c>
      <c r="H282">
        <v>2013</v>
      </c>
      <c r="I282">
        <v>13</v>
      </c>
      <c r="J282">
        <v>4</v>
      </c>
      <c r="N282">
        <v>2017</v>
      </c>
      <c r="O282">
        <v>2036</v>
      </c>
      <c r="Q282" t="s">
        <v>3183</v>
      </c>
      <c r="T282">
        <v>16</v>
      </c>
      <c r="U282">
        <v>2.29</v>
      </c>
      <c r="V282">
        <v>0</v>
      </c>
      <c r="W282">
        <v>0</v>
      </c>
      <c r="X282">
        <v>0</v>
      </c>
      <c r="Y282">
        <v>0</v>
      </c>
      <c r="Z282">
        <v>0</v>
      </c>
      <c r="AA282">
        <v>0</v>
      </c>
      <c r="AB282">
        <v>0</v>
      </c>
      <c r="AC282">
        <v>0</v>
      </c>
      <c r="AD282">
        <v>0</v>
      </c>
      <c r="AE282">
        <v>0</v>
      </c>
      <c r="AF282">
        <v>0</v>
      </c>
      <c r="AG282">
        <v>0</v>
      </c>
      <c r="AH282">
        <v>1</v>
      </c>
      <c r="AI282">
        <v>1</v>
      </c>
      <c r="AJ282">
        <v>3</v>
      </c>
      <c r="AK282">
        <v>3</v>
      </c>
      <c r="AL282">
        <v>6</v>
      </c>
      <c r="AM282">
        <v>2</v>
      </c>
      <c r="AN282">
        <v>0</v>
      </c>
    </row>
    <row r="283" spans="1:40" x14ac:dyDescent="0.25">
      <c r="A283" t="s">
        <v>3184</v>
      </c>
      <c r="B283" t="s">
        <v>3185</v>
      </c>
      <c r="F283" t="s">
        <v>305</v>
      </c>
      <c r="G283" t="s">
        <v>3186</v>
      </c>
      <c r="H283">
        <v>2012</v>
      </c>
      <c r="I283">
        <v>33</v>
      </c>
      <c r="J283">
        <v>16</v>
      </c>
      <c r="N283">
        <v>2127</v>
      </c>
      <c r="O283">
        <v>2133</v>
      </c>
      <c r="Q283" t="s">
        <v>3187</v>
      </c>
      <c r="T283">
        <v>16</v>
      </c>
      <c r="U283">
        <v>2</v>
      </c>
      <c r="V283">
        <v>0</v>
      </c>
      <c r="W283">
        <v>0</v>
      </c>
      <c r="X283">
        <v>0</v>
      </c>
      <c r="Y283">
        <v>0</v>
      </c>
      <c r="Z283">
        <v>0</v>
      </c>
      <c r="AA283">
        <v>0</v>
      </c>
      <c r="AB283">
        <v>0</v>
      </c>
      <c r="AC283">
        <v>0</v>
      </c>
      <c r="AD283">
        <v>0</v>
      </c>
      <c r="AE283">
        <v>0</v>
      </c>
      <c r="AF283">
        <v>0</v>
      </c>
      <c r="AG283">
        <v>0</v>
      </c>
      <c r="AH283">
        <v>1</v>
      </c>
      <c r="AI283">
        <v>1</v>
      </c>
      <c r="AJ283">
        <v>3</v>
      </c>
      <c r="AK283">
        <v>3</v>
      </c>
      <c r="AL283">
        <v>6</v>
      </c>
      <c r="AM283">
        <v>2</v>
      </c>
      <c r="AN283">
        <v>0</v>
      </c>
    </row>
    <row r="284" spans="1:40" x14ac:dyDescent="0.25">
      <c r="A284" t="s">
        <v>3188</v>
      </c>
      <c r="B284" t="s">
        <v>3189</v>
      </c>
      <c r="F284" t="s">
        <v>313</v>
      </c>
      <c r="G284" t="s">
        <v>3133</v>
      </c>
      <c r="H284">
        <v>2012</v>
      </c>
      <c r="I284">
        <v>39</v>
      </c>
      <c r="J284">
        <v>10</v>
      </c>
      <c r="N284">
        <v>8993</v>
      </c>
      <c r="O284">
        <v>9001</v>
      </c>
      <c r="Q284" t="s">
        <v>3190</v>
      </c>
      <c r="T284">
        <v>16</v>
      </c>
      <c r="U284">
        <v>2</v>
      </c>
      <c r="V284">
        <v>0</v>
      </c>
      <c r="W284">
        <v>0</v>
      </c>
      <c r="X284">
        <v>0</v>
      </c>
      <c r="Y284">
        <v>0</v>
      </c>
      <c r="Z284">
        <v>0</v>
      </c>
      <c r="AA284">
        <v>0</v>
      </c>
      <c r="AB284">
        <v>0</v>
      </c>
      <c r="AC284">
        <v>0</v>
      </c>
      <c r="AD284">
        <v>0</v>
      </c>
      <c r="AE284">
        <v>0</v>
      </c>
      <c r="AF284">
        <v>0</v>
      </c>
      <c r="AG284">
        <v>1</v>
      </c>
      <c r="AH284">
        <v>2</v>
      </c>
      <c r="AI284">
        <v>3</v>
      </c>
      <c r="AJ284">
        <v>3</v>
      </c>
      <c r="AK284">
        <v>0</v>
      </c>
      <c r="AL284">
        <v>3</v>
      </c>
      <c r="AM284">
        <v>4</v>
      </c>
      <c r="AN284">
        <v>0</v>
      </c>
    </row>
    <row r="285" spans="1:40" x14ac:dyDescent="0.25">
      <c r="A285" t="s">
        <v>3191</v>
      </c>
      <c r="B285" t="s">
        <v>3192</v>
      </c>
      <c r="F285" t="s">
        <v>312</v>
      </c>
      <c r="G285" t="s">
        <v>2471</v>
      </c>
      <c r="H285">
        <v>2012</v>
      </c>
      <c r="I285">
        <v>7</v>
      </c>
      <c r="J285">
        <v>1</v>
      </c>
      <c r="M285" t="s">
        <v>1948</v>
      </c>
      <c r="N285">
        <v>31</v>
      </c>
      <c r="O285">
        <v>41</v>
      </c>
      <c r="Q285" t="s">
        <v>3193</v>
      </c>
      <c r="T285">
        <v>16</v>
      </c>
      <c r="U285">
        <v>2</v>
      </c>
      <c r="V285">
        <v>0</v>
      </c>
      <c r="W285">
        <v>0</v>
      </c>
      <c r="X285">
        <v>0</v>
      </c>
      <c r="Y285">
        <v>0</v>
      </c>
      <c r="Z285">
        <v>0</v>
      </c>
      <c r="AA285">
        <v>0</v>
      </c>
      <c r="AB285">
        <v>0</v>
      </c>
      <c r="AC285">
        <v>0</v>
      </c>
      <c r="AD285">
        <v>0</v>
      </c>
      <c r="AE285">
        <v>0</v>
      </c>
      <c r="AF285">
        <v>0</v>
      </c>
      <c r="AG285">
        <v>2</v>
      </c>
      <c r="AH285">
        <v>2</v>
      </c>
      <c r="AI285">
        <v>2</v>
      </c>
      <c r="AJ285">
        <v>5</v>
      </c>
      <c r="AK285">
        <v>2</v>
      </c>
      <c r="AL285">
        <v>1</v>
      </c>
      <c r="AM285">
        <v>2</v>
      </c>
      <c r="AN285">
        <v>0</v>
      </c>
    </row>
    <row r="286" spans="1:40" x14ac:dyDescent="0.25">
      <c r="A286" t="s">
        <v>3194</v>
      </c>
      <c r="B286" t="s">
        <v>3195</v>
      </c>
      <c r="F286" t="s">
        <v>302</v>
      </c>
      <c r="G286" t="s">
        <v>2483</v>
      </c>
      <c r="H286">
        <v>2012</v>
      </c>
      <c r="I286">
        <v>30</v>
      </c>
      <c r="J286">
        <v>1</v>
      </c>
      <c r="N286">
        <v>1</v>
      </c>
      <c r="O286">
        <v>14</v>
      </c>
      <c r="Q286" t="s">
        <v>3196</v>
      </c>
      <c r="T286">
        <v>16</v>
      </c>
      <c r="U286">
        <v>2</v>
      </c>
      <c r="V286">
        <v>0</v>
      </c>
      <c r="W286">
        <v>0</v>
      </c>
      <c r="X286">
        <v>0</v>
      </c>
      <c r="Y286">
        <v>0</v>
      </c>
      <c r="Z286">
        <v>0</v>
      </c>
      <c r="AA286">
        <v>0</v>
      </c>
      <c r="AB286">
        <v>0</v>
      </c>
      <c r="AC286">
        <v>0</v>
      </c>
      <c r="AD286">
        <v>0</v>
      </c>
      <c r="AE286">
        <v>0</v>
      </c>
      <c r="AF286">
        <v>0</v>
      </c>
      <c r="AG286">
        <v>0</v>
      </c>
      <c r="AH286">
        <v>2</v>
      </c>
      <c r="AI286">
        <v>3</v>
      </c>
      <c r="AJ286">
        <v>5</v>
      </c>
      <c r="AK286">
        <v>5</v>
      </c>
      <c r="AL286">
        <v>0</v>
      </c>
      <c r="AM286">
        <v>1</v>
      </c>
      <c r="AN286">
        <v>0</v>
      </c>
    </row>
    <row r="287" spans="1:40" x14ac:dyDescent="0.25">
      <c r="A287" t="s">
        <v>1344</v>
      </c>
      <c r="B287" t="s">
        <v>1346</v>
      </c>
      <c r="F287" t="s">
        <v>300</v>
      </c>
      <c r="G287" t="s">
        <v>2404</v>
      </c>
      <c r="H287">
        <v>2010</v>
      </c>
      <c r="I287">
        <v>32</v>
      </c>
      <c r="J287">
        <v>12</v>
      </c>
      <c r="N287">
        <v>2246</v>
      </c>
      <c r="O287">
        <v>2261</v>
      </c>
      <c r="Q287" t="s">
        <v>3197</v>
      </c>
      <c r="T287">
        <v>16</v>
      </c>
      <c r="U287">
        <v>1.6</v>
      </c>
      <c r="V287">
        <v>0</v>
      </c>
      <c r="W287">
        <v>0</v>
      </c>
      <c r="X287">
        <v>0</v>
      </c>
      <c r="Y287">
        <v>0</v>
      </c>
      <c r="Z287">
        <v>0</v>
      </c>
      <c r="AA287">
        <v>0</v>
      </c>
      <c r="AB287">
        <v>0</v>
      </c>
      <c r="AC287">
        <v>0</v>
      </c>
      <c r="AD287">
        <v>0</v>
      </c>
      <c r="AE287">
        <v>0</v>
      </c>
      <c r="AF287">
        <v>2</v>
      </c>
      <c r="AG287">
        <v>2</v>
      </c>
      <c r="AH287">
        <v>2</v>
      </c>
      <c r="AI287">
        <v>2</v>
      </c>
      <c r="AJ287">
        <v>1</v>
      </c>
      <c r="AK287">
        <v>4</v>
      </c>
      <c r="AL287">
        <v>3</v>
      </c>
      <c r="AM287">
        <v>0</v>
      </c>
      <c r="AN287">
        <v>0</v>
      </c>
    </row>
    <row r="288" spans="1:40" x14ac:dyDescent="0.25">
      <c r="A288" t="s">
        <v>3198</v>
      </c>
      <c r="B288" t="s">
        <v>3199</v>
      </c>
      <c r="F288" t="s">
        <v>300</v>
      </c>
      <c r="G288" t="s">
        <v>2973</v>
      </c>
      <c r="H288">
        <v>2004</v>
      </c>
      <c r="I288">
        <v>26</v>
      </c>
      <c r="J288">
        <v>5</v>
      </c>
      <c r="N288">
        <v>582</v>
      </c>
      <c r="O288">
        <v>593</v>
      </c>
      <c r="Q288" t="s">
        <v>3200</v>
      </c>
      <c r="T288">
        <v>16</v>
      </c>
      <c r="U288">
        <v>1</v>
      </c>
      <c r="V288">
        <v>0</v>
      </c>
      <c r="W288">
        <v>0</v>
      </c>
      <c r="X288">
        <v>0</v>
      </c>
      <c r="Y288">
        <v>0</v>
      </c>
      <c r="Z288">
        <v>0</v>
      </c>
      <c r="AA288">
        <v>0</v>
      </c>
      <c r="AB288">
        <v>0</v>
      </c>
      <c r="AC288">
        <v>2</v>
      </c>
      <c r="AD288">
        <v>1</v>
      </c>
      <c r="AE288">
        <v>2</v>
      </c>
      <c r="AF288">
        <v>7</v>
      </c>
      <c r="AG288">
        <v>2</v>
      </c>
      <c r="AH288">
        <v>0</v>
      </c>
      <c r="AI288">
        <v>0</v>
      </c>
      <c r="AJ288">
        <v>1</v>
      </c>
      <c r="AK288">
        <v>1</v>
      </c>
      <c r="AL288">
        <v>0</v>
      </c>
      <c r="AM288">
        <v>0</v>
      </c>
      <c r="AN288">
        <v>0</v>
      </c>
    </row>
    <row r="289" spans="1:40" x14ac:dyDescent="0.25">
      <c r="A289" t="s">
        <v>3201</v>
      </c>
      <c r="B289" t="s">
        <v>3202</v>
      </c>
      <c r="F289" t="s">
        <v>306</v>
      </c>
      <c r="G289" t="s">
        <v>3170</v>
      </c>
      <c r="H289">
        <v>2015</v>
      </c>
      <c r="I289">
        <v>168</v>
      </c>
      <c r="N289">
        <v>336</v>
      </c>
      <c r="O289">
        <v>347</v>
      </c>
      <c r="Q289" t="s">
        <v>3203</v>
      </c>
      <c r="T289">
        <v>15</v>
      </c>
      <c r="U289">
        <v>3</v>
      </c>
      <c r="V289">
        <v>0</v>
      </c>
      <c r="W289">
        <v>0</v>
      </c>
      <c r="X289">
        <v>0</v>
      </c>
      <c r="Y289">
        <v>0</v>
      </c>
      <c r="Z289">
        <v>0</v>
      </c>
      <c r="AA289">
        <v>0</v>
      </c>
      <c r="AB289">
        <v>0</v>
      </c>
      <c r="AC289">
        <v>0</v>
      </c>
      <c r="AD289">
        <v>0</v>
      </c>
      <c r="AE289">
        <v>0</v>
      </c>
      <c r="AF289">
        <v>0</v>
      </c>
      <c r="AG289">
        <v>0</v>
      </c>
      <c r="AH289">
        <v>0</v>
      </c>
      <c r="AI289">
        <v>0</v>
      </c>
      <c r="AJ289">
        <v>0</v>
      </c>
      <c r="AK289">
        <v>0</v>
      </c>
      <c r="AL289">
        <v>2</v>
      </c>
      <c r="AM289">
        <v>13</v>
      </c>
      <c r="AN289">
        <v>0</v>
      </c>
    </row>
    <row r="290" spans="1:40" x14ac:dyDescent="0.25">
      <c r="A290" t="s">
        <v>1671</v>
      </c>
      <c r="B290" t="s">
        <v>1673</v>
      </c>
      <c r="F290" t="s">
        <v>308</v>
      </c>
      <c r="G290" t="s">
        <v>2856</v>
      </c>
      <c r="H290">
        <v>2015</v>
      </c>
      <c r="I290">
        <v>48</v>
      </c>
      <c r="J290">
        <v>11</v>
      </c>
      <c r="M290" t="s">
        <v>1948</v>
      </c>
      <c r="N290">
        <v>3371</v>
      </c>
      <c r="O290">
        <v>3384</v>
      </c>
      <c r="Q290" t="s">
        <v>3204</v>
      </c>
      <c r="T290">
        <v>15</v>
      </c>
      <c r="U290">
        <v>3</v>
      </c>
      <c r="V290">
        <v>0</v>
      </c>
      <c r="W290">
        <v>0</v>
      </c>
      <c r="X290">
        <v>0</v>
      </c>
      <c r="Y290">
        <v>0</v>
      </c>
      <c r="Z290">
        <v>0</v>
      </c>
      <c r="AA290">
        <v>0</v>
      </c>
      <c r="AB290">
        <v>0</v>
      </c>
      <c r="AC290">
        <v>0</v>
      </c>
      <c r="AD290">
        <v>0</v>
      </c>
      <c r="AE290">
        <v>0</v>
      </c>
      <c r="AF290">
        <v>0</v>
      </c>
      <c r="AG290">
        <v>0</v>
      </c>
      <c r="AH290">
        <v>0</v>
      </c>
      <c r="AI290">
        <v>0</v>
      </c>
      <c r="AJ290">
        <v>1</v>
      </c>
      <c r="AK290">
        <v>2</v>
      </c>
      <c r="AL290">
        <v>9</v>
      </c>
      <c r="AM290">
        <v>3</v>
      </c>
      <c r="AN290">
        <v>0</v>
      </c>
    </row>
    <row r="291" spans="1:40" x14ac:dyDescent="0.25">
      <c r="A291" t="s">
        <v>3205</v>
      </c>
      <c r="B291" t="s">
        <v>3206</v>
      </c>
      <c r="F291" t="s">
        <v>306</v>
      </c>
      <c r="G291" t="s">
        <v>3207</v>
      </c>
      <c r="H291">
        <v>2015</v>
      </c>
      <c r="I291">
        <v>147</v>
      </c>
      <c r="N291">
        <v>435</v>
      </c>
      <c r="O291">
        <v>443</v>
      </c>
      <c r="Q291" t="s">
        <v>3208</v>
      </c>
      <c r="T291">
        <v>15</v>
      </c>
      <c r="U291">
        <v>3</v>
      </c>
      <c r="V291">
        <v>0</v>
      </c>
      <c r="W291">
        <v>0</v>
      </c>
      <c r="X291">
        <v>0</v>
      </c>
      <c r="Y291">
        <v>0</v>
      </c>
      <c r="Z291">
        <v>0</v>
      </c>
      <c r="AA291">
        <v>0</v>
      </c>
      <c r="AB291">
        <v>0</v>
      </c>
      <c r="AC291">
        <v>0</v>
      </c>
      <c r="AD291">
        <v>0</v>
      </c>
      <c r="AE291">
        <v>0</v>
      </c>
      <c r="AF291">
        <v>0</v>
      </c>
      <c r="AG291">
        <v>0</v>
      </c>
      <c r="AH291">
        <v>0</v>
      </c>
      <c r="AI291">
        <v>0</v>
      </c>
      <c r="AJ291">
        <v>2</v>
      </c>
      <c r="AK291">
        <v>2</v>
      </c>
      <c r="AL291">
        <v>4</v>
      </c>
      <c r="AM291">
        <v>7</v>
      </c>
      <c r="AN291">
        <v>0</v>
      </c>
    </row>
    <row r="292" spans="1:40" x14ac:dyDescent="0.25">
      <c r="A292" t="s">
        <v>3209</v>
      </c>
      <c r="B292" t="s">
        <v>3210</v>
      </c>
      <c r="F292" t="s">
        <v>314</v>
      </c>
      <c r="G292" t="s">
        <v>2831</v>
      </c>
      <c r="H292">
        <v>2014</v>
      </c>
      <c r="I292">
        <v>44</v>
      </c>
      <c r="J292">
        <v>12</v>
      </c>
      <c r="N292">
        <v>2264</v>
      </c>
      <c r="O292">
        <v>2273</v>
      </c>
      <c r="Q292" t="s">
        <v>3211</v>
      </c>
      <c r="T292">
        <v>15</v>
      </c>
      <c r="U292">
        <v>2.5</v>
      </c>
      <c r="V292">
        <v>0</v>
      </c>
      <c r="W292">
        <v>0</v>
      </c>
      <c r="X292">
        <v>0</v>
      </c>
      <c r="Y292">
        <v>0</v>
      </c>
      <c r="Z292">
        <v>0</v>
      </c>
      <c r="AA292">
        <v>0</v>
      </c>
      <c r="AB292">
        <v>0</v>
      </c>
      <c r="AC292">
        <v>0</v>
      </c>
      <c r="AD292">
        <v>0</v>
      </c>
      <c r="AE292">
        <v>0</v>
      </c>
      <c r="AF292">
        <v>0</v>
      </c>
      <c r="AG292">
        <v>0</v>
      </c>
      <c r="AH292">
        <v>0</v>
      </c>
      <c r="AI292">
        <v>0</v>
      </c>
      <c r="AJ292">
        <v>0</v>
      </c>
      <c r="AK292">
        <v>2</v>
      </c>
      <c r="AL292">
        <v>10</v>
      </c>
      <c r="AM292">
        <v>2</v>
      </c>
      <c r="AN292">
        <v>1</v>
      </c>
    </row>
    <row r="293" spans="1:40" x14ac:dyDescent="0.25">
      <c r="A293" t="s">
        <v>1746</v>
      </c>
      <c r="B293" t="s">
        <v>1748</v>
      </c>
      <c r="F293" t="s">
        <v>346</v>
      </c>
      <c r="G293" t="s">
        <v>2474</v>
      </c>
      <c r="H293">
        <v>2011</v>
      </c>
      <c r="I293">
        <v>59</v>
      </c>
      <c r="J293">
        <v>11</v>
      </c>
      <c r="N293">
        <v>899</v>
      </c>
      <c r="O293">
        <v>909</v>
      </c>
      <c r="Q293" t="s">
        <v>3212</v>
      </c>
      <c r="T293">
        <v>15</v>
      </c>
      <c r="U293">
        <v>1.67</v>
      </c>
      <c r="V293">
        <v>0</v>
      </c>
      <c r="W293">
        <v>0</v>
      </c>
      <c r="X293">
        <v>0</v>
      </c>
      <c r="Y293">
        <v>0</v>
      </c>
      <c r="Z293">
        <v>0</v>
      </c>
      <c r="AA293">
        <v>0</v>
      </c>
      <c r="AB293">
        <v>0</v>
      </c>
      <c r="AC293">
        <v>0</v>
      </c>
      <c r="AD293">
        <v>0</v>
      </c>
      <c r="AE293">
        <v>0</v>
      </c>
      <c r="AF293">
        <v>0</v>
      </c>
      <c r="AG293">
        <v>2</v>
      </c>
      <c r="AH293">
        <v>4</v>
      </c>
      <c r="AI293">
        <v>3</v>
      </c>
      <c r="AJ293">
        <v>1</v>
      </c>
      <c r="AK293">
        <v>1</v>
      </c>
      <c r="AL293">
        <v>3</v>
      </c>
      <c r="AM293">
        <v>1</v>
      </c>
      <c r="AN293">
        <v>0</v>
      </c>
    </row>
    <row r="294" spans="1:40" x14ac:dyDescent="0.25">
      <c r="A294" t="s">
        <v>3213</v>
      </c>
      <c r="B294" t="s">
        <v>3214</v>
      </c>
      <c r="F294" t="s">
        <v>300</v>
      </c>
      <c r="G294" t="s">
        <v>2487</v>
      </c>
      <c r="H294">
        <v>2011</v>
      </c>
      <c r="I294">
        <v>33</v>
      </c>
      <c r="J294">
        <v>9</v>
      </c>
      <c r="N294">
        <v>1758</v>
      </c>
      <c r="O294">
        <v>1775</v>
      </c>
      <c r="Q294" t="s">
        <v>3215</v>
      </c>
      <c r="T294">
        <v>15</v>
      </c>
      <c r="U294">
        <v>1.67</v>
      </c>
      <c r="V294">
        <v>0</v>
      </c>
      <c r="W294">
        <v>0</v>
      </c>
      <c r="X294">
        <v>0</v>
      </c>
      <c r="Y294">
        <v>0</v>
      </c>
      <c r="Z294">
        <v>0</v>
      </c>
      <c r="AA294">
        <v>0</v>
      </c>
      <c r="AB294">
        <v>0</v>
      </c>
      <c r="AC294">
        <v>0</v>
      </c>
      <c r="AD294">
        <v>0</v>
      </c>
      <c r="AE294">
        <v>0</v>
      </c>
      <c r="AF294">
        <v>0</v>
      </c>
      <c r="AG294">
        <v>2</v>
      </c>
      <c r="AH294">
        <v>4</v>
      </c>
      <c r="AI294">
        <v>2</v>
      </c>
      <c r="AJ294">
        <v>4</v>
      </c>
      <c r="AK294">
        <v>3</v>
      </c>
      <c r="AL294">
        <v>0</v>
      </c>
      <c r="AM294">
        <v>0</v>
      </c>
      <c r="AN294">
        <v>0</v>
      </c>
    </row>
    <row r="295" spans="1:40" x14ac:dyDescent="0.25">
      <c r="A295" t="s">
        <v>3216</v>
      </c>
      <c r="B295" t="s">
        <v>3217</v>
      </c>
      <c r="F295" t="s">
        <v>302</v>
      </c>
      <c r="G295" t="s">
        <v>2840</v>
      </c>
      <c r="H295">
        <v>2010</v>
      </c>
      <c r="I295">
        <v>28</v>
      </c>
      <c r="J295">
        <v>5</v>
      </c>
      <c r="M295" t="s">
        <v>1948</v>
      </c>
      <c r="N295">
        <v>814</v>
      </c>
      <c r="O295">
        <v>824</v>
      </c>
      <c r="Q295" t="s">
        <v>3218</v>
      </c>
      <c r="T295">
        <v>15</v>
      </c>
      <c r="U295">
        <v>1.5</v>
      </c>
      <c r="V295">
        <v>0</v>
      </c>
      <c r="W295">
        <v>0</v>
      </c>
      <c r="X295">
        <v>0</v>
      </c>
      <c r="Y295">
        <v>0</v>
      </c>
      <c r="Z295">
        <v>0</v>
      </c>
      <c r="AA295">
        <v>0</v>
      </c>
      <c r="AB295">
        <v>0</v>
      </c>
      <c r="AC295">
        <v>0</v>
      </c>
      <c r="AD295">
        <v>0</v>
      </c>
      <c r="AE295">
        <v>1</v>
      </c>
      <c r="AF295">
        <v>1</v>
      </c>
      <c r="AG295">
        <v>3</v>
      </c>
      <c r="AH295">
        <v>3</v>
      </c>
      <c r="AI295">
        <v>2</v>
      </c>
      <c r="AJ295">
        <v>3</v>
      </c>
      <c r="AK295">
        <v>0</v>
      </c>
      <c r="AL295">
        <v>2</v>
      </c>
      <c r="AM295">
        <v>0</v>
      </c>
      <c r="AN295">
        <v>0</v>
      </c>
    </row>
    <row r="296" spans="1:40" x14ac:dyDescent="0.25">
      <c r="A296" t="s">
        <v>1445</v>
      </c>
      <c r="B296" t="s">
        <v>1447</v>
      </c>
      <c r="F296" t="s">
        <v>302</v>
      </c>
      <c r="G296" t="s">
        <v>3219</v>
      </c>
      <c r="H296">
        <v>2009</v>
      </c>
      <c r="I296">
        <v>27</v>
      </c>
      <c r="J296">
        <v>10</v>
      </c>
      <c r="N296">
        <v>1445</v>
      </c>
      <c r="O296">
        <v>1458</v>
      </c>
      <c r="Q296" t="s">
        <v>3220</v>
      </c>
      <c r="T296">
        <v>15</v>
      </c>
      <c r="U296">
        <v>1.36</v>
      </c>
      <c r="V296">
        <v>0</v>
      </c>
      <c r="W296">
        <v>0</v>
      </c>
      <c r="X296">
        <v>0</v>
      </c>
      <c r="Y296">
        <v>0</v>
      </c>
      <c r="Z296">
        <v>0</v>
      </c>
      <c r="AA296">
        <v>0</v>
      </c>
      <c r="AB296">
        <v>0</v>
      </c>
      <c r="AC296">
        <v>0</v>
      </c>
      <c r="AD296">
        <v>0</v>
      </c>
      <c r="AE296">
        <v>1</v>
      </c>
      <c r="AF296">
        <v>5</v>
      </c>
      <c r="AG296">
        <v>5</v>
      </c>
      <c r="AH296">
        <v>1</v>
      </c>
      <c r="AI296">
        <v>0</v>
      </c>
      <c r="AJ296">
        <v>1</v>
      </c>
      <c r="AK296">
        <v>0</v>
      </c>
      <c r="AL296">
        <v>1</v>
      </c>
      <c r="AM296">
        <v>1</v>
      </c>
      <c r="AN296">
        <v>0</v>
      </c>
    </row>
    <row r="297" spans="1:40" x14ac:dyDescent="0.25">
      <c r="A297" t="s">
        <v>1509</v>
      </c>
      <c r="B297" t="s">
        <v>1511</v>
      </c>
      <c r="F297" t="s">
        <v>303</v>
      </c>
      <c r="G297" t="s">
        <v>3221</v>
      </c>
      <c r="H297">
        <v>2009</v>
      </c>
      <c r="I297">
        <v>84</v>
      </c>
      <c r="J297">
        <v>1</v>
      </c>
      <c r="N297">
        <v>40</v>
      </c>
      <c r="O297">
        <v>62</v>
      </c>
      <c r="Q297" t="s">
        <v>3222</v>
      </c>
      <c r="T297">
        <v>15</v>
      </c>
      <c r="U297">
        <v>1.36</v>
      </c>
      <c r="V297">
        <v>0</v>
      </c>
      <c r="W297">
        <v>0</v>
      </c>
      <c r="X297">
        <v>0</v>
      </c>
      <c r="Y297">
        <v>0</v>
      </c>
      <c r="Z297">
        <v>0</v>
      </c>
      <c r="AA297">
        <v>0</v>
      </c>
      <c r="AB297">
        <v>0</v>
      </c>
      <c r="AC297">
        <v>0</v>
      </c>
      <c r="AD297">
        <v>0</v>
      </c>
      <c r="AE297">
        <v>3</v>
      </c>
      <c r="AF297">
        <v>3</v>
      </c>
      <c r="AG297">
        <v>0</v>
      </c>
      <c r="AH297">
        <v>3</v>
      </c>
      <c r="AI297">
        <v>3</v>
      </c>
      <c r="AJ297">
        <v>0</v>
      </c>
      <c r="AK297">
        <v>2</v>
      </c>
      <c r="AL297">
        <v>0</v>
      </c>
      <c r="AM297">
        <v>1</v>
      </c>
      <c r="AN297">
        <v>0</v>
      </c>
    </row>
    <row r="298" spans="1:40" x14ac:dyDescent="0.25">
      <c r="A298" t="s">
        <v>3223</v>
      </c>
      <c r="B298" t="s">
        <v>3224</v>
      </c>
      <c r="F298" t="s">
        <v>302</v>
      </c>
      <c r="G298" t="s">
        <v>3225</v>
      </c>
      <c r="H298">
        <v>2007</v>
      </c>
      <c r="I298">
        <v>25</v>
      </c>
      <c r="J298">
        <v>12</v>
      </c>
      <c r="N298">
        <v>1885</v>
      </c>
      <c r="O298">
        <v>1894</v>
      </c>
      <c r="Q298" t="s">
        <v>3226</v>
      </c>
      <c r="T298">
        <v>15</v>
      </c>
      <c r="U298">
        <v>1.1499999999999999</v>
      </c>
      <c r="V298">
        <v>0</v>
      </c>
      <c r="W298">
        <v>0</v>
      </c>
      <c r="X298">
        <v>0</v>
      </c>
      <c r="Y298">
        <v>0</v>
      </c>
      <c r="Z298">
        <v>0</v>
      </c>
      <c r="AA298">
        <v>0</v>
      </c>
      <c r="AB298">
        <v>0</v>
      </c>
      <c r="AC298">
        <v>2</v>
      </c>
      <c r="AD298">
        <v>1</v>
      </c>
      <c r="AE298">
        <v>0</v>
      </c>
      <c r="AF298">
        <v>2</v>
      </c>
      <c r="AG298">
        <v>1</v>
      </c>
      <c r="AH298">
        <v>3</v>
      </c>
      <c r="AI298">
        <v>6</v>
      </c>
      <c r="AJ298">
        <v>0</v>
      </c>
      <c r="AK298">
        <v>0</v>
      </c>
      <c r="AL298">
        <v>0</v>
      </c>
      <c r="AM298">
        <v>0</v>
      </c>
      <c r="AN298">
        <v>0</v>
      </c>
    </row>
    <row r="299" spans="1:40" x14ac:dyDescent="0.25">
      <c r="A299" t="s">
        <v>3227</v>
      </c>
      <c r="B299" t="s">
        <v>3228</v>
      </c>
      <c r="E299" t="s">
        <v>3229</v>
      </c>
      <c r="F299" t="s">
        <v>3230</v>
      </c>
      <c r="G299">
        <v>2003</v>
      </c>
      <c r="H299">
        <v>2003</v>
      </c>
      <c r="I299">
        <v>2652</v>
      </c>
      <c r="N299">
        <v>919</v>
      </c>
      <c r="O299">
        <v>926</v>
      </c>
      <c r="R299" t="s">
        <v>3231</v>
      </c>
      <c r="S299" t="s">
        <v>3232</v>
      </c>
      <c r="T299">
        <v>15</v>
      </c>
      <c r="U299">
        <v>0.88</v>
      </c>
      <c r="V299">
        <v>0</v>
      </c>
      <c r="W299">
        <v>0</v>
      </c>
      <c r="X299">
        <v>0</v>
      </c>
      <c r="Y299">
        <v>1</v>
      </c>
      <c r="Z299">
        <v>3</v>
      </c>
      <c r="AA299">
        <v>1</v>
      </c>
      <c r="AB299">
        <v>0</v>
      </c>
      <c r="AC299">
        <v>2</v>
      </c>
      <c r="AD299">
        <v>0</v>
      </c>
      <c r="AE299">
        <v>1</v>
      </c>
      <c r="AF299">
        <v>0</v>
      </c>
      <c r="AG299">
        <v>0</v>
      </c>
      <c r="AH299">
        <v>0</v>
      </c>
      <c r="AI299">
        <v>2</v>
      </c>
      <c r="AJ299">
        <v>1</v>
      </c>
      <c r="AK299">
        <v>2</v>
      </c>
      <c r="AL299">
        <v>0</v>
      </c>
      <c r="AM299">
        <v>2</v>
      </c>
      <c r="AN299">
        <v>0</v>
      </c>
    </row>
    <row r="300" spans="1:40" x14ac:dyDescent="0.25">
      <c r="A300" t="s">
        <v>3233</v>
      </c>
      <c r="B300" t="s">
        <v>3234</v>
      </c>
      <c r="F300" t="s">
        <v>2844</v>
      </c>
      <c r="G300" t="s">
        <v>3235</v>
      </c>
      <c r="H300">
        <v>2017</v>
      </c>
      <c r="I300">
        <v>21</v>
      </c>
      <c r="J300">
        <v>1</v>
      </c>
      <c r="N300">
        <v>83</v>
      </c>
      <c r="O300">
        <v>101</v>
      </c>
      <c r="Q300" t="s">
        <v>3236</v>
      </c>
      <c r="T300">
        <v>14</v>
      </c>
      <c r="U300">
        <v>4.67</v>
      </c>
      <c r="V300">
        <v>0</v>
      </c>
      <c r="W300">
        <v>0</v>
      </c>
      <c r="X300">
        <v>0</v>
      </c>
      <c r="Y300">
        <v>0</v>
      </c>
      <c r="Z300">
        <v>0</v>
      </c>
      <c r="AA300">
        <v>0</v>
      </c>
      <c r="AB300">
        <v>0</v>
      </c>
      <c r="AC300">
        <v>0</v>
      </c>
      <c r="AD300">
        <v>0</v>
      </c>
      <c r="AE300">
        <v>0</v>
      </c>
      <c r="AF300">
        <v>0</v>
      </c>
      <c r="AG300">
        <v>0</v>
      </c>
      <c r="AH300">
        <v>0</v>
      </c>
      <c r="AI300">
        <v>0</v>
      </c>
      <c r="AJ300">
        <v>0</v>
      </c>
      <c r="AK300">
        <v>0</v>
      </c>
      <c r="AL300">
        <v>5</v>
      </c>
      <c r="AM300">
        <v>9</v>
      </c>
      <c r="AN300">
        <v>0</v>
      </c>
    </row>
    <row r="301" spans="1:40" x14ac:dyDescent="0.25">
      <c r="A301" t="s">
        <v>1518</v>
      </c>
      <c r="B301" t="s">
        <v>1520</v>
      </c>
      <c r="F301" t="s">
        <v>303</v>
      </c>
      <c r="G301" t="s">
        <v>2869</v>
      </c>
      <c r="H301">
        <v>2016</v>
      </c>
      <c r="I301">
        <v>120</v>
      </c>
      <c r="J301">
        <v>1</v>
      </c>
      <c r="N301">
        <v>14</v>
      </c>
      <c r="O301">
        <v>27</v>
      </c>
      <c r="Q301" t="s">
        <v>3237</v>
      </c>
      <c r="T301">
        <v>14</v>
      </c>
      <c r="U301">
        <v>3.5</v>
      </c>
      <c r="V301">
        <v>0</v>
      </c>
      <c r="W301">
        <v>0</v>
      </c>
      <c r="X301">
        <v>0</v>
      </c>
      <c r="Y301">
        <v>0</v>
      </c>
      <c r="Z301">
        <v>0</v>
      </c>
      <c r="AA301">
        <v>0</v>
      </c>
      <c r="AB301">
        <v>0</v>
      </c>
      <c r="AC301">
        <v>0</v>
      </c>
      <c r="AD301">
        <v>0</v>
      </c>
      <c r="AE301">
        <v>0</v>
      </c>
      <c r="AF301">
        <v>0</v>
      </c>
      <c r="AG301">
        <v>0</v>
      </c>
      <c r="AH301">
        <v>0</v>
      </c>
      <c r="AI301">
        <v>0</v>
      </c>
      <c r="AJ301">
        <v>0</v>
      </c>
      <c r="AK301">
        <v>1</v>
      </c>
      <c r="AL301">
        <v>4</v>
      </c>
      <c r="AM301">
        <v>9</v>
      </c>
      <c r="AN301">
        <v>0</v>
      </c>
    </row>
    <row r="302" spans="1:40" x14ac:dyDescent="0.25">
      <c r="A302" t="s">
        <v>1323</v>
      </c>
      <c r="B302" t="s">
        <v>1325</v>
      </c>
      <c r="F302" t="s">
        <v>311</v>
      </c>
      <c r="G302" t="s">
        <v>2856</v>
      </c>
      <c r="H302">
        <v>2015</v>
      </c>
      <c r="I302">
        <v>24</v>
      </c>
      <c r="J302">
        <v>11</v>
      </c>
      <c r="N302">
        <v>4422</v>
      </c>
      <c r="O302">
        <v>4432</v>
      </c>
      <c r="Q302" t="s">
        <v>3238</v>
      </c>
      <c r="T302">
        <v>14</v>
      </c>
      <c r="U302">
        <v>2.8</v>
      </c>
      <c r="V302">
        <v>0</v>
      </c>
      <c r="W302">
        <v>0</v>
      </c>
      <c r="X302">
        <v>0</v>
      </c>
      <c r="Y302">
        <v>0</v>
      </c>
      <c r="Z302">
        <v>0</v>
      </c>
      <c r="AA302">
        <v>0</v>
      </c>
      <c r="AB302">
        <v>0</v>
      </c>
      <c r="AC302">
        <v>0</v>
      </c>
      <c r="AD302">
        <v>0</v>
      </c>
      <c r="AE302">
        <v>0</v>
      </c>
      <c r="AF302">
        <v>0</v>
      </c>
      <c r="AG302">
        <v>0</v>
      </c>
      <c r="AH302">
        <v>0</v>
      </c>
      <c r="AI302">
        <v>0</v>
      </c>
      <c r="AJ302">
        <v>0</v>
      </c>
      <c r="AK302">
        <v>3</v>
      </c>
      <c r="AL302">
        <v>7</v>
      </c>
      <c r="AM302">
        <v>4</v>
      </c>
      <c r="AN302">
        <v>0</v>
      </c>
    </row>
    <row r="303" spans="1:40" x14ac:dyDescent="0.25">
      <c r="A303" t="s">
        <v>3239</v>
      </c>
      <c r="B303" t="s">
        <v>3240</v>
      </c>
      <c r="F303" t="s">
        <v>311</v>
      </c>
      <c r="G303" t="s">
        <v>3241</v>
      </c>
      <c r="H303">
        <v>2015</v>
      </c>
      <c r="I303">
        <v>24</v>
      </c>
      <c r="J303">
        <v>8</v>
      </c>
      <c r="Q303" t="s">
        <v>3242</v>
      </c>
      <c r="T303">
        <v>14</v>
      </c>
      <c r="U303">
        <v>2.8</v>
      </c>
      <c r="V303">
        <v>0</v>
      </c>
      <c r="W303">
        <v>0</v>
      </c>
      <c r="X303">
        <v>0</v>
      </c>
      <c r="Y303">
        <v>0</v>
      </c>
      <c r="Z303">
        <v>0</v>
      </c>
      <c r="AA303">
        <v>0</v>
      </c>
      <c r="AB303">
        <v>0</v>
      </c>
      <c r="AC303">
        <v>0</v>
      </c>
      <c r="AD303">
        <v>0</v>
      </c>
      <c r="AE303">
        <v>0</v>
      </c>
      <c r="AF303">
        <v>0</v>
      </c>
      <c r="AG303">
        <v>0</v>
      </c>
      <c r="AH303">
        <v>0</v>
      </c>
      <c r="AI303">
        <v>0</v>
      </c>
      <c r="AJ303">
        <v>0</v>
      </c>
      <c r="AK303">
        <v>4</v>
      </c>
      <c r="AL303">
        <v>3</v>
      </c>
      <c r="AM303">
        <v>5</v>
      </c>
      <c r="AN303">
        <v>2</v>
      </c>
    </row>
    <row r="304" spans="1:40" x14ac:dyDescent="0.25">
      <c r="A304" t="s">
        <v>3243</v>
      </c>
      <c r="B304" t="s">
        <v>3244</v>
      </c>
      <c r="F304" t="s">
        <v>298</v>
      </c>
      <c r="G304" t="s">
        <v>3049</v>
      </c>
      <c r="H304">
        <v>2015</v>
      </c>
      <c r="I304">
        <v>136</v>
      </c>
      <c r="M304" t="s">
        <v>1948</v>
      </c>
      <c r="N304">
        <v>14</v>
      </c>
      <c r="O304">
        <v>22</v>
      </c>
      <c r="Q304" t="s">
        <v>3245</v>
      </c>
      <c r="T304">
        <v>14</v>
      </c>
      <c r="U304">
        <v>2.8</v>
      </c>
      <c r="V304">
        <v>0</v>
      </c>
      <c r="W304">
        <v>0</v>
      </c>
      <c r="X304">
        <v>0</v>
      </c>
      <c r="Y304">
        <v>0</v>
      </c>
      <c r="Z304">
        <v>0</v>
      </c>
      <c r="AA304">
        <v>0</v>
      </c>
      <c r="AB304">
        <v>0</v>
      </c>
      <c r="AC304">
        <v>0</v>
      </c>
      <c r="AD304">
        <v>0</v>
      </c>
      <c r="AE304">
        <v>0</v>
      </c>
      <c r="AF304">
        <v>0</v>
      </c>
      <c r="AG304">
        <v>0</v>
      </c>
      <c r="AH304">
        <v>0</v>
      </c>
      <c r="AI304">
        <v>0</v>
      </c>
      <c r="AJ304">
        <v>0</v>
      </c>
      <c r="AK304">
        <v>3</v>
      </c>
      <c r="AL304">
        <v>4</v>
      </c>
      <c r="AM304">
        <v>7</v>
      </c>
      <c r="AN304">
        <v>0</v>
      </c>
    </row>
    <row r="305" spans="1:40" x14ac:dyDescent="0.25">
      <c r="A305" t="s">
        <v>3246</v>
      </c>
      <c r="B305" t="s">
        <v>3247</v>
      </c>
      <c r="F305" t="s">
        <v>312</v>
      </c>
      <c r="G305" t="s">
        <v>2412</v>
      </c>
      <c r="H305">
        <v>2015</v>
      </c>
      <c r="I305">
        <v>10</v>
      </c>
      <c r="J305">
        <v>1</v>
      </c>
      <c r="N305">
        <v>43</v>
      </c>
      <c r="O305">
        <v>57</v>
      </c>
      <c r="Q305" t="s">
        <v>3248</v>
      </c>
      <c r="T305">
        <v>14</v>
      </c>
      <c r="U305">
        <v>2.8</v>
      </c>
      <c r="V305">
        <v>0</v>
      </c>
      <c r="W305">
        <v>0</v>
      </c>
      <c r="X305">
        <v>0</v>
      </c>
      <c r="Y305">
        <v>0</v>
      </c>
      <c r="Z305">
        <v>0</v>
      </c>
      <c r="AA305">
        <v>0</v>
      </c>
      <c r="AB305">
        <v>0</v>
      </c>
      <c r="AC305">
        <v>0</v>
      </c>
      <c r="AD305">
        <v>0</v>
      </c>
      <c r="AE305">
        <v>0</v>
      </c>
      <c r="AF305">
        <v>0</v>
      </c>
      <c r="AG305">
        <v>0</v>
      </c>
      <c r="AH305">
        <v>3</v>
      </c>
      <c r="AI305">
        <v>3</v>
      </c>
      <c r="AJ305">
        <v>1</v>
      </c>
      <c r="AK305">
        <v>3</v>
      </c>
      <c r="AL305">
        <v>2</v>
      </c>
      <c r="AM305">
        <v>2</v>
      </c>
      <c r="AN305">
        <v>0</v>
      </c>
    </row>
    <row r="306" spans="1:40" x14ac:dyDescent="0.25">
      <c r="A306" t="s">
        <v>3249</v>
      </c>
      <c r="B306" t="s">
        <v>3250</v>
      </c>
      <c r="F306" t="s">
        <v>314</v>
      </c>
      <c r="G306" t="s">
        <v>2636</v>
      </c>
      <c r="H306">
        <v>2014</v>
      </c>
      <c r="I306">
        <v>44</v>
      </c>
      <c r="J306">
        <v>6</v>
      </c>
      <c r="N306">
        <v>936</v>
      </c>
      <c r="O306">
        <v>949</v>
      </c>
      <c r="Q306" t="s">
        <v>3251</v>
      </c>
      <c r="T306">
        <v>14</v>
      </c>
      <c r="U306">
        <v>2.33</v>
      </c>
      <c r="V306">
        <v>0</v>
      </c>
      <c r="W306">
        <v>0</v>
      </c>
      <c r="X306">
        <v>0</v>
      </c>
      <c r="Y306">
        <v>0</v>
      </c>
      <c r="Z306">
        <v>0</v>
      </c>
      <c r="AA306">
        <v>0</v>
      </c>
      <c r="AB306">
        <v>0</v>
      </c>
      <c r="AC306">
        <v>0</v>
      </c>
      <c r="AD306">
        <v>0</v>
      </c>
      <c r="AE306">
        <v>0</v>
      </c>
      <c r="AF306">
        <v>0</v>
      </c>
      <c r="AG306">
        <v>0</v>
      </c>
      <c r="AH306">
        <v>0</v>
      </c>
      <c r="AI306">
        <v>0</v>
      </c>
      <c r="AJ306">
        <v>2</v>
      </c>
      <c r="AK306">
        <v>3</v>
      </c>
      <c r="AL306">
        <v>6</v>
      </c>
      <c r="AM306">
        <v>3</v>
      </c>
      <c r="AN306">
        <v>0</v>
      </c>
    </row>
    <row r="307" spans="1:40" x14ac:dyDescent="0.25">
      <c r="A307" t="s">
        <v>3252</v>
      </c>
      <c r="B307" t="s">
        <v>3253</v>
      </c>
      <c r="F307" t="s">
        <v>346</v>
      </c>
      <c r="G307" t="s">
        <v>2555</v>
      </c>
      <c r="H307">
        <v>2014</v>
      </c>
      <c r="I307">
        <v>62</v>
      </c>
      <c r="J307">
        <v>2</v>
      </c>
      <c r="N307">
        <v>241</v>
      </c>
      <c r="O307">
        <v>256</v>
      </c>
      <c r="Q307" t="s">
        <v>3254</v>
      </c>
      <c r="T307">
        <v>14</v>
      </c>
      <c r="U307">
        <v>2.33</v>
      </c>
      <c r="V307">
        <v>0</v>
      </c>
      <c r="W307">
        <v>0</v>
      </c>
      <c r="X307">
        <v>0</v>
      </c>
      <c r="Y307">
        <v>0</v>
      </c>
      <c r="Z307">
        <v>0</v>
      </c>
      <c r="AA307">
        <v>0</v>
      </c>
      <c r="AB307">
        <v>0</v>
      </c>
      <c r="AC307">
        <v>0</v>
      </c>
      <c r="AD307">
        <v>0</v>
      </c>
      <c r="AE307">
        <v>0</v>
      </c>
      <c r="AF307">
        <v>0</v>
      </c>
      <c r="AG307">
        <v>0</v>
      </c>
      <c r="AH307">
        <v>0</v>
      </c>
      <c r="AI307">
        <v>3</v>
      </c>
      <c r="AJ307">
        <v>5</v>
      </c>
      <c r="AK307">
        <v>4</v>
      </c>
      <c r="AL307">
        <v>2</v>
      </c>
      <c r="AM307">
        <v>0</v>
      </c>
      <c r="AN307">
        <v>0</v>
      </c>
    </row>
    <row r="308" spans="1:40" x14ac:dyDescent="0.25">
      <c r="A308" t="s">
        <v>3255</v>
      </c>
      <c r="B308" t="s">
        <v>3256</v>
      </c>
      <c r="F308" t="s">
        <v>314</v>
      </c>
      <c r="G308" t="s">
        <v>2720</v>
      </c>
      <c r="H308">
        <v>2013</v>
      </c>
      <c r="I308">
        <v>43</v>
      </c>
      <c r="J308">
        <v>6</v>
      </c>
      <c r="N308">
        <v>2082</v>
      </c>
      <c r="O308">
        <v>2092</v>
      </c>
      <c r="Q308" t="s">
        <v>3257</v>
      </c>
      <c r="T308">
        <v>14</v>
      </c>
      <c r="U308">
        <v>2</v>
      </c>
      <c r="V308">
        <v>0</v>
      </c>
      <c r="W308">
        <v>0</v>
      </c>
      <c r="X308">
        <v>0</v>
      </c>
      <c r="Y308">
        <v>0</v>
      </c>
      <c r="Z308">
        <v>0</v>
      </c>
      <c r="AA308">
        <v>0</v>
      </c>
      <c r="AB308">
        <v>0</v>
      </c>
      <c r="AC308">
        <v>0</v>
      </c>
      <c r="AD308">
        <v>0</v>
      </c>
      <c r="AE308">
        <v>0</v>
      </c>
      <c r="AF308">
        <v>0</v>
      </c>
      <c r="AG308">
        <v>0</v>
      </c>
      <c r="AH308">
        <v>0</v>
      </c>
      <c r="AI308">
        <v>1</v>
      </c>
      <c r="AJ308">
        <v>2</v>
      </c>
      <c r="AK308">
        <v>3</v>
      </c>
      <c r="AL308">
        <v>6</v>
      </c>
      <c r="AM308">
        <v>2</v>
      </c>
      <c r="AN308">
        <v>0</v>
      </c>
    </row>
    <row r="309" spans="1:40" x14ac:dyDescent="0.25">
      <c r="A309" t="s">
        <v>3258</v>
      </c>
      <c r="B309" t="s">
        <v>3259</v>
      </c>
      <c r="F309" t="s">
        <v>311</v>
      </c>
      <c r="G309" t="s">
        <v>2766</v>
      </c>
      <c r="H309">
        <v>2013</v>
      </c>
      <c r="I309">
        <v>22</v>
      </c>
      <c r="J309">
        <v>9</v>
      </c>
      <c r="N309">
        <v>3614</v>
      </c>
      <c r="O309">
        <v>3624</v>
      </c>
      <c r="Q309" t="s">
        <v>3260</v>
      </c>
      <c r="T309">
        <v>14</v>
      </c>
      <c r="U309">
        <v>2</v>
      </c>
      <c r="V309">
        <v>0</v>
      </c>
      <c r="W309">
        <v>0</v>
      </c>
      <c r="X309">
        <v>0</v>
      </c>
      <c r="Y309">
        <v>0</v>
      </c>
      <c r="Z309">
        <v>0</v>
      </c>
      <c r="AA309">
        <v>0</v>
      </c>
      <c r="AB309">
        <v>0</v>
      </c>
      <c r="AC309">
        <v>0</v>
      </c>
      <c r="AD309">
        <v>0</v>
      </c>
      <c r="AE309">
        <v>0</v>
      </c>
      <c r="AF309">
        <v>0</v>
      </c>
      <c r="AG309">
        <v>0</v>
      </c>
      <c r="AH309">
        <v>0</v>
      </c>
      <c r="AI309">
        <v>2</v>
      </c>
      <c r="AJ309">
        <v>5</v>
      </c>
      <c r="AK309">
        <v>1</v>
      </c>
      <c r="AL309">
        <v>5</v>
      </c>
      <c r="AM309">
        <v>1</v>
      </c>
      <c r="AN309">
        <v>0</v>
      </c>
    </row>
    <row r="310" spans="1:40" x14ac:dyDescent="0.25">
      <c r="A310" t="s">
        <v>3261</v>
      </c>
      <c r="B310" t="s">
        <v>3262</v>
      </c>
      <c r="F310" t="s">
        <v>306</v>
      </c>
      <c r="G310" t="s">
        <v>3263</v>
      </c>
      <c r="H310">
        <v>2013</v>
      </c>
      <c r="I310">
        <v>99</v>
      </c>
      <c r="N310">
        <v>144</v>
      </c>
      <c r="O310">
        <v>153</v>
      </c>
      <c r="Q310" t="s">
        <v>3264</v>
      </c>
      <c r="T310">
        <v>14</v>
      </c>
      <c r="U310">
        <v>2</v>
      </c>
      <c r="V310">
        <v>0</v>
      </c>
      <c r="W310">
        <v>0</v>
      </c>
      <c r="X310">
        <v>0</v>
      </c>
      <c r="Y310">
        <v>0</v>
      </c>
      <c r="Z310">
        <v>0</v>
      </c>
      <c r="AA310">
        <v>0</v>
      </c>
      <c r="AB310">
        <v>0</v>
      </c>
      <c r="AC310">
        <v>0</v>
      </c>
      <c r="AD310">
        <v>0</v>
      </c>
      <c r="AE310">
        <v>0</v>
      </c>
      <c r="AF310">
        <v>0</v>
      </c>
      <c r="AG310">
        <v>0</v>
      </c>
      <c r="AH310">
        <v>1</v>
      </c>
      <c r="AI310">
        <v>2</v>
      </c>
      <c r="AJ310">
        <v>7</v>
      </c>
      <c r="AK310">
        <v>2</v>
      </c>
      <c r="AL310">
        <v>2</v>
      </c>
      <c r="AM310">
        <v>0</v>
      </c>
      <c r="AN310">
        <v>0</v>
      </c>
    </row>
    <row r="311" spans="1:40" x14ac:dyDescent="0.25">
      <c r="A311" t="s">
        <v>1398</v>
      </c>
      <c r="B311" t="s">
        <v>1400</v>
      </c>
      <c r="F311" t="s">
        <v>326</v>
      </c>
      <c r="G311" t="s">
        <v>3133</v>
      </c>
      <c r="H311">
        <v>2012</v>
      </c>
      <c r="I311">
        <v>42</v>
      </c>
      <c r="J311">
        <v>4</v>
      </c>
      <c r="M311" t="s">
        <v>1948</v>
      </c>
      <c r="N311">
        <v>1017</v>
      </c>
      <c r="O311">
        <v>1026</v>
      </c>
      <c r="Q311" t="s">
        <v>3265</v>
      </c>
      <c r="T311">
        <v>14</v>
      </c>
      <c r="U311">
        <v>1.75</v>
      </c>
      <c r="V311">
        <v>0</v>
      </c>
      <c r="W311">
        <v>0</v>
      </c>
      <c r="X311">
        <v>0</v>
      </c>
      <c r="Y311">
        <v>0</v>
      </c>
      <c r="Z311">
        <v>0</v>
      </c>
      <c r="AA311">
        <v>0</v>
      </c>
      <c r="AB311">
        <v>0</v>
      </c>
      <c r="AC311">
        <v>0</v>
      </c>
      <c r="AD311">
        <v>0</v>
      </c>
      <c r="AE311">
        <v>0</v>
      </c>
      <c r="AF311">
        <v>0</v>
      </c>
      <c r="AG311">
        <v>0</v>
      </c>
      <c r="AH311">
        <v>1</v>
      </c>
      <c r="AI311">
        <v>1</v>
      </c>
      <c r="AJ311">
        <v>6</v>
      </c>
      <c r="AK311">
        <v>2</v>
      </c>
      <c r="AL311">
        <v>3</v>
      </c>
      <c r="AM311">
        <v>1</v>
      </c>
      <c r="AN311">
        <v>0</v>
      </c>
    </row>
    <row r="312" spans="1:40" x14ac:dyDescent="0.25">
      <c r="A312" t="s">
        <v>3266</v>
      </c>
      <c r="B312" t="s">
        <v>3267</v>
      </c>
      <c r="F312" t="s">
        <v>308</v>
      </c>
      <c r="G312" t="s">
        <v>2404</v>
      </c>
      <c r="H312">
        <v>2010</v>
      </c>
      <c r="I312">
        <v>43</v>
      </c>
      <c r="J312">
        <v>12</v>
      </c>
      <c r="N312">
        <v>4190</v>
      </c>
      <c r="O312">
        <v>4197</v>
      </c>
      <c r="Q312" t="s">
        <v>3268</v>
      </c>
      <c r="T312">
        <v>14</v>
      </c>
      <c r="U312">
        <v>1.4</v>
      </c>
      <c r="V312">
        <v>0</v>
      </c>
      <c r="W312">
        <v>0</v>
      </c>
      <c r="X312">
        <v>0</v>
      </c>
      <c r="Y312">
        <v>0</v>
      </c>
      <c r="Z312">
        <v>0</v>
      </c>
      <c r="AA312">
        <v>0</v>
      </c>
      <c r="AB312">
        <v>0</v>
      </c>
      <c r="AC312">
        <v>0</v>
      </c>
      <c r="AD312">
        <v>0</v>
      </c>
      <c r="AE312">
        <v>0</v>
      </c>
      <c r="AF312">
        <v>0</v>
      </c>
      <c r="AG312">
        <v>4</v>
      </c>
      <c r="AH312">
        <v>5</v>
      </c>
      <c r="AI312">
        <v>1</v>
      </c>
      <c r="AJ312">
        <v>2</v>
      </c>
      <c r="AK312">
        <v>2</v>
      </c>
      <c r="AL312">
        <v>0</v>
      </c>
      <c r="AM312">
        <v>0</v>
      </c>
      <c r="AN312">
        <v>0</v>
      </c>
    </row>
    <row r="313" spans="1:40" x14ac:dyDescent="0.25">
      <c r="A313" t="s">
        <v>1254</v>
      </c>
      <c r="B313" t="s">
        <v>1256</v>
      </c>
      <c r="F313" t="s">
        <v>298</v>
      </c>
      <c r="G313" t="s">
        <v>2539</v>
      </c>
      <c r="H313">
        <v>2010</v>
      </c>
      <c r="I313">
        <v>114</v>
      </c>
      <c r="J313">
        <v>6</v>
      </c>
      <c r="M313" t="s">
        <v>1948</v>
      </c>
      <c r="N313">
        <v>700</v>
      </c>
      <c r="O313">
        <v>711</v>
      </c>
      <c r="Q313" t="s">
        <v>3269</v>
      </c>
      <c r="T313">
        <v>14</v>
      </c>
      <c r="U313">
        <v>1.4</v>
      </c>
      <c r="V313">
        <v>0</v>
      </c>
      <c r="W313">
        <v>0</v>
      </c>
      <c r="X313">
        <v>0</v>
      </c>
      <c r="Y313">
        <v>0</v>
      </c>
      <c r="Z313">
        <v>0</v>
      </c>
      <c r="AA313">
        <v>0</v>
      </c>
      <c r="AB313">
        <v>0</v>
      </c>
      <c r="AC313">
        <v>0</v>
      </c>
      <c r="AD313">
        <v>0</v>
      </c>
      <c r="AE313">
        <v>0</v>
      </c>
      <c r="AF313">
        <v>1</v>
      </c>
      <c r="AG313">
        <v>1</v>
      </c>
      <c r="AH313">
        <v>5</v>
      </c>
      <c r="AI313">
        <v>2</v>
      </c>
      <c r="AJ313">
        <v>1</v>
      </c>
      <c r="AK313">
        <v>2</v>
      </c>
      <c r="AL313">
        <v>1</v>
      </c>
      <c r="AM313">
        <v>1</v>
      </c>
      <c r="AN313">
        <v>0</v>
      </c>
    </row>
    <row r="314" spans="1:40" x14ac:dyDescent="0.25">
      <c r="A314" t="s">
        <v>3270</v>
      </c>
      <c r="B314" t="s">
        <v>3271</v>
      </c>
      <c r="F314" t="s">
        <v>300</v>
      </c>
      <c r="G314" t="s">
        <v>3272</v>
      </c>
      <c r="H314">
        <v>2009</v>
      </c>
      <c r="I314">
        <v>31</v>
      </c>
      <c r="J314">
        <v>6</v>
      </c>
      <c r="N314">
        <v>1140</v>
      </c>
      <c r="O314">
        <v>1146</v>
      </c>
      <c r="Q314" t="s">
        <v>3273</v>
      </c>
      <c r="T314">
        <v>14</v>
      </c>
      <c r="U314">
        <v>1.27</v>
      </c>
      <c r="V314">
        <v>0</v>
      </c>
      <c r="W314">
        <v>0</v>
      </c>
      <c r="X314">
        <v>0</v>
      </c>
      <c r="Y314">
        <v>0</v>
      </c>
      <c r="Z314">
        <v>0</v>
      </c>
      <c r="AA314">
        <v>0</v>
      </c>
      <c r="AB314">
        <v>0</v>
      </c>
      <c r="AC314">
        <v>0</v>
      </c>
      <c r="AD314">
        <v>0</v>
      </c>
      <c r="AE314">
        <v>2</v>
      </c>
      <c r="AF314">
        <v>2</v>
      </c>
      <c r="AG314">
        <v>3</v>
      </c>
      <c r="AH314">
        <v>1</v>
      </c>
      <c r="AI314">
        <v>3</v>
      </c>
      <c r="AJ314">
        <v>0</v>
      </c>
      <c r="AK314">
        <v>1</v>
      </c>
      <c r="AL314">
        <v>2</v>
      </c>
      <c r="AM314">
        <v>0</v>
      </c>
      <c r="AN314">
        <v>0</v>
      </c>
    </row>
    <row r="315" spans="1:40" x14ac:dyDescent="0.25">
      <c r="A315" t="s">
        <v>1233</v>
      </c>
      <c r="B315" t="s">
        <v>1235</v>
      </c>
      <c r="E315" t="s">
        <v>3274</v>
      </c>
      <c r="F315" t="s">
        <v>309</v>
      </c>
      <c r="G315">
        <v>2006</v>
      </c>
      <c r="H315">
        <v>2006</v>
      </c>
      <c r="I315">
        <v>3852</v>
      </c>
      <c r="N315">
        <v>151</v>
      </c>
      <c r="O315">
        <v>161</v>
      </c>
      <c r="R315" t="s">
        <v>3275</v>
      </c>
      <c r="S315" t="s">
        <v>3276</v>
      </c>
      <c r="T315">
        <v>14</v>
      </c>
      <c r="U315">
        <v>1</v>
      </c>
      <c r="V315">
        <v>0</v>
      </c>
      <c r="W315">
        <v>0</v>
      </c>
      <c r="X315">
        <v>0</v>
      </c>
      <c r="Y315">
        <v>0</v>
      </c>
      <c r="Z315">
        <v>0</v>
      </c>
      <c r="AA315">
        <v>0</v>
      </c>
      <c r="AB315">
        <v>2</v>
      </c>
      <c r="AC315">
        <v>3</v>
      </c>
      <c r="AD315">
        <v>0</v>
      </c>
      <c r="AE315">
        <v>0</v>
      </c>
      <c r="AF315">
        <v>0</v>
      </c>
      <c r="AG315">
        <v>1</v>
      </c>
      <c r="AH315">
        <v>1</v>
      </c>
      <c r="AI315">
        <v>1</v>
      </c>
      <c r="AJ315">
        <v>1</v>
      </c>
      <c r="AK315">
        <v>2</v>
      </c>
      <c r="AL315">
        <v>3</v>
      </c>
      <c r="AM315">
        <v>0</v>
      </c>
      <c r="AN315">
        <v>0</v>
      </c>
    </row>
    <row r="316" spans="1:40" x14ac:dyDescent="0.25">
      <c r="A316" t="s">
        <v>1605</v>
      </c>
      <c r="B316" t="s">
        <v>1607</v>
      </c>
      <c r="F316" t="s">
        <v>315</v>
      </c>
      <c r="G316" t="s">
        <v>2559</v>
      </c>
      <c r="H316">
        <v>2003</v>
      </c>
      <c r="I316">
        <v>14</v>
      </c>
      <c r="J316">
        <v>4</v>
      </c>
      <c r="N316">
        <v>210</v>
      </c>
      <c r="O316">
        <v>214</v>
      </c>
      <c r="Q316" t="s">
        <v>3277</v>
      </c>
      <c r="T316">
        <v>14</v>
      </c>
      <c r="U316">
        <v>0.82</v>
      </c>
      <c r="V316">
        <v>0</v>
      </c>
      <c r="W316">
        <v>0</v>
      </c>
      <c r="X316">
        <v>0</v>
      </c>
      <c r="Y316">
        <v>0</v>
      </c>
      <c r="Z316">
        <v>0</v>
      </c>
      <c r="AA316">
        <v>2</v>
      </c>
      <c r="AB316">
        <v>3</v>
      </c>
      <c r="AC316">
        <v>2</v>
      </c>
      <c r="AD316">
        <v>0</v>
      </c>
      <c r="AE316">
        <v>2</v>
      </c>
      <c r="AF316">
        <v>2</v>
      </c>
      <c r="AG316">
        <v>1</v>
      </c>
      <c r="AH316">
        <v>0</v>
      </c>
      <c r="AI316">
        <v>0</v>
      </c>
      <c r="AJ316">
        <v>0</v>
      </c>
      <c r="AK316">
        <v>0</v>
      </c>
      <c r="AL316">
        <v>2</v>
      </c>
      <c r="AM316">
        <v>0</v>
      </c>
      <c r="AN316">
        <v>0</v>
      </c>
    </row>
    <row r="317" spans="1:40" x14ac:dyDescent="0.25">
      <c r="A317" t="s">
        <v>3278</v>
      </c>
      <c r="B317" t="s">
        <v>3279</v>
      </c>
      <c r="F317" t="s">
        <v>304</v>
      </c>
      <c r="G317" t="s">
        <v>3280</v>
      </c>
      <c r="H317">
        <v>2017</v>
      </c>
      <c r="I317">
        <v>48</v>
      </c>
      <c r="J317">
        <v>3</v>
      </c>
      <c r="N317">
        <v>299</v>
      </c>
      <c r="O317">
        <v>329</v>
      </c>
      <c r="Q317" t="s">
        <v>3281</v>
      </c>
      <c r="T317">
        <v>13</v>
      </c>
      <c r="U317">
        <v>4.33</v>
      </c>
      <c r="V317">
        <v>0</v>
      </c>
      <c r="W317">
        <v>0</v>
      </c>
      <c r="X317">
        <v>0</v>
      </c>
      <c r="Y317">
        <v>0</v>
      </c>
      <c r="Z317">
        <v>0</v>
      </c>
      <c r="AA317">
        <v>0</v>
      </c>
      <c r="AB317">
        <v>0</v>
      </c>
      <c r="AC317">
        <v>0</v>
      </c>
      <c r="AD317">
        <v>0</v>
      </c>
      <c r="AE317">
        <v>0</v>
      </c>
      <c r="AF317">
        <v>0</v>
      </c>
      <c r="AG317">
        <v>0</v>
      </c>
      <c r="AH317">
        <v>0</v>
      </c>
      <c r="AI317">
        <v>0</v>
      </c>
      <c r="AJ317">
        <v>0</v>
      </c>
      <c r="AK317">
        <v>0</v>
      </c>
      <c r="AL317">
        <v>7</v>
      </c>
      <c r="AM317">
        <v>5</v>
      </c>
      <c r="AN317">
        <v>1</v>
      </c>
    </row>
    <row r="318" spans="1:40" x14ac:dyDescent="0.25">
      <c r="A318" t="s">
        <v>3282</v>
      </c>
      <c r="B318" t="s">
        <v>3283</v>
      </c>
      <c r="F318" t="s">
        <v>308</v>
      </c>
      <c r="G318" t="s">
        <v>2528</v>
      </c>
      <c r="H318">
        <v>2016</v>
      </c>
      <c r="I318">
        <v>52</v>
      </c>
      <c r="N318">
        <v>358</v>
      </c>
      <c r="O318">
        <v>374</v>
      </c>
      <c r="Q318" t="s">
        <v>3284</v>
      </c>
      <c r="T318">
        <v>13</v>
      </c>
      <c r="U318">
        <v>3.25</v>
      </c>
      <c r="V318">
        <v>0</v>
      </c>
      <c r="W318">
        <v>0</v>
      </c>
      <c r="X318">
        <v>0</v>
      </c>
      <c r="Y318">
        <v>0</v>
      </c>
      <c r="Z318">
        <v>0</v>
      </c>
      <c r="AA318">
        <v>0</v>
      </c>
      <c r="AB318">
        <v>0</v>
      </c>
      <c r="AC318">
        <v>0</v>
      </c>
      <c r="AD318">
        <v>0</v>
      </c>
      <c r="AE318">
        <v>0</v>
      </c>
      <c r="AF318">
        <v>0</v>
      </c>
      <c r="AG318">
        <v>0</v>
      </c>
      <c r="AH318">
        <v>0</v>
      </c>
      <c r="AI318">
        <v>0</v>
      </c>
      <c r="AJ318">
        <v>0</v>
      </c>
      <c r="AK318">
        <v>1</v>
      </c>
      <c r="AL318">
        <v>4</v>
      </c>
      <c r="AM318">
        <v>6</v>
      </c>
      <c r="AN318">
        <v>2</v>
      </c>
    </row>
    <row r="319" spans="1:40" x14ac:dyDescent="0.25">
      <c r="A319" t="s">
        <v>3285</v>
      </c>
      <c r="B319" t="s">
        <v>3286</v>
      </c>
      <c r="F319" t="s">
        <v>313</v>
      </c>
      <c r="G319" t="s">
        <v>3287</v>
      </c>
      <c r="H319">
        <v>2015</v>
      </c>
      <c r="I319">
        <v>42</v>
      </c>
      <c r="J319">
        <v>13</v>
      </c>
      <c r="N319">
        <v>5658</v>
      </c>
      <c r="O319">
        <v>5667</v>
      </c>
      <c r="Q319" t="s">
        <v>3288</v>
      </c>
      <c r="T319">
        <v>13</v>
      </c>
      <c r="U319">
        <v>2.6</v>
      </c>
      <c r="V319">
        <v>0</v>
      </c>
      <c r="W319">
        <v>0</v>
      </c>
      <c r="X319">
        <v>0</v>
      </c>
      <c r="Y319">
        <v>0</v>
      </c>
      <c r="Z319">
        <v>0</v>
      </c>
      <c r="AA319">
        <v>0</v>
      </c>
      <c r="AB319">
        <v>0</v>
      </c>
      <c r="AC319">
        <v>0</v>
      </c>
      <c r="AD319">
        <v>0</v>
      </c>
      <c r="AE319">
        <v>0</v>
      </c>
      <c r="AF319">
        <v>0</v>
      </c>
      <c r="AG319">
        <v>0</v>
      </c>
      <c r="AH319">
        <v>0</v>
      </c>
      <c r="AI319">
        <v>0</v>
      </c>
      <c r="AJ319">
        <v>0</v>
      </c>
      <c r="AK319">
        <v>3</v>
      </c>
      <c r="AL319">
        <v>4</v>
      </c>
      <c r="AM319">
        <v>6</v>
      </c>
      <c r="AN319">
        <v>0</v>
      </c>
    </row>
    <row r="320" spans="1:40" x14ac:dyDescent="0.25">
      <c r="A320" t="s">
        <v>3289</v>
      </c>
      <c r="B320" t="s">
        <v>3290</v>
      </c>
      <c r="F320" t="s">
        <v>302</v>
      </c>
      <c r="G320" t="s">
        <v>3291</v>
      </c>
      <c r="H320">
        <v>2015</v>
      </c>
      <c r="I320">
        <v>38</v>
      </c>
      <c r="N320">
        <v>52</v>
      </c>
      <c r="O320">
        <v>64</v>
      </c>
      <c r="Q320" t="s">
        <v>3292</v>
      </c>
      <c r="T320">
        <v>13</v>
      </c>
      <c r="U320">
        <v>2.6</v>
      </c>
      <c r="V320">
        <v>0</v>
      </c>
      <c r="W320">
        <v>0</v>
      </c>
      <c r="X320">
        <v>0</v>
      </c>
      <c r="Y320">
        <v>0</v>
      </c>
      <c r="Z320">
        <v>0</v>
      </c>
      <c r="AA320">
        <v>0</v>
      </c>
      <c r="AB320">
        <v>0</v>
      </c>
      <c r="AC320">
        <v>0</v>
      </c>
      <c r="AD320">
        <v>0</v>
      </c>
      <c r="AE320">
        <v>0</v>
      </c>
      <c r="AF320">
        <v>0</v>
      </c>
      <c r="AG320">
        <v>0</v>
      </c>
      <c r="AH320">
        <v>0</v>
      </c>
      <c r="AI320">
        <v>0</v>
      </c>
      <c r="AJ320">
        <v>1</v>
      </c>
      <c r="AK320">
        <v>6</v>
      </c>
      <c r="AL320">
        <v>2</v>
      </c>
      <c r="AM320">
        <v>4</v>
      </c>
      <c r="AN320">
        <v>0</v>
      </c>
    </row>
    <row r="321" spans="1:40" x14ac:dyDescent="0.25">
      <c r="A321" t="s">
        <v>3293</v>
      </c>
      <c r="B321" t="s">
        <v>3294</v>
      </c>
      <c r="F321" t="s">
        <v>308</v>
      </c>
      <c r="G321" t="s">
        <v>2624</v>
      </c>
      <c r="H321">
        <v>2015</v>
      </c>
      <c r="I321">
        <v>48</v>
      </c>
      <c r="J321">
        <v>4</v>
      </c>
      <c r="N321">
        <v>1337</v>
      </c>
      <c r="O321">
        <v>1348</v>
      </c>
      <c r="Q321" t="s">
        <v>3295</v>
      </c>
      <c r="T321">
        <v>13</v>
      </c>
      <c r="U321">
        <v>2.6</v>
      </c>
      <c r="V321">
        <v>0</v>
      </c>
      <c r="W321">
        <v>0</v>
      </c>
      <c r="X321">
        <v>0</v>
      </c>
      <c r="Y321">
        <v>0</v>
      </c>
      <c r="Z321">
        <v>0</v>
      </c>
      <c r="AA321">
        <v>0</v>
      </c>
      <c r="AB321">
        <v>0</v>
      </c>
      <c r="AC321">
        <v>0</v>
      </c>
      <c r="AD321">
        <v>0</v>
      </c>
      <c r="AE321">
        <v>0</v>
      </c>
      <c r="AF321">
        <v>0</v>
      </c>
      <c r="AG321">
        <v>0</v>
      </c>
      <c r="AH321">
        <v>0</v>
      </c>
      <c r="AI321">
        <v>0</v>
      </c>
      <c r="AJ321">
        <v>1</v>
      </c>
      <c r="AK321">
        <v>4</v>
      </c>
      <c r="AL321">
        <v>5</v>
      </c>
      <c r="AM321">
        <v>3</v>
      </c>
      <c r="AN321">
        <v>0</v>
      </c>
    </row>
    <row r="322" spans="1:40" x14ac:dyDescent="0.25">
      <c r="A322" t="s">
        <v>3296</v>
      </c>
      <c r="B322" t="s">
        <v>3297</v>
      </c>
      <c r="F322" t="s">
        <v>311</v>
      </c>
      <c r="G322" t="s">
        <v>2434</v>
      </c>
      <c r="H322">
        <v>2015</v>
      </c>
      <c r="I322">
        <v>24</v>
      </c>
      <c r="J322">
        <v>1</v>
      </c>
      <c r="N322">
        <v>332</v>
      </c>
      <c r="O322">
        <v>344</v>
      </c>
      <c r="Q322" t="s">
        <v>3298</v>
      </c>
      <c r="T322">
        <v>13</v>
      </c>
      <c r="U322">
        <v>2.6</v>
      </c>
      <c r="V322">
        <v>0</v>
      </c>
      <c r="W322">
        <v>0</v>
      </c>
      <c r="X322">
        <v>0</v>
      </c>
      <c r="Y322">
        <v>0</v>
      </c>
      <c r="Z322">
        <v>0</v>
      </c>
      <c r="AA322">
        <v>0</v>
      </c>
      <c r="AB322">
        <v>0</v>
      </c>
      <c r="AC322">
        <v>0</v>
      </c>
      <c r="AD322">
        <v>0</v>
      </c>
      <c r="AE322">
        <v>0</v>
      </c>
      <c r="AF322">
        <v>0</v>
      </c>
      <c r="AG322">
        <v>0</v>
      </c>
      <c r="AH322">
        <v>0</v>
      </c>
      <c r="AI322">
        <v>0</v>
      </c>
      <c r="AJ322">
        <v>4</v>
      </c>
      <c r="AK322">
        <v>3</v>
      </c>
      <c r="AL322">
        <v>4</v>
      </c>
      <c r="AM322">
        <v>2</v>
      </c>
      <c r="AN322">
        <v>0</v>
      </c>
    </row>
    <row r="323" spans="1:40" x14ac:dyDescent="0.25">
      <c r="A323" t="s">
        <v>3299</v>
      </c>
      <c r="B323" t="s">
        <v>3300</v>
      </c>
      <c r="F323" t="s">
        <v>306</v>
      </c>
      <c r="G323" t="s">
        <v>3301</v>
      </c>
      <c r="H323">
        <v>2013</v>
      </c>
      <c r="I323">
        <v>120</v>
      </c>
      <c r="M323" t="s">
        <v>1948</v>
      </c>
      <c r="N323">
        <v>141</v>
      </c>
      <c r="O323">
        <v>155</v>
      </c>
      <c r="Q323" t="s">
        <v>3302</v>
      </c>
      <c r="T323">
        <v>13</v>
      </c>
      <c r="U323">
        <v>1.86</v>
      </c>
      <c r="V323">
        <v>0</v>
      </c>
      <c r="W323">
        <v>0</v>
      </c>
      <c r="X323">
        <v>0</v>
      </c>
      <c r="Y323">
        <v>0</v>
      </c>
      <c r="Z323">
        <v>0</v>
      </c>
      <c r="AA323">
        <v>0</v>
      </c>
      <c r="AB323">
        <v>0</v>
      </c>
      <c r="AC323">
        <v>0</v>
      </c>
      <c r="AD323">
        <v>0</v>
      </c>
      <c r="AE323">
        <v>0</v>
      </c>
      <c r="AF323">
        <v>0</v>
      </c>
      <c r="AG323">
        <v>0</v>
      </c>
      <c r="AH323">
        <v>0</v>
      </c>
      <c r="AI323">
        <v>1</v>
      </c>
      <c r="AJ323">
        <v>2</v>
      </c>
      <c r="AK323">
        <v>5</v>
      </c>
      <c r="AL323">
        <v>3</v>
      </c>
      <c r="AM323">
        <v>2</v>
      </c>
      <c r="AN323">
        <v>0</v>
      </c>
    </row>
    <row r="324" spans="1:40" x14ac:dyDescent="0.25">
      <c r="A324" t="s">
        <v>3303</v>
      </c>
      <c r="B324" t="s">
        <v>3304</v>
      </c>
      <c r="F324" t="s">
        <v>300</v>
      </c>
      <c r="G324" t="s">
        <v>2526</v>
      </c>
      <c r="H324">
        <v>2013</v>
      </c>
      <c r="I324">
        <v>35</v>
      </c>
      <c r="J324">
        <v>8</v>
      </c>
      <c r="N324">
        <v>1902</v>
      </c>
      <c r="O324">
        <v>1914</v>
      </c>
      <c r="Q324" t="s">
        <v>3305</v>
      </c>
      <c r="T324">
        <v>13</v>
      </c>
      <c r="U324">
        <v>1.86</v>
      </c>
      <c r="V324">
        <v>0</v>
      </c>
      <c r="W324">
        <v>0</v>
      </c>
      <c r="X324">
        <v>0</v>
      </c>
      <c r="Y324">
        <v>0</v>
      </c>
      <c r="Z324">
        <v>0</v>
      </c>
      <c r="AA324">
        <v>0</v>
      </c>
      <c r="AB324">
        <v>0</v>
      </c>
      <c r="AC324">
        <v>0</v>
      </c>
      <c r="AD324">
        <v>0</v>
      </c>
      <c r="AE324">
        <v>0</v>
      </c>
      <c r="AF324">
        <v>0</v>
      </c>
      <c r="AG324">
        <v>0</v>
      </c>
      <c r="AH324">
        <v>0</v>
      </c>
      <c r="AI324">
        <v>3</v>
      </c>
      <c r="AJ324">
        <v>2</v>
      </c>
      <c r="AK324">
        <v>3</v>
      </c>
      <c r="AL324">
        <v>4</v>
      </c>
      <c r="AM324">
        <v>1</v>
      </c>
      <c r="AN324">
        <v>0</v>
      </c>
    </row>
    <row r="325" spans="1:40" x14ac:dyDescent="0.25">
      <c r="A325" t="s">
        <v>1578</v>
      </c>
      <c r="B325" t="s">
        <v>1580</v>
      </c>
      <c r="F325" t="s">
        <v>339</v>
      </c>
      <c r="G325" t="s">
        <v>2515</v>
      </c>
      <c r="H325">
        <v>2012</v>
      </c>
      <c r="I325">
        <v>44</v>
      </c>
      <c r="J325">
        <v>3</v>
      </c>
      <c r="N325">
        <v>341</v>
      </c>
      <c r="O325">
        <v>353</v>
      </c>
      <c r="Q325" t="s">
        <v>3306</v>
      </c>
      <c r="T325">
        <v>13</v>
      </c>
      <c r="U325">
        <v>1.63</v>
      </c>
      <c r="V325">
        <v>0</v>
      </c>
      <c r="W325">
        <v>0</v>
      </c>
      <c r="X325">
        <v>0</v>
      </c>
      <c r="Y325">
        <v>0</v>
      </c>
      <c r="Z325">
        <v>0</v>
      </c>
      <c r="AA325">
        <v>0</v>
      </c>
      <c r="AB325">
        <v>0</v>
      </c>
      <c r="AC325">
        <v>0</v>
      </c>
      <c r="AD325">
        <v>0</v>
      </c>
      <c r="AE325">
        <v>0</v>
      </c>
      <c r="AF325">
        <v>0</v>
      </c>
      <c r="AG325">
        <v>0</v>
      </c>
      <c r="AH325">
        <v>0</v>
      </c>
      <c r="AI325">
        <v>0</v>
      </c>
      <c r="AJ325">
        <v>4</v>
      </c>
      <c r="AK325">
        <v>1</v>
      </c>
      <c r="AL325">
        <v>4</v>
      </c>
      <c r="AM325">
        <v>4</v>
      </c>
      <c r="AN325">
        <v>0</v>
      </c>
    </row>
    <row r="326" spans="1:40" x14ac:dyDescent="0.25">
      <c r="A326" t="s">
        <v>1067</v>
      </c>
      <c r="B326" t="s">
        <v>1069</v>
      </c>
      <c r="F326" t="s">
        <v>298</v>
      </c>
      <c r="G326" t="s">
        <v>2398</v>
      </c>
      <c r="H326">
        <v>2012</v>
      </c>
      <c r="I326">
        <v>116</v>
      </c>
      <c r="J326">
        <v>4</v>
      </c>
      <c r="N326">
        <v>538</v>
      </c>
      <c r="O326">
        <v>560</v>
      </c>
      <c r="Q326" t="s">
        <v>3307</v>
      </c>
      <c r="T326">
        <v>13</v>
      </c>
      <c r="U326">
        <v>1.63</v>
      </c>
      <c r="V326">
        <v>0</v>
      </c>
      <c r="W326">
        <v>0</v>
      </c>
      <c r="X326">
        <v>0</v>
      </c>
      <c r="Y326">
        <v>0</v>
      </c>
      <c r="Z326">
        <v>0</v>
      </c>
      <c r="AA326">
        <v>0</v>
      </c>
      <c r="AB326">
        <v>0</v>
      </c>
      <c r="AC326">
        <v>0</v>
      </c>
      <c r="AD326">
        <v>0</v>
      </c>
      <c r="AE326">
        <v>0</v>
      </c>
      <c r="AF326">
        <v>0</v>
      </c>
      <c r="AG326">
        <v>0</v>
      </c>
      <c r="AH326">
        <v>4</v>
      </c>
      <c r="AI326">
        <v>2</v>
      </c>
      <c r="AJ326">
        <v>1</v>
      </c>
      <c r="AK326">
        <v>3</v>
      </c>
      <c r="AL326">
        <v>1</v>
      </c>
      <c r="AM326">
        <v>1</v>
      </c>
      <c r="AN326">
        <v>1</v>
      </c>
    </row>
    <row r="327" spans="1:40" x14ac:dyDescent="0.25">
      <c r="A327" t="s">
        <v>3308</v>
      </c>
      <c r="B327" t="s">
        <v>3309</v>
      </c>
      <c r="F327" t="s">
        <v>315</v>
      </c>
      <c r="G327" t="s">
        <v>3031</v>
      </c>
      <c r="H327">
        <v>2010</v>
      </c>
      <c r="I327">
        <v>21</v>
      </c>
      <c r="J327">
        <v>6</v>
      </c>
      <c r="N327">
        <v>969</v>
      </c>
      <c r="O327">
        <v>979</v>
      </c>
      <c r="Q327" t="s">
        <v>3310</v>
      </c>
      <c r="T327">
        <v>13</v>
      </c>
      <c r="U327">
        <v>1.3</v>
      </c>
      <c r="V327">
        <v>0</v>
      </c>
      <c r="W327">
        <v>0</v>
      </c>
      <c r="X327">
        <v>0</v>
      </c>
      <c r="Y327">
        <v>0</v>
      </c>
      <c r="Z327">
        <v>0</v>
      </c>
      <c r="AA327">
        <v>0</v>
      </c>
      <c r="AB327">
        <v>0</v>
      </c>
      <c r="AC327">
        <v>0</v>
      </c>
      <c r="AD327">
        <v>0</v>
      </c>
      <c r="AE327">
        <v>0</v>
      </c>
      <c r="AF327">
        <v>0</v>
      </c>
      <c r="AG327">
        <v>0</v>
      </c>
      <c r="AH327">
        <v>2</v>
      </c>
      <c r="AI327">
        <v>2</v>
      </c>
      <c r="AJ327">
        <v>5</v>
      </c>
      <c r="AK327">
        <v>0</v>
      </c>
      <c r="AL327">
        <v>4</v>
      </c>
      <c r="AM327">
        <v>0</v>
      </c>
      <c r="AN327">
        <v>0</v>
      </c>
    </row>
    <row r="328" spans="1:40" x14ac:dyDescent="0.25">
      <c r="A328" t="s">
        <v>1169</v>
      </c>
      <c r="B328" t="s">
        <v>1171</v>
      </c>
      <c r="E328" t="s">
        <v>3311</v>
      </c>
      <c r="F328" t="s">
        <v>308</v>
      </c>
      <c r="G328">
        <v>2004</v>
      </c>
      <c r="H328">
        <v>2004</v>
      </c>
      <c r="I328">
        <v>3175</v>
      </c>
      <c r="N328">
        <v>447</v>
      </c>
      <c r="O328">
        <v>454</v>
      </c>
      <c r="R328" t="s">
        <v>3312</v>
      </c>
      <c r="S328" t="s">
        <v>3313</v>
      </c>
      <c r="T328">
        <v>13</v>
      </c>
      <c r="U328">
        <v>0.81</v>
      </c>
      <c r="V328">
        <v>0</v>
      </c>
      <c r="W328">
        <v>0</v>
      </c>
      <c r="X328">
        <v>0</v>
      </c>
      <c r="Y328">
        <v>0</v>
      </c>
      <c r="Z328">
        <v>4</v>
      </c>
      <c r="AA328">
        <v>1</v>
      </c>
      <c r="AB328">
        <v>1</v>
      </c>
      <c r="AC328">
        <v>4</v>
      </c>
      <c r="AD328">
        <v>2</v>
      </c>
      <c r="AE328">
        <v>0</v>
      </c>
      <c r="AF328">
        <v>0</v>
      </c>
      <c r="AG328">
        <v>0</v>
      </c>
      <c r="AH328">
        <v>0</v>
      </c>
      <c r="AI328">
        <v>0</v>
      </c>
      <c r="AJ328">
        <v>0</v>
      </c>
      <c r="AK328">
        <v>1</v>
      </c>
      <c r="AL328">
        <v>0</v>
      </c>
      <c r="AM328">
        <v>0</v>
      </c>
      <c r="AN328">
        <v>0</v>
      </c>
    </row>
    <row r="329" spans="1:40" x14ac:dyDescent="0.25">
      <c r="A329" t="s">
        <v>3314</v>
      </c>
      <c r="B329" t="s">
        <v>3315</v>
      </c>
      <c r="F329" t="s">
        <v>326</v>
      </c>
      <c r="G329" t="s">
        <v>3316</v>
      </c>
      <c r="H329">
        <v>2003</v>
      </c>
      <c r="I329">
        <v>33</v>
      </c>
      <c r="J329">
        <v>4</v>
      </c>
      <c r="N329">
        <v>648</v>
      </c>
      <c r="O329">
        <v>657</v>
      </c>
      <c r="Q329" t="s">
        <v>3317</v>
      </c>
      <c r="T329">
        <v>13</v>
      </c>
      <c r="U329">
        <v>0.76</v>
      </c>
      <c r="V329">
        <v>0</v>
      </c>
      <c r="W329">
        <v>0</v>
      </c>
      <c r="X329">
        <v>0</v>
      </c>
      <c r="Y329">
        <v>2</v>
      </c>
      <c r="Z329">
        <v>3</v>
      </c>
      <c r="AA329">
        <v>2</v>
      </c>
      <c r="AB329">
        <v>1</v>
      </c>
      <c r="AC329">
        <v>0</v>
      </c>
      <c r="AD329">
        <v>0</v>
      </c>
      <c r="AE329">
        <v>0</v>
      </c>
      <c r="AF329">
        <v>0</v>
      </c>
      <c r="AG329">
        <v>1</v>
      </c>
      <c r="AH329">
        <v>2</v>
      </c>
      <c r="AI329">
        <v>1</v>
      </c>
      <c r="AJ329">
        <v>0</v>
      </c>
      <c r="AK329">
        <v>0</v>
      </c>
      <c r="AL329">
        <v>1</v>
      </c>
      <c r="AM329">
        <v>0</v>
      </c>
      <c r="AN329">
        <v>0</v>
      </c>
    </row>
    <row r="330" spans="1:40" x14ac:dyDescent="0.25">
      <c r="A330" t="s">
        <v>3318</v>
      </c>
      <c r="B330" t="s">
        <v>3319</v>
      </c>
      <c r="F330" t="s">
        <v>315</v>
      </c>
      <c r="G330" t="s">
        <v>3320</v>
      </c>
      <c r="H330">
        <v>2003</v>
      </c>
      <c r="I330">
        <v>13</v>
      </c>
      <c r="J330">
        <v>4</v>
      </c>
      <c r="N330">
        <v>222</v>
      </c>
      <c r="O330">
        <v>233</v>
      </c>
      <c r="Q330" t="s">
        <v>3321</v>
      </c>
      <c r="T330">
        <v>13</v>
      </c>
      <c r="U330">
        <v>0.76</v>
      </c>
      <c r="V330">
        <v>0</v>
      </c>
      <c r="W330">
        <v>0</v>
      </c>
      <c r="X330">
        <v>1</v>
      </c>
      <c r="Y330">
        <v>2</v>
      </c>
      <c r="Z330">
        <v>1</v>
      </c>
      <c r="AA330">
        <v>0</v>
      </c>
      <c r="AB330">
        <v>2</v>
      </c>
      <c r="AC330">
        <v>1</v>
      </c>
      <c r="AD330">
        <v>0</v>
      </c>
      <c r="AE330">
        <v>1</v>
      </c>
      <c r="AF330">
        <v>2</v>
      </c>
      <c r="AG330">
        <v>1</v>
      </c>
      <c r="AH330">
        <v>1</v>
      </c>
      <c r="AI330">
        <v>0</v>
      </c>
      <c r="AJ330">
        <v>0</v>
      </c>
      <c r="AK330">
        <v>0</v>
      </c>
      <c r="AL330">
        <v>1</v>
      </c>
      <c r="AM330">
        <v>0</v>
      </c>
      <c r="AN330">
        <v>0</v>
      </c>
    </row>
    <row r="331" spans="1:40" x14ac:dyDescent="0.25">
      <c r="A331" t="s">
        <v>3322</v>
      </c>
      <c r="B331" t="s">
        <v>3323</v>
      </c>
      <c r="F331" t="s">
        <v>3324</v>
      </c>
      <c r="G331" t="s">
        <v>3325</v>
      </c>
      <c r="H331">
        <v>2018</v>
      </c>
      <c r="I331">
        <v>9</v>
      </c>
      <c r="J331">
        <v>4</v>
      </c>
      <c r="P331">
        <v>38</v>
      </c>
      <c r="Q331" t="s">
        <v>3326</v>
      </c>
      <c r="T331">
        <v>12</v>
      </c>
      <c r="U331">
        <v>6</v>
      </c>
      <c r="V331">
        <v>0</v>
      </c>
      <c r="W331">
        <v>0</v>
      </c>
      <c r="X331">
        <v>0</v>
      </c>
      <c r="Y331">
        <v>0</v>
      </c>
      <c r="Z331">
        <v>0</v>
      </c>
      <c r="AA331">
        <v>0</v>
      </c>
      <c r="AB331">
        <v>0</v>
      </c>
      <c r="AC331">
        <v>0</v>
      </c>
      <c r="AD331">
        <v>0</v>
      </c>
      <c r="AE331">
        <v>0</v>
      </c>
      <c r="AF331">
        <v>0</v>
      </c>
      <c r="AG331">
        <v>0</v>
      </c>
      <c r="AH331">
        <v>0</v>
      </c>
      <c r="AI331">
        <v>0</v>
      </c>
      <c r="AJ331">
        <v>0</v>
      </c>
      <c r="AK331">
        <v>0</v>
      </c>
      <c r="AL331">
        <v>0</v>
      </c>
      <c r="AM331">
        <v>10</v>
      </c>
      <c r="AN331">
        <v>2</v>
      </c>
    </row>
    <row r="332" spans="1:40" x14ac:dyDescent="0.25">
      <c r="A332" t="s">
        <v>3327</v>
      </c>
      <c r="B332" t="s">
        <v>3328</v>
      </c>
      <c r="F332" t="s">
        <v>300</v>
      </c>
      <c r="G332" t="s">
        <v>3329</v>
      </c>
      <c r="H332">
        <v>2016</v>
      </c>
      <c r="I332">
        <v>38</v>
      </c>
      <c r="J332">
        <v>2</v>
      </c>
      <c r="N332">
        <v>363</v>
      </c>
      <c r="O332">
        <v>375</v>
      </c>
      <c r="Q332" t="s">
        <v>3330</v>
      </c>
      <c r="T332">
        <v>12</v>
      </c>
      <c r="U332">
        <v>3</v>
      </c>
      <c r="V332">
        <v>0</v>
      </c>
      <c r="W332">
        <v>0</v>
      </c>
      <c r="X332">
        <v>0</v>
      </c>
      <c r="Y332">
        <v>0</v>
      </c>
      <c r="Z332">
        <v>0</v>
      </c>
      <c r="AA332">
        <v>0</v>
      </c>
      <c r="AB332">
        <v>0</v>
      </c>
      <c r="AC332">
        <v>0</v>
      </c>
      <c r="AD332">
        <v>0</v>
      </c>
      <c r="AE332">
        <v>0</v>
      </c>
      <c r="AF332">
        <v>0</v>
      </c>
      <c r="AG332">
        <v>0</v>
      </c>
      <c r="AH332">
        <v>0</v>
      </c>
      <c r="AI332">
        <v>0</v>
      </c>
      <c r="AJ332">
        <v>0</v>
      </c>
      <c r="AK332">
        <v>1</v>
      </c>
      <c r="AL332">
        <v>2</v>
      </c>
      <c r="AM332">
        <v>8</v>
      </c>
      <c r="AN332">
        <v>1</v>
      </c>
    </row>
    <row r="333" spans="1:40" x14ac:dyDescent="0.25">
      <c r="A333" t="s">
        <v>3331</v>
      </c>
      <c r="B333" t="s">
        <v>3332</v>
      </c>
      <c r="F333" t="s">
        <v>311</v>
      </c>
      <c r="G333" t="s">
        <v>2856</v>
      </c>
      <c r="H333">
        <v>2015</v>
      </c>
      <c r="I333">
        <v>24</v>
      </c>
      <c r="J333">
        <v>11</v>
      </c>
      <c r="N333">
        <v>4160</v>
      </c>
      <c r="O333">
        <v>4171</v>
      </c>
      <c r="Q333" t="s">
        <v>3333</v>
      </c>
      <c r="T333">
        <v>12</v>
      </c>
      <c r="U333">
        <v>2.4</v>
      </c>
      <c r="V333">
        <v>0</v>
      </c>
      <c r="W333">
        <v>0</v>
      </c>
      <c r="X333">
        <v>0</v>
      </c>
      <c r="Y333">
        <v>0</v>
      </c>
      <c r="Z333">
        <v>0</v>
      </c>
      <c r="AA333">
        <v>0</v>
      </c>
      <c r="AB333">
        <v>0</v>
      </c>
      <c r="AC333">
        <v>0</v>
      </c>
      <c r="AD333">
        <v>0</v>
      </c>
      <c r="AE333">
        <v>0</v>
      </c>
      <c r="AF333">
        <v>0</v>
      </c>
      <c r="AG333">
        <v>0</v>
      </c>
      <c r="AH333">
        <v>0</v>
      </c>
      <c r="AI333">
        <v>0</v>
      </c>
      <c r="AJ333">
        <v>0</v>
      </c>
      <c r="AK333">
        <v>5</v>
      </c>
      <c r="AL333">
        <v>3</v>
      </c>
      <c r="AM333">
        <v>4</v>
      </c>
      <c r="AN333">
        <v>0</v>
      </c>
    </row>
    <row r="334" spans="1:40" x14ac:dyDescent="0.25">
      <c r="A334" t="s">
        <v>1365</v>
      </c>
      <c r="B334" t="s">
        <v>1367</v>
      </c>
      <c r="F334" t="s">
        <v>300</v>
      </c>
      <c r="G334" t="s">
        <v>3334</v>
      </c>
      <c r="H334">
        <v>2014</v>
      </c>
      <c r="I334">
        <v>36</v>
      </c>
      <c r="J334">
        <v>7</v>
      </c>
      <c r="N334">
        <v>1312</v>
      </c>
      <c r="O334">
        <v>1324</v>
      </c>
      <c r="Q334" t="s">
        <v>3335</v>
      </c>
      <c r="T334">
        <v>12</v>
      </c>
      <c r="U334">
        <v>2</v>
      </c>
      <c r="V334">
        <v>0</v>
      </c>
      <c r="W334">
        <v>0</v>
      </c>
      <c r="X334">
        <v>0</v>
      </c>
      <c r="Y334">
        <v>0</v>
      </c>
      <c r="Z334">
        <v>0</v>
      </c>
      <c r="AA334">
        <v>0</v>
      </c>
      <c r="AB334">
        <v>0</v>
      </c>
      <c r="AC334">
        <v>0</v>
      </c>
      <c r="AD334">
        <v>0</v>
      </c>
      <c r="AE334">
        <v>0</v>
      </c>
      <c r="AF334">
        <v>0</v>
      </c>
      <c r="AG334">
        <v>0</v>
      </c>
      <c r="AH334">
        <v>0</v>
      </c>
      <c r="AI334">
        <v>0</v>
      </c>
      <c r="AJ334">
        <v>4</v>
      </c>
      <c r="AK334">
        <v>2</v>
      </c>
      <c r="AL334">
        <v>4</v>
      </c>
      <c r="AM334">
        <v>2</v>
      </c>
      <c r="AN334">
        <v>0</v>
      </c>
    </row>
    <row r="335" spans="1:40" x14ac:dyDescent="0.25">
      <c r="A335" t="s">
        <v>3336</v>
      </c>
      <c r="B335" t="s">
        <v>3337</v>
      </c>
      <c r="F335" t="s">
        <v>308</v>
      </c>
      <c r="G335" t="s">
        <v>2640</v>
      </c>
      <c r="H335">
        <v>2014</v>
      </c>
      <c r="I335">
        <v>47</v>
      </c>
      <c r="J335">
        <v>1</v>
      </c>
      <c r="M335" t="s">
        <v>1948</v>
      </c>
      <c r="N335">
        <v>169</v>
      </c>
      <c r="O335">
        <v>177</v>
      </c>
      <c r="Q335" t="s">
        <v>3338</v>
      </c>
      <c r="T335">
        <v>12</v>
      </c>
      <c r="U335">
        <v>2</v>
      </c>
      <c r="V335">
        <v>0</v>
      </c>
      <c r="W335">
        <v>0</v>
      </c>
      <c r="X335">
        <v>0</v>
      </c>
      <c r="Y335">
        <v>0</v>
      </c>
      <c r="Z335">
        <v>0</v>
      </c>
      <c r="AA335">
        <v>0</v>
      </c>
      <c r="AB335">
        <v>0</v>
      </c>
      <c r="AC335">
        <v>0</v>
      </c>
      <c r="AD335">
        <v>0</v>
      </c>
      <c r="AE335">
        <v>0</v>
      </c>
      <c r="AF335">
        <v>0</v>
      </c>
      <c r="AG335">
        <v>0</v>
      </c>
      <c r="AH335">
        <v>0</v>
      </c>
      <c r="AI335">
        <v>0</v>
      </c>
      <c r="AJ335">
        <v>6</v>
      </c>
      <c r="AK335">
        <v>3</v>
      </c>
      <c r="AL335">
        <v>2</v>
      </c>
      <c r="AM335">
        <v>1</v>
      </c>
      <c r="AN335">
        <v>0</v>
      </c>
    </row>
    <row r="336" spans="1:40" x14ac:dyDescent="0.25">
      <c r="A336" t="s">
        <v>3339</v>
      </c>
      <c r="B336" t="s">
        <v>3340</v>
      </c>
      <c r="F336" t="s">
        <v>300</v>
      </c>
      <c r="G336" t="s">
        <v>2598</v>
      </c>
      <c r="H336">
        <v>2013</v>
      </c>
      <c r="I336">
        <v>35</v>
      </c>
      <c r="J336">
        <v>7</v>
      </c>
      <c r="N336">
        <v>1565</v>
      </c>
      <c r="O336">
        <v>1576</v>
      </c>
      <c r="Q336" t="s">
        <v>3341</v>
      </c>
      <c r="T336">
        <v>12</v>
      </c>
      <c r="U336">
        <v>1.71</v>
      </c>
      <c r="V336">
        <v>0</v>
      </c>
      <c r="W336">
        <v>0</v>
      </c>
      <c r="X336">
        <v>0</v>
      </c>
      <c r="Y336">
        <v>0</v>
      </c>
      <c r="Z336">
        <v>0</v>
      </c>
      <c r="AA336">
        <v>0</v>
      </c>
      <c r="AB336">
        <v>0</v>
      </c>
      <c r="AC336">
        <v>0</v>
      </c>
      <c r="AD336">
        <v>0</v>
      </c>
      <c r="AE336">
        <v>0</v>
      </c>
      <c r="AF336">
        <v>0</v>
      </c>
      <c r="AG336">
        <v>0</v>
      </c>
      <c r="AH336">
        <v>0</v>
      </c>
      <c r="AI336">
        <v>2</v>
      </c>
      <c r="AJ336">
        <v>3</v>
      </c>
      <c r="AK336">
        <v>3</v>
      </c>
      <c r="AL336">
        <v>2</v>
      </c>
      <c r="AM336">
        <v>2</v>
      </c>
      <c r="AN336">
        <v>0</v>
      </c>
    </row>
    <row r="337" spans="1:40" x14ac:dyDescent="0.25">
      <c r="A337" t="s">
        <v>1368</v>
      </c>
      <c r="B337" t="s">
        <v>1370</v>
      </c>
      <c r="F337" t="s">
        <v>300</v>
      </c>
      <c r="G337" t="s">
        <v>2758</v>
      </c>
      <c r="H337">
        <v>2013</v>
      </c>
      <c r="I337">
        <v>35</v>
      </c>
      <c r="J337">
        <v>2</v>
      </c>
      <c r="N337">
        <v>476</v>
      </c>
      <c r="O337">
        <v>489</v>
      </c>
      <c r="Q337" t="s">
        <v>3342</v>
      </c>
      <c r="T337">
        <v>12</v>
      </c>
      <c r="U337">
        <v>1.71</v>
      </c>
      <c r="V337">
        <v>0</v>
      </c>
      <c r="W337">
        <v>0</v>
      </c>
      <c r="X337">
        <v>0</v>
      </c>
      <c r="Y337">
        <v>0</v>
      </c>
      <c r="Z337">
        <v>0</v>
      </c>
      <c r="AA337">
        <v>0</v>
      </c>
      <c r="AB337">
        <v>0</v>
      </c>
      <c r="AC337">
        <v>0</v>
      </c>
      <c r="AD337">
        <v>0</v>
      </c>
      <c r="AE337">
        <v>0</v>
      </c>
      <c r="AF337">
        <v>0</v>
      </c>
      <c r="AG337">
        <v>0</v>
      </c>
      <c r="AH337">
        <v>1</v>
      </c>
      <c r="AI337">
        <v>3</v>
      </c>
      <c r="AJ337">
        <v>0</v>
      </c>
      <c r="AK337">
        <v>4</v>
      </c>
      <c r="AL337">
        <v>1</v>
      </c>
      <c r="AM337">
        <v>3</v>
      </c>
      <c r="AN337">
        <v>0</v>
      </c>
    </row>
    <row r="338" spans="1:40" x14ac:dyDescent="0.25">
      <c r="A338" t="s">
        <v>3343</v>
      </c>
      <c r="B338" t="s">
        <v>3344</v>
      </c>
      <c r="F338" t="s">
        <v>306</v>
      </c>
      <c r="G338" t="s">
        <v>3345</v>
      </c>
      <c r="H338">
        <v>2012</v>
      </c>
      <c r="I338">
        <v>75</v>
      </c>
      <c r="J338">
        <v>1</v>
      </c>
      <c r="M338" t="s">
        <v>1948</v>
      </c>
      <c r="N338">
        <v>78</v>
      </c>
      <c r="O338">
        <v>87</v>
      </c>
      <c r="Q338" t="s">
        <v>3346</v>
      </c>
      <c r="T338">
        <v>12</v>
      </c>
      <c r="U338">
        <v>1.5</v>
      </c>
      <c r="V338">
        <v>0</v>
      </c>
      <c r="W338">
        <v>0</v>
      </c>
      <c r="X338">
        <v>0</v>
      </c>
      <c r="Y338">
        <v>0</v>
      </c>
      <c r="Z338">
        <v>0</v>
      </c>
      <c r="AA338">
        <v>0</v>
      </c>
      <c r="AB338">
        <v>0</v>
      </c>
      <c r="AC338">
        <v>0</v>
      </c>
      <c r="AD338">
        <v>0</v>
      </c>
      <c r="AE338">
        <v>0</v>
      </c>
      <c r="AF338">
        <v>0</v>
      </c>
      <c r="AG338">
        <v>1</v>
      </c>
      <c r="AH338">
        <v>0</v>
      </c>
      <c r="AI338">
        <v>5</v>
      </c>
      <c r="AJ338">
        <v>1</v>
      </c>
      <c r="AK338">
        <v>3</v>
      </c>
      <c r="AL338">
        <v>2</v>
      </c>
      <c r="AM338">
        <v>0</v>
      </c>
      <c r="AN338">
        <v>0</v>
      </c>
    </row>
    <row r="339" spans="1:40" x14ac:dyDescent="0.25">
      <c r="A339" t="s">
        <v>3347</v>
      </c>
      <c r="B339" t="s">
        <v>3348</v>
      </c>
      <c r="F339" t="s">
        <v>3349</v>
      </c>
      <c r="G339" t="s">
        <v>3350</v>
      </c>
      <c r="H339">
        <v>2003</v>
      </c>
      <c r="I339">
        <v>9</v>
      </c>
      <c r="J339">
        <v>3</v>
      </c>
      <c r="N339">
        <v>189</v>
      </c>
      <c r="O339">
        <v>196</v>
      </c>
      <c r="Q339" t="s">
        <v>3351</v>
      </c>
      <c r="T339">
        <v>12</v>
      </c>
      <c r="U339">
        <v>0.71</v>
      </c>
      <c r="V339">
        <v>0</v>
      </c>
      <c r="W339">
        <v>0</v>
      </c>
      <c r="X339">
        <v>0</v>
      </c>
      <c r="Y339">
        <v>0</v>
      </c>
      <c r="Z339">
        <v>4</v>
      </c>
      <c r="AA339">
        <v>2</v>
      </c>
      <c r="AB339">
        <v>1</v>
      </c>
      <c r="AC339">
        <v>0</v>
      </c>
      <c r="AD339">
        <v>0</v>
      </c>
      <c r="AE339">
        <v>0</v>
      </c>
      <c r="AF339">
        <v>1</v>
      </c>
      <c r="AG339">
        <v>1</v>
      </c>
      <c r="AH339">
        <v>2</v>
      </c>
      <c r="AI339">
        <v>1</v>
      </c>
      <c r="AJ339">
        <v>0</v>
      </c>
      <c r="AK339">
        <v>0</v>
      </c>
      <c r="AL339">
        <v>0</v>
      </c>
      <c r="AM339">
        <v>0</v>
      </c>
      <c r="AN339">
        <v>0</v>
      </c>
    </row>
    <row r="340" spans="1:40" x14ac:dyDescent="0.25">
      <c r="A340" t="s">
        <v>3352</v>
      </c>
      <c r="B340" t="s">
        <v>3353</v>
      </c>
      <c r="F340" t="s">
        <v>311</v>
      </c>
      <c r="G340" t="s">
        <v>3354</v>
      </c>
      <c r="H340">
        <v>2017</v>
      </c>
      <c r="I340">
        <v>26</v>
      </c>
      <c r="J340">
        <v>9</v>
      </c>
      <c r="N340">
        <v>4446</v>
      </c>
      <c r="O340">
        <v>4456</v>
      </c>
      <c r="Q340" t="s">
        <v>3355</v>
      </c>
      <c r="T340">
        <v>11</v>
      </c>
      <c r="U340">
        <v>3.67</v>
      </c>
      <c r="V340">
        <v>0</v>
      </c>
      <c r="W340">
        <v>0</v>
      </c>
      <c r="X340">
        <v>0</v>
      </c>
      <c r="Y340">
        <v>0</v>
      </c>
      <c r="Z340">
        <v>0</v>
      </c>
      <c r="AA340">
        <v>0</v>
      </c>
      <c r="AB340">
        <v>0</v>
      </c>
      <c r="AC340">
        <v>0</v>
      </c>
      <c r="AD340">
        <v>0</v>
      </c>
      <c r="AE340">
        <v>0</v>
      </c>
      <c r="AF340">
        <v>0</v>
      </c>
      <c r="AG340">
        <v>0</v>
      </c>
      <c r="AH340">
        <v>0</v>
      </c>
      <c r="AI340">
        <v>0</v>
      </c>
      <c r="AJ340">
        <v>0</v>
      </c>
      <c r="AK340">
        <v>0</v>
      </c>
      <c r="AL340">
        <v>2</v>
      </c>
      <c r="AM340">
        <v>7</v>
      </c>
      <c r="AN340">
        <v>2</v>
      </c>
    </row>
    <row r="341" spans="1:40" x14ac:dyDescent="0.25">
      <c r="A341" t="s">
        <v>3356</v>
      </c>
      <c r="B341" t="s">
        <v>3357</v>
      </c>
      <c r="F341" t="s">
        <v>308</v>
      </c>
      <c r="G341" t="s">
        <v>2553</v>
      </c>
      <c r="H341">
        <v>2017</v>
      </c>
      <c r="I341">
        <v>65</v>
      </c>
      <c r="N341">
        <v>175</v>
      </c>
      <c r="O341">
        <v>187</v>
      </c>
      <c r="Q341" t="s">
        <v>3358</v>
      </c>
      <c r="T341">
        <v>11</v>
      </c>
      <c r="U341">
        <v>3.67</v>
      </c>
      <c r="V341">
        <v>0</v>
      </c>
      <c r="W341">
        <v>0</v>
      </c>
      <c r="X341">
        <v>0</v>
      </c>
      <c r="Y341">
        <v>0</v>
      </c>
      <c r="Z341">
        <v>0</v>
      </c>
      <c r="AA341">
        <v>0</v>
      </c>
      <c r="AB341">
        <v>0</v>
      </c>
      <c r="AC341">
        <v>0</v>
      </c>
      <c r="AD341">
        <v>0</v>
      </c>
      <c r="AE341">
        <v>0</v>
      </c>
      <c r="AF341">
        <v>0</v>
      </c>
      <c r="AG341">
        <v>0</v>
      </c>
      <c r="AH341">
        <v>0</v>
      </c>
      <c r="AI341">
        <v>0</v>
      </c>
      <c r="AJ341">
        <v>0</v>
      </c>
      <c r="AK341">
        <v>0</v>
      </c>
      <c r="AL341">
        <v>2</v>
      </c>
      <c r="AM341">
        <v>9</v>
      </c>
      <c r="AN341">
        <v>0</v>
      </c>
    </row>
    <row r="342" spans="1:40" x14ac:dyDescent="0.25">
      <c r="A342" t="s">
        <v>3359</v>
      </c>
      <c r="B342" t="s">
        <v>1253</v>
      </c>
      <c r="F342" t="s">
        <v>308</v>
      </c>
      <c r="G342" t="s">
        <v>3126</v>
      </c>
      <c r="H342">
        <v>2016</v>
      </c>
      <c r="I342">
        <v>56</v>
      </c>
      <c r="N342">
        <v>142</v>
      </c>
      <c r="O342">
        <v>158</v>
      </c>
      <c r="Q342" t="s">
        <v>3360</v>
      </c>
      <c r="T342">
        <v>11</v>
      </c>
      <c r="U342">
        <v>2.75</v>
      </c>
      <c r="V342">
        <v>0</v>
      </c>
      <c r="W342">
        <v>0</v>
      </c>
      <c r="X342">
        <v>0</v>
      </c>
      <c r="Y342">
        <v>0</v>
      </c>
      <c r="Z342">
        <v>0</v>
      </c>
      <c r="AA342">
        <v>0</v>
      </c>
      <c r="AB342">
        <v>0</v>
      </c>
      <c r="AC342">
        <v>0</v>
      </c>
      <c r="AD342">
        <v>0</v>
      </c>
      <c r="AE342">
        <v>0</v>
      </c>
      <c r="AF342">
        <v>0</v>
      </c>
      <c r="AG342">
        <v>0</v>
      </c>
      <c r="AH342">
        <v>0</v>
      </c>
      <c r="AI342">
        <v>0</v>
      </c>
      <c r="AJ342">
        <v>0</v>
      </c>
      <c r="AK342">
        <v>0</v>
      </c>
      <c r="AL342">
        <v>5</v>
      </c>
      <c r="AM342">
        <v>5</v>
      </c>
      <c r="AN342">
        <v>1</v>
      </c>
    </row>
    <row r="343" spans="1:40" x14ac:dyDescent="0.25">
      <c r="A343" t="s">
        <v>3361</v>
      </c>
      <c r="B343" t="s">
        <v>3362</v>
      </c>
      <c r="F343" t="s">
        <v>308</v>
      </c>
      <c r="G343" t="s">
        <v>3241</v>
      </c>
      <c r="H343">
        <v>2015</v>
      </c>
      <c r="I343">
        <v>48</v>
      </c>
      <c r="J343">
        <v>8</v>
      </c>
      <c r="N343">
        <v>2530</v>
      </c>
      <c r="O343">
        <v>2542</v>
      </c>
      <c r="Q343" t="s">
        <v>3363</v>
      </c>
      <c r="T343">
        <v>11</v>
      </c>
      <c r="U343">
        <v>2.2000000000000002</v>
      </c>
      <c r="V343">
        <v>0</v>
      </c>
      <c r="W343">
        <v>0</v>
      </c>
      <c r="X343">
        <v>0</v>
      </c>
      <c r="Y343">
        <v>0</v>
      </c>
      <c r="Z343">
        <v>0</v>
      </c>
      <c r="AA343">
        <v>0</v>
      </c>
      <c r="AB343">
        <v>0</v>
      </c>
      <c r="AC343">
        <v>0</v>
      </c>
      <c r="AD343">
        <v>0</v>
      </c>
      <c r="AE343">
        <v>0</v>
      </c>
      <c r="AF343">
        <v>0</v>
      </c>
      <c r="AG343">
        <v>0</v>
      </c>
      <c r="AH343">
        <v>0</v>
      </c>
      <c r="AI343">
        <v>0</v>
      </c>
      <c r="AJ343">
        <v>1</v>
      </c>
      <c r="AK343">
        <v>3</v>
      </c>
      <c r="AL343">
        <v>5</v>
      </c>
      <c r="AM343">
        <v>2</v>
      </c>
      <c r="AN343">
        <v>0</v>
      </c>
    </row>
    <row r="344" spans="1:40" x14ac:dyDescent="0.25">
      <c r="A344" t="s">
        <v>3364</v>
      </c>
      <c r="B344" t="s">
        <v>3365</v>
      </c>
      <c r="F344" t="s">
        <v>303</v>
      </c>
      <c r="G344" t="s">
        <v>3291</v>
      </c>
      <c r="H344">
        <v>2015</v>
      </c>
      <c r="I344">
        <v>113</v>
      </c>
      <c r="J344">
        <v>2</v>
      </c>
      <c r="N344">
        <v>92</v>
      </c>
      <c r="O344">
        <v>112</v>
      </c>
      <c r="Q344" t="s">
        <v>3366</v>
      </c>
      <c r="T344">
        <v>11</v>
      </c>
      <c r="U344">
        <v>2.2000000000000002</v>
      </c>
      <c r="V344">
        <v>0</v>
      </c>
      <c r="W344">
        <v>0</v>
      </c>
      <c r="X344">
        <v>0</v>
      </c>
      <c r="Y344">
        <v>0</v>
      </c>
      <c r="Z344">
        <v>0</v>
      </c>
      <c r="AA344">
        <v>0</v>
      </c>
      <c r="AB344">
        <v>0</v>
      </c>
      <c r="AC344">
        <v>0</v>
      </c>
      <c r="AD344">
        <v>0</v>
      </c>
      <c r="AE344">
        <v>0</v>
      </c>
      <c r="AF344">
        <v>0</v>
      </c>
      <c r="AG344">
        <v>0</v>
      </c>
      <c r="AH344">
        <v>0</v>
      </c>
      <c r="AI344">
        <v>0</v>
      </c>
      <c r="AJ344">
        <v>2</v>
      </c>
      <c r="AK344">
        <v>3</v>
      </c>
      <c r="AL344">
        <v>3</v>
      </c>
      <c r="AM344">
        <v>3</v>
      </c>
      <c r="AN344">
        <v>0</v>
      </c>
    </row>
    <row r="345" spans="1:40" x14ac:dyDescent="0.25">
      <c r="A345" t="s">
        <v>3367</v>
      </c>
      <c r="B345" t="s">
        <v>3368</v>
      </c>
      <c r="F345" t="s">
        <v>311</v>
      </c>
      <c r="G345" t="s">
        <v>2831</v>
      </c>
      <c r="H345">
        <v>2014</v>
      </c>
      <c r="I345">
        <v>23</v>
      </c>
      <c r="J345">
        <v>12</v>
      </c>
      <c r="N345">
        <v>5440</v>
      </c>
      <c r="O345">
        <v>5454</v>
      </c>
      <c r="Q345" t="s">
        <v>3369</v>
      </c>
      <c r="T345">
        <v>11</v>
      </c>
      <c r="U345">
        <v>1.83</v>
      </c>
      <c r="V345">
        <v>0</v>
      </c>
      <c r="W345">
        <v>0</v>
      </c>
      <c r="X345">
        <v>0</v>
      </c>
      <c r="Y345">
        <v>0</v>
      </c>
      <c r="Z345">
        <v>0</v>
      </c>
      <c r="AA345">
        <v>0</v>
      </c>
      <c r="AB345">
        <v>0</v>
      </c>
      <c r="AC345">
        <v>0</v>
      </c>
      <c r="AD345">
        <v>0</v>
      </c>
      <c r="AE345">
        <v>0</v>
      </c>
      <c r="AF345">
        <v>0</v>
      </c>
      <c r="AG345">
        <v>0</v>
      </c>
      <c r="AH345">
        <v>0</v>
      </c>
      <c r="AI345">
        <v>0</v>
      </c>
      <c r="AJ345">
        <v>1</v>
      </c>
      <c r="AK345">
        <v>3</v>
      </c>
      <c r="AL345">
        <v>4</v>
      </c>
      <c r="AM345">
        <v>3</v>
      </c>
      <c r="AN345">
        <v>0</v>
      </c>
    </row>
    <row r="346" spans="1:40" x14ac:dyDescent="0.25">
      <c r="A346" t="s">
        <v>3370</v>
      </c>
      <c r="B346" t="s">
        <v>3371</v>
      </c>
      <c r="F346" t="s">
        <v>300</v>
      </c>
      <c r="G346" t="s">
        <v>3372</v>
      </c>
      <c r="H346">
        <v>2012</v>
      </c>
      <c r="I346">
        <v>34</v>
      </c>
      <c r="J346">
        <v>10</v>
      </c>
      <c r="N346">
        <v>2005</v>
      </c>
      <c r="O346">
        <v>2018</v>
      </c>
      <c r="Q346" t="s">
        <v>3373</v>
      </c>
      <c r="T346">
        <v>11</v>
      </c>
      <c r="U346">
        <v>1.38</v>
      </c>
      <c r="V346">
        <v>0</v>
      </c>
      <c r="W346">
        <v>0</v>
      </c>
      <c r="X346">
        <v>0</v>
      </c>
      <c r="Y346">
        <v>0</v>
      </c>
      <c r="Z346">
        <v>0</v>
      </c>
      <c r="AA346">
        <v>0</v>
      </c>
      <c r="AB346">
        <v>0</v>
      </c>
      <c r="AC346">
        <v>0</v>
      </c>
      <c r="AD346">
        <v>0</v>
      </c>
      <c r="AE346">
        <v>0</v>
      </c>
      <c r="AF346">
        <v>0</v>
      </c>
      <c r="AG346">
        <v>0</v>
      </c>
      <c r="AH346">
        <v>2</v>
      </c>
      <c r="AI346">
        <v>3</v>
      </c>
      <c r="AJ346">
        <v>2</v>
      </c>
      <c r="AK346">
        <v>2</v>
      </c>
      <c r="AL346">
        <v>1</v>
      </c>
      <c r="AM346">
        <v>1</v>
      </c>
      <c r="AN346">
        <v>0</v>
      </c>
    </row>
    <row r="347" spans="1:40" x14ac:dyDescent="0.25">
      <c r="A347" t="s">
        <v>3374</v>
      </c>
      <c r="B347" t="s">
        <v>3034</v>
      </c>
      <c r="F347" t="s">
        <v>339</v>
      </c>
      <c r="G347" t="s">
        <v>2487</v>
      </c>
      <c r="H347">
        <v>2011</v>
      </c>
      <c r="I347">
        <v>41</v>
      </c>
      <c r="J347" t="s">
        <v>2439</v>
      </c>
      <c r="N347">
        <v>122</v>
      </c>
      <c r="O347">
        <v>146</v>
      </c>
      <c r="Q347" t="s">
        <v>3375</v>
      </c>
      <c r="T347">
        <v>11</v>
      </c>
      <c r="U347">
        <v>1.22</v>
      </c>
      <c r="V347">
        <v>0</v>
      </c>
      <c r="W347">
        <v>0</v>
      </c>
      <c r="X347">
        <v>0</v>
      </c>
      <c r="Y347">
        <v>0</v>
      </c>
      <c r="Z347">
        <v>0</v>
      </c>
      <c r="AA347">
        <v>0</v>
      </c>
      <c r="AB347">
        <v>0</v>
      </c>
      <c r="AC347">
        <v>0</v>
      </c>
      <c r="AD347">
        <v>0</v>
      </c>
      <c r="AE347">
        <v>0</v>
      </c>
      <c r="AF347">
        <v>0</v>
      </c>
      <c r="AG347">
        <v>0</v>
      </c>
      <c r="AH347">
        <v>2</v>
      </c>
      <c r="AI347">
        <v>3</v>
      </c>
      <c r="AJ347">
        <v>1</v>
      </c>
      <c r="AK347">
        <v>3</v>
      </c>
      <c r="AL347">
        <v>2</v>
      </c>
      <c r="AM347">
        <v>0</v>
      </c>
      <c r="AN347">
        <v>0</v>
      </c>
    </row>
    <row r="348" spans="1:40" x14ac:dyDescent="0.25">
      <c r="A348" t="s">
        <v>3376</v>
      </c>
      <c r="B348" t="s">
        <v>3377</v>
      </c>
      <c r="F348" t="s">
        <v>303</v>
      </c>
      <c r="G348" t="s">
        <v>3378</v>
      </c>
      <c r="H348">
        <v>2011</v>
      </c>
      <c r="I348">
        <v>91</v>
      </c>
      <c r="J348">
        <v>3</v>
      </c>
      <c r="N348">
        <v>280</v>
      </c>
      <c r="O348">
        <v>302</v>
      </c>
      <c r="Q348" t="s">
        <v>3379</v>
      </c>
      <c r="T348">
        <v>11</v>
      </c>
      <c r="U348">
        <v>1.22</v>
      </c>
      <c r="V348">
        <v>0</v>
      </c>
      <c r="W348">
        <v>0</v>
      </c>
      <c r="X348">
        <v>0</v>
      </c>
      <c r="Y348">
        <v>0</v>
      </c>
      <c r="Z348">
        <v>0</v>
      </c>
      <c r="AA348">
        <v>0</v>
      </c>
      <c r="AB348">
        <v>0</v>
      </c>
      <c r="AC348">
        <v>0</v>
      </c>
      <c r="AD348">
        <v>0</v>
      </c>
      <c r="AE348">
        <v>0</v>
      </c>
      <c r="AF348">
        <v>1</v>
      </c>
      <c r="AG348">
        <v>0</v>
      </c>
      <c r="AH348">
        <v>2</v>
      </c>
      <c r="AI348">
        <v>2</v>
      </c>
      <c r="AJ348">
        <v>4</v>
      </c>
      <c r="AK348">
        <v>2</v>
      </c>
      <c r="AL348">
        <v>0</v>
      </c>
      <c r="AM348">
        <v>0</v>
      </c>
      <c r="AN348">
        <v>0</v>
      </c>
    </row>
    <row r="349" spans="1:40" x14ac:dyDescent="0.25">
      <c r="A349" t="s">
        <v>3380</v>
      </c>
      <c r="B349" t="s">
        <v>3381</v>
      </c>
      <c r="F349" t="s">
        <v>315</v>
      </c>
      <c r="G349" t="s">
        <v>2539</v>
      </c>
      <c r="H349">
        <v>2010</v>
      </c>
      <c r="I349">
        <v>21</v>
      </c>
      <c r="J349">
        <v>4</v>
      </c>
      <c r="N349">
        <v>555</v>
      </c>
      <c r="O349">
        <v>576</v>
      </c>
      <c r="Q349" t="s">
        <v>3382</v>
      </c>
      <c r="T349">
        <v>11</v>
      </c>
      <c r="U349">
        <v>1.1000000000000001</v>
      </c>
      <c r="V349">
        <v>0</v>
      </c>
      <c r="W349">
        <v>0</v>
      </c>
      <c r="X349">
        <v>0</v>
      </c>
      <c r="Y349">
        <v>0</v>
      </c>
      <c r="Z349">
        <v>0</v>
      </c>
      <c r="AA349">
        <v>0</v>
      </c>
      <c r="AB349">
        <v>0</v>
      </c>
      <c r="AC349">
        <v>0</v>
      </c>
      <c r="AD349">
        <v>0</v>
      </c>
      <c r="AE349">
        <v>0</v>
      </c>
      <c r="AF349">
        <v>1</v>
      </c>
      <c r="AG349">
        <v>1</v>
      </c>
      <c r="AH349">
        <v>1</v>
      </c>
      <c r="AI349">
        <v>3</v>
      </c>
      <c r="AJ349">
        <v>0</v>
      </c>
      <c r="AK349">
        <v>2</v>
      </c>
      <c r="AL349">
        <v>2</v>
      </c>
      <c r="AM349">
        <v>1</v>
      </c>
      <c r="AN349">
        <v>0</v>
      </c>
    </row>
    <row r="350" spans="1:40" x14ac:dyDescent="0.25">
      <c r="A350" t="s">
        <v>1506</v>
      </c>
      <c r="B350" t="s">
        <v>1508</v>
      </c>
      <c r="F350" t="s">
        <v>303</v>
      </c>
      <c r="G350" t="s">
        <v>3272</v>
      </c>
      <c r="H350">
        <v>2009</v>
      </c>
      <c r="I350">
        <v>83</v>
      </c>
      <c r="J350">
        <v>2</v>
      </c>
      <c r="N350">
        <v>164</v>
      </c>
      <c r="O350">
        <v>177</v>
      </c>
      <c r="Q350" t="s">
        <v>3383</v>
      </c>
      <c r="T350">
        <v>11</v>
      </c>
      <c r="U350">
        <v>1</v>
      </c>
      <c r="V350">
        <v>0</v>
      </c>
      <c r="W350">
        <v>0</v>
      </c>
      <c r="X350">
        <v>0</v>
      </c>
      <c r="Y350">
        <v>0</v>
      </c>
      <c r="Z350">
        <v>0</v>
      </c>
      <c r="AA350">
        <v>0</v>
      </c>
      <c r="AB350">
        <v>0</v>
      </c>
      <c r="AC350">
        <v>0</v>
      </c>
      <c r="AD350">
        <v>0</v>
      </c>
      <c r="AE350">
        <v>0</v>
      </c>
      <c r="AF350">
        <v>2</v>
      </c>
      <c r="AG350">
        <v>1</v>
      </c>
      <c r="AH350">
        <v>3</v>
      </c>
      <c r="AI350">
        <v>1</v>
      </c>
      <c r="AJ350">
        <v>1</v>
      </c>
      <c r="AK350">
        <v>1</v>
      </c>
      <c r="AL350">
        <v>1</v>
      </c>
      <c r="AM350">
        <v>1</v>
      </c>
      <c r="AN350">
        <v>0</v>
      </c>
    </row>
    <row r="351" spans="1:40" x14ac:dyDescent="0.25">
      <c r="A351" t="s">
        <v>1329</v>
      </c>
      <c r="B351" t="s">
        <v>1331</v>
      </c>
      <c r="F351" t="s">
        <v>311</v>
      </c>
      <c r="G351" t="s">
        <v>3384</v>
      </c>
      <c r="H351">
        <v>2008</v>
      </c>
      <c r="I351">
        <v>17</v>
      </c>
      <c r="J351">
        <v>2</v>
      </c>
      <c r="N351">
        <v>190</v>
      </c>
      <c r="O351">
        <v>203</v>
      </c>
      <c r="Q351" t="s">
        <v>3385</v>
      </c>
      <c r="T351">
        <v>11</v>
      </c>
      <c r="U351">
        <v>0.92</v>
      </c>
      <c r="V351">
        <v>0</v>
      </c>
      <c r="W351">
        <v>0</v>
      </c>
      <c r="X351">
        <v>0</v>
      </c>
      <c r="Y351">
        <v>0</v>
      </c>
      <c r="Z351">
        <v>0</v>
      </c>
      <c r="AA351">
        <v>0</v>
      </c>
      <c r="AB351">
        <v>0</v>
      </c>
      <c r="AC351">
        <v>1</v>
      </c>
      <c r="AD351">
        <v>0</v>
      </c>
      <c r="AE351">
        <v>0</v>
      </c>
      <c r="AF351">
        <v>0</v>
      </c>
      <c r="AG351">
        <v>4</v>
      </c>
      <c r="AH351">
        <v>2</v>
      </c>
      <c r="AI351">
        <v>1</v>
      </c>
      <c r="AJ351">
        <v>0</v>
      </c>
      <c r="AK351">
        <v>1</v>
      </c>
      <c r="AL351">
        <v>1</v>
      </c>
      <c r="AM351">
        <v>1</v>
      </c>
      <c r="AN351">
        <v>0</v>
      </c>
    </row>
    <row r="352" spans="1:40" x14ac:dyDescent="0.25">
      <c r="A352" t="s">
        <v>3386</v>
      </c>
      <c r="B352" t="s">
        <v>3387</v>
      </c>
      <c r="F352" t="s">
        <v>303</v>
      </c>
      <c r="G352" t="s">
        <v>3388</v>
      </c>
      <c r="H352">
        <v>2007</v>
      </c>
      <c r="I352">
        <v>75</v>
      </c>
      <c r="J352">
        <v>3</v>
      </c>
      <c r="N352">
        <v>351</v>
      </c>
      <c r="O352">
        <v>369</v>
      </c>
      <c r="Q352" t="s">
        <v>3389</v>
      </c>
      <c r="T352">
        <v>11</v>
      </c>
      <c r="U352">
        <v>0.85</v>
      </c>
      <c r="V352">
        <v>0</v>
      </c>
      <c r="W352">
        <v>0</v>
      </c>
      <c r="X352">
        <v>0</v>
      </c>
      <c r="Y352">
        <v>0</v>
      </c>
      <c r="Z352">
        <v>0</v>
      </c>
      <c r="AA352">
        <v>0</v>
      </c>
      <c r="AB352">
        <v>0</v>
      </c>
      <c r="AC352">
        <v>0</v>
      </c>
      <c r="AD352">
        <v>1</v>
      </c>
      <c r="AE352">
        <v>4</v>
      </c>
      <c r="AF352">
        <v>1</v>
      </c>
      <c r="AG352">
        <v>0</v>
      </c>
      <c r="AH352">
        <v>0</v>
      </c>
      <c r="AI352">
        <v>0</v>
      </c>
      <c r="AJ352">
        <v>1</v>
      </c>
      <c r="AK352">
        <v>2</v>
      </c>
      <c r="AL352">
        <v>2</v>
      </c>
      <c r="AM352">
        <v>0</v>
      </c>
      <c r="AN352">
        <v>0</v>
      </c>
    </row>
    <row r="353" spans="1:40" x14ac:dyDescent="0.25">
      <c r="A353" t="s">
        <v>3390</v>
      </c>
      <c r="B353" t="s">
        <v>3391</v>
      </c>
      <c r="F353" t="s">
        <v>311</v>
      </c>
      <c r="G353" t="s">
        <v>2801</v>
      </c>
      <c r="H353">
        <v>2006</v>
      </c>
      <c r="I353">
        <v>15</v>
      </c>
      <c r="J353">
        <v>8</v>
      </c>
      <c r="N353">
        <v>2376</v>
      </c>
      <c r="O353">
        <v>2387</v>
      </c>
      <c r="Q353" t="s">
        <v>3392</v>
      </c>
      <c r="R353" t="s">
        <v>3393</v>
      </c>
      <c r="S353" t="s">
        <v>3394</v>
      </c>
      <c r="T353">
        <v>11</v>
      </c>
      <c r="U353">
        <v>0.79</v>
      </c>
      <c r="V353">
        <v>0</v>
      </c>
      <c r="W353">
        <v>0</v>
      </c>
      <c r="X353">
        <v>0</v>
      </c>
      <c r="Y353">
        <v>0</v>
      </c>
      <c r="Z353">
        <v>0</v>
      </c>
      <c r="AA353">
        <v>0</v>
      </c>
      <c r="AB353">
        <v>0</v>
      </c>
      <c r="AC353">
        <v>4</v>
      </c>
      <c r="AD353">
        <v>3</v>
      </c>
      <c r="AE353">
        <v>0</v>
      </c>
      <c r="AF353">
        <v>1</v>
      </c>
      <c r="AG353">
        <v>0</v>
      </c>
      <c r="AH353">
        <v>2</v>
      </c>
      <c r="AI353">
        <v>0</v>
      </c>
      <c r="AJ353">
        <v>0</v>
      </c>
      <c r="AK353">
        <v>0</v>
      </c>
      <c r="AL353">
        <v>1</v>
      </c>
      <c r="AM353">
        <v>0</v>
      </c>
      <c r="AN353">
        <v>0</v>
      </c>
    </row>
    <row r="354" spans="1:40" x14ac:dyDescent="0.25">
      <c r="A354" t="s">
        <v>3395</v>
      </c>
      <c r="B354" t="s">
        <v>3396</v>
      </c>
      <c r="F354" t="s">
        <v>303</v>
      </c>
      <c r="G354" t="s">
        <v>3397</v>
      </c>
      <c r="H354">
        <v>2003</v>
      </c>
      <c r="I354">
        <v>54</v>
      </c>
      <c r="J354" t="s">
        <v>2439</v>
      </c>
      <c r="N354">
        <v>105</v>
      </c>
      <c r="O354">
        <v>115</v>
      </c>
      <c r="Q354" t="s">
        <v>3398</v>
      </c>
      <c r="T354">
        <v>11</v>
      </c>
      <c r="U354">
        <v>0.65</v>
      </c>
      <c r="V354">
        <v>0</v>
      </c>
      <c r="W354">
        <v>0</v>
      </c>
      <c r="X354">
        <v>0</v>
      </c>
      <c r="Y354">
        <v>1</v>
      </c>
      <c r="Z354">
        <v>1</v>
      </c>
      <c r="AA354">
        <v>0</v>
      </c>
      <c r="AB354">
        <v>0</v>
      </c>
      <c r="AC354">
        <v>1</v>
      </c>
      <c r="AD354">
        <v>1</v>
      </c>
      <c r="AE354">
        <v>3</v>
      </c>
      <c r="AF354">
        <v>0</v>
      </c>
      <c r="AG354">
        <v>0</v>
      </c>
      <c r="AH354">
        <v>0</v>
      </c>
      <c r="AI354">
        <v>0</v>
      </c>
      <c r="AJ354">
        <v>1</v>
      </c>
      <c r="AK354">
        <v>1</v>
      </c>
      <c r="AL354">
        <v>1</v>
      </c>
      <c r="AM354">
        <v>1</v>
      </c>
      <c r="AN354">
        <v>0</v>
      </c>
    </row>
    <row r="355" spans="1:40" x14ac:dyDescent="0.25">
      <c r="A355" t="s">
        <v>3399</v>
      </c>
      <c r="B355" t="s">
        <v>3400</v>
      </c>
      <c r="F355" t="s">
        <v>308</v>
      </c>
      <c r="G355" t="s">
        <v>3280</v>
      </c>
      <c r="H355">
        <v>2017</v>
      </c>
      <c r="I355">
        <v>70</v>
      </c>
      <c r="N355">
        <v>25</v>
      </c>
      <c r="O355">
        <v>43</v>
      </c>
      <c r="Q355" t="s">
        <v>3401</v>
      </c>
      <c r="T355">
        <v>10</v>
      </c>
      <c r="U355">
        <v>3.33</v>
      </c>
      <c r="V355">
        <v>0</v>
      </c>
      <c r="W355">
        <v>0</v>
      </c>
      <c r="X355">
        <v>0</v>
      </c>
      <c r="Y355">
        <v>0</v>
      </c>
      <c r="Z355">
        <v>0</v>
      </c>
      <c r="AA355">
        <v>0</v>
      </c>
      <c r="AB355">
        <v>0</v>
      </c>
      <c r="AC355">
        <v>0</v>
      </c>
      <c r="AD355">
        <v>0</v>
      </c>
      <c r="AE355">
        <v>0</v>
      </c>
      <c r="AF355">
        <v>0</v>
      </c>
      <c r="AG355">
        <v>0</v>
      </c>
      <c r="AH355">
        <v>0</v>
      </c>
      <c r="AI355">
        <v>0</v>
      </c>
      <c r="AJ355">
        <v>0</v>
      </c>
      <c r="AK355">
        <v>0</v>
      </c>
      <c r="AL355">
        <v>0</v>
      </c>
      <c r="AM355">
        <v>8</v>
      </c>
      <c r="AN355">
        <v>2</v>
      </c>
    </row>
    <row r="356" spans="1:40" x14ac:dyDescent="0.25">
      <c r="A356" t="s">
        <v>1090</v>
      </c>
      <c r="B356" t="s">
        <v>1092</v>
      </c>
      <c r="F356" t="s">
        <v>298</v>
      </c>
      <c r="G356" t="s">
        <v>3126</v>
      </c>
      <c r="H356">
        <v>2016</v>
      </c>
      <c r="I356">
        <v>149</v>
      </c>
      <c r="N356">
        <v>32</v>
      </c>
      <c r="O356">
        <v>50</v>
      </c>
      <c r="Q356" t="s">
        <v>3402</v>
      </c>
      <c r="T356">
        <v>10</v>
      </c>
      <c r="U356">
        <v>2.5</v>
      </c>
      <c r="V356">
        <v>0</v>
      </c>
      <c r="W356">
        <v>0</v>
      </c>
      <c r="X356">
        <v>0</v>
      </c>
      <c r="Y356">
        <v>0</v>
      </c>
      <c r="Z356">
        <v>0</v>
      </c>
      <c r="AA356">
        <v>0</v>
      </c>
      <c r="AB356">
        <v>0</v>
      </c>
      <c r="AC356">
        <v>0</v>
      </c>
      <c r="AD356">
        <v>0</v>
      </c>
      <c r="AE356">
        <v>0</v>
      </c>
      <c r="AF356">
        <v>0</v>
      </c>
      <c r="AG356">
        <v>0</v>
      </c>
      <c r="AH356">
        <v>0</v>
      </c>
      <c r="AI356">
        <v>0</v>
      </c>
      <c r="AJ356">
        <v>0</v>
      </c>
      <c r="AK356">
        <v>1</v>
      </c>
      <c r="AL356">
        <v>5</v>
      </c>
      <c r="AM356">
        <v>4</v>
      </c>
      <c r="AN356">
        <v>0</v>
      </c>
    </row>
    <row r="357" spans="1:40" x14ac:dyDescent="0.25">
      <c r="A357" t="s">
        <v>3403</v>
      </c>
      <c r="B357" t="s">
        <v>3404</v>
      </c>
      <c r="F357" t="s">
        <v>308</v>
      </c>
      <c r="G357" t="s">
        <v>2528</v>
      </c>
      <c r="H357">
        <v>2016</v>
      </c>
      <c r="I357">
        <v>52</v>
      </c>
      <c r="N357">
        <v>306</v>
      </c>
      <c r="O357">
        <v>316</v>
      </c>
      <c r="Q357" t="s">
        <v>3405</v>
      </c>
      <c r="T357">
        <v>10</v>
      </c>
      <c r="U357">
        <v>2.5</v>
      </c>
      <c r="V357">
        <v>0</v>
      </c>
      <c r="W357">
        <v>0</v>
      </c>
      <c r="X357">
        <v>0</v>
      </c>
      <c r="Y357">
        <v>0</v>
      </c>
      <c r="Z357">
        <v>0</v>
      </c>
      <c r="AA357">
        <v>0</v>
      </c>
      <c r="AB357">
        <v>0</v>
      </c>
      <c r="AC357">
        <v>0</v>
      </c>
      <c r="AD357">
        <v>0</v>
      </c>
      <c r="AE357">
        <v>0</v>
      </c>
      <c r="AF357">
        <v>0</v>
      </c>
      <c r="AG357">
        <v>0</v>
      </c>
      <c r="AH357">
        <v>0</v>
      </c>
      <c r="AI357">
        <v>0</v>
      </c>
      <c r="AJ357">
        <v>0</v>
      </c>
      <c r="AK357">
        <v>1</v>
      </c>
      <c r="AL357">
        <v>9</v>
      </c>
      <c r="AM357">
        <v>0</v>
      </c>
      <c r="AN357">
        <v>0</v>
      </c>
    </row>
    <row r="358" spans="1:40" x14ac:dyDescent="0.25">
      <c r="A358" t="s">
        <v>3406</v>
      </c>
      <c r="B358" t="s">
        <v>3407</v>
      </c>
      <c r="F358" t="s">
        <v>303</v>
      </c>
      <c r="G358" t="s">
        <v>3408</v>
      </c>
      <c r="H358">
        <v>2016</v>
      </c>
      <c r="I358">
        <v>117</v>
      </c>
      <c r="J358">
        <v>1</v>
      </c>
      <c r="N358">
        <v>93</v>
      </c>
      <c r="O358">
        <v>110</v>
      </c>
      <c r="Q358" t="s">
        <v>3409</v>
      </c>
      <c r="T358">
        <v>10</v>
      </c>
      <c r="U358">
        <v>2.5</v>
      </c>
      <c r="V358">
        <v>0</v>
      </c>
      <c r="W358">
        <v>0</v>
      </c>
      <c r="X358">
        <v>0</v>
      </c>
      <c r="Y358">
        <v>0</v>
      </c>
      <c r="Z358">
        <v>0</v>
      </c>
      <c r="AA358">
        <v>0</v>
      </c>
      <c r="AB358">
        <v>0</v>
      </c>
      <c r="AC358">
        <v>0</v>
      </c>
      <c r="AD358">
        <v>0</v>
      </c>
      <c r="AE358">
        <v>0</v>
      </c>
      <c r="AF358">
        <v>0</v>
      </c>
      <c r="AG358">
        <v>0</v>
      </c>
      <c r="AH358">
        <v>0</v>
      </c>
      <c r="AI358">
        <v>0</v>
      </c>
      <c r="AJ358">
        <v>0</v>
      </c>
      <c r="AK358">
        <v>2</v>
      </c>
      <c r="AL358">
        <v>3</v>
      </c>
      <c r="AM358">
        <v>5</v>
      </c>
      <c r="AN358">
        <v>0</v>
      </c>
    </row>
    <row r="359" spans="1:40" x14ac:dyDescent="0.25">
      <c r="A359" t="s">
        <v>1752</v>
      </c>
      <c r="B359" t="s">
        <v>1754</v>
      </c>
      <c r="F359" t="s">
        <v>298</v>
      </c>
      <c r="G359" t="s">
        <v>3408</v>
      </c>
      <c r="H359">
        <v>2016</v>
      </c>
      <c r="I359">
        <v>144</v>
      </c>
      <c r="N359">
        <v>177</v>
      </c>
      <c r="O359">
        <v>187</v>
      </c>
      <c r="Q359" t="s">
        <v>3410</v>
      </c>
      <c r="T359">
        <v>10</v>
      </c>
      <c r="U359">
        <v>2.5</v>
      </c>
      <c r="V359">
        <v>0</v>
      </c>
      <c r="W359">
        <v>0</v>
      </c>
      <c r="X359">
        <v>0</v>
      </c>
      <c r="Y359">
        <v>0</v>
      </c>
      <c r="Z359">
        <v>0</v>
      </c>
      <c r="AA359">
        <v>0</v>
      </c>
      <c r="AB359">
        <v>0</v>
      </c>
      <c r="AC359">
        <v>0</v>
      </c>
      <c r="AD359">
        <v>0</v>
      </c>
      <c r="AE359">
        <v>0</v>
      </c>
      <c r="AF359">
        <v>0</v>
      </c>
      <c r="AG359">
        <v>0</v>
      </c>
      <c r="AH359">
        <v>0</v>
      </c>
      <c r="AI359">
        <v>0</v>
      </c>
      <c r="AJ359">
        <v>0</v>
      </c>
      <c r="AK359">
        <v>0</v>
      </c>
      <c r="AL359">
        <v>3</v>
      </c>
      <c r="AM359">
        <v>6</v>
      </c>
      <c r="AN359">
        <v>1</v>
      </c>
    </row>
    <row r="360" spans="1:40" x14ac:dyDescent="0.25">
      <c r="A360" t="s">
        <v>3411</v>
      </c>
      <c r="B360" t="s">
        <v>3412</v>
      </c>
      <c r="F360" t="s">
        <v>313</v>
      </c>
      <c r="G360" t="s">
        <v>2928</v>
      </c>
      <c r="H360">
        <v>2015</v>
      </c>
      <c r="I360">
        <v>42</v>
      </c>
      <c r="J360">
        <v>9</v>
      </c>
      <c r="N360">
        <v>4167</v>
      </c>
      <c r="O360">
        <v>4176</v>
      </c>
      <c r="Q360" t="s">
        <v>3413</v>
      </c>
      <c r="T360">
        <v>10</v>
      </c>
      <c r="U360">
        <v>2</v>
      </c>
      <c r="V360">
        <v>0</v>
      </c>
      <c r="W360">
        <v>0</v>
      </c>
      <c r="X360">
        <v>0</v>
      </c>
      <c r="Y360">
        <v>0</v>
      </c>
      <c r="Z360">
        <v>0</v>
      </c>
      <c r="AA360">
        <v>0</v>
      </c>
      <c r="AB360">
        <v>0</v>
      </c>
      <c r="AC360">
        <v>0</v>
      </c>
      <c r="AD360">
        <v>0</v>
      </c>
      <c r="AE360">
        <v>0</v>
      </c>
      <c r="AF360">
        <v>0</v>
      </c>
      <c r="AG360">
        <v>0</v>
      </c>
      <c r="AH360">
        <v>0</v>
      </c>
      <c r="AI360">
        <v>0</v>
      </c>
      <c r="AJ360">
        <v>2</v>
      </c>
      <c r="AK360">
        <v>4</v>
      </c>
      <c r="AL360">
        <v>2</v>
      </c>
      <c r="AM360">
        <v>2</v>
      </c>
      <c r="AN360">
        <v>0</v>
      </c>
    </row>
    <row r="361" spans="1:40" x14ac:dyDescent="0.25">
      <c r="A361" t="s">
        <v>3414</v>
      </c>
      <c r="B361" t="s">
        <v>3415</v>
      </c>
      <c r="F361" t="s">
        <v>305</v>
      </c>
      <c r="G361" t="s">
        <v>3416</v>
      </c>
      <c r="H361">
        <v>2015</v>
      </c>
      <c r="I361">
        <v>55</v>
      </c>
      <c r="N361">
        <v>51</v>
      </c>
      <c r="O361">
        <v>57</v>
      </c>
      <c r="Q361" t="s">
        <v>3417</v>
      </c>
      <c r="T361">
        <v>10</v>
      </c>
      <c r="U361">
        <v>2</v>
      </c>
      <c r="V361">
        <v>0</v>
      </c>
      <c r="W361">
        <v>0</v>
      </c>
      <c r="X361">
        <v>0</v>
      </c>
      <c r="Y361">
        <v>0</v>
      </c>
      <c r="Z361">
        <v>0</v>
      </c>
      <c r="AA361">
        <v>0</v>
      </c>
      <c r="AB361">
        <v>0</v>
      </c>
      <c r="AC361">
        <v>0</v>
      </c>
      <c r="AD361">
        <v>0</v>
      </c>
      <c r="AE361">
        <v>0</v>
      </c>
      <c r="AF361">
        <v>0</v>
      </c>
      <c r="AG361">
        <v>0</v>
      </c>
      <c r="AH361">
        <v>0</v>
      </c>
      <c r="AI361">
        <v>0</v>
      </c>
      <c r="AJ361">
        <v>0</v>
      </c>
      <c r="AK361">
        <v>3</v>
      </c>
      <c r="AL361">
        <v>4</v>
      </c>
      <c r="AM361">
        <v>3</v>
      </c>
      <c r="AN361">
        <v>0</v>
      </c>
    </row>
    <row r="362" spans="1:40" x14ac:dyDescent="0.25">
      <c r="A362" t="s">
        <v>1059</v>
      </c>
      <c r="B362" t="s">
        <v>1061</v>
      </c>
      <c r="F362" t="s">
        <v>298</v>
      </c>
      <c r="G362" t="s">
        <v>2750</v>
      </c>
      <c r="H362">
        <v>2014</v>
      </c>
      <c r="I362">
        <v>128</v>
      </c>
      <c r="N362">
        <v>65</v>
      </c>
      <c r="O362">
        <v>83</v>
      </c>
      <c r="Q362" t="s">
        <v>3418</v>
      </c>
      <c r="T362">
        <v>10</v>
      </c>
      <c r="U362">
        <v>1.67</v>
      </c>
      <c r="V362">
        <v>0</v>
      </c>
      <c r="W362">
        <v>0</v>
      </c>
      <c r="X362">
        <v>0</v>
      </c>
      <c r="Y362">
        <v>0</v>
      </c>
      <c r="Z362">
        <v>0</v>
      </c>
      <c r="AA362">
        <v>0</v>
      </c>
      <c r="AB362">
        <v>0</v>
      </c>
      <c r="AC362">
        <v>0</v>
      </c>
      <c r="AD362">
        <v>0</v>
      </c>
      <c r="AE362">
        <v>0</v>
      </c>
      <c r="AF362">
        <v>0</v>
      </c>
      <c r="AG362">
        <v>0</v>
      </c>
      <c r="AH362">
        <v>0</v>
      </c>
      <c r="AI362">
        <v>0</v>
      </c>
      <c r="AJ362">
        <v>2</v>
      </c>
      <c r="AK362">
        <v>5</v>
      </c>
      <c r="AL362">
        <v>1</v>
      </c>
      <c r="AM362">
        <v>2</v>
      </c>
      <c r="AN362">
        <v>0</v>
      </c>
    </row>
    <row r="363" spans="1:40" x14ac:dyDescent="0.25">
      <c r="A363" t="s">
        <v>3419</v>
      </c>
      <c r="B363" t="s">
        <v>3420</v>
      </c>
      <c r="F363" t="s">
        <v>306</v>
      </c>
      <c r="G363" t="s">
        <v>3421</v>
      </c>
      <c r="H363">
        <v>2014</v>
      </c>
      <c r="I363">
        <v>133</v>
      </c>
      <c r="N363">
        <v>328</v>
      </c>
      <c r="O363">
        <v>341</v>
      </c>
      <c r="Q363" t="s">
        <v>3422</v>
      </c>
      <c r="T363">
        <v>10</v>
      </c>
      <c r="U363">
        <v>1.67</v>
      </c>
      <c r="V363">
        <v>0</v>
      </c>
      <c r="W363">
        <v>0</v>
      </c>
      <c r="X363">
        <v>0</v>
      </c>
      <c r="Y363">
        <v>0</v>
      </c>
      <c r="Z363">
        <v>0</v>
      </c>
      <c r="AA363">
        <v>0</v>
      </c>
      <c r="AB363">
        <v>0</v>
      </c>
      <c r="AC363">
        <v>0</v>
      </c>
      <c r="AD363">
        <v>0</v>
      </c>
      <c r="AE363">
        <v>0</v>
      </c>
      <c r="AF363">
        <v>0</v>
      </c>
      <c r="AG363">
        <v>0</v>
      </c>
      <c r="AH363">
        <v>0</v>
      </c>
      <c r="AI363">
        <v>0</v>
      </c>
      <c r="AJ363">
        <v>4</v>
      </c>
      <c r="AK363">
        <v>3</v>
      </c>
      <c r="AL363">
        <v>2</v>
      </c>
      <c r="AM363">
        <v>1</v>
      </c>
      <c r="AN363">
        <v>0</v>
      </c>
    </row>
    <row r="364" spans="1:40" x14ac:dyDescent="0.25">
      <c r="A364" t="s">
        <v>3423</v>
      </c>
      <c r="B364" t="s">
        <v>3424</v>
      </c>
      <c r="F364" t="s">
        <v>308</v>
      </c>
      <c r="G364" t="s">
        <v>2526</v>
      </c>
      <c r="H364">
        <v>2013</v>
      </c>
      <c r="I364">
        <v>46</v>
      </c>
      <c r="J364">
        <v>8</v>
      </c>
      <c r="N364">
        <v>2092</v>
      </c>
      <c r="O364">
        <v>2102</v>
      </c>
      <c r="Q364" t="s">
        <v>3425</v>
      </c>
      <c r="T364">
        <v>10</v>
      </c>
      <c r="U364">
        <v>1.43</v>
      </c>
      <c r="V364">
        <v>0</v>
      </c>
      <c r="W364">
        <v>0</v>
      </c>
      <c r="X364">
        <v>0</v>
      </c>
      <c r="Y364">
        <v>0</v>
      </c>
      <c r="Z364">
        <v>0</v>
      </c>
      <c r="AA364">
        <v>0</v>
      </c>
      <c r="AB364">
        <v>0</v>
      </c>
      <c r="AC364">
        <v>0</v>
      </c>
      <c r="AD364">
        <v>0</v>
      </c>
      <c r="AE364">
        <v>0</v>
      </c>
      <c r="AF364">
        <v>0</v>
      </c>
      <c r="AG364">
        <v>0</v>
      </c>
      <c r="AH364">
        <v>1</v>
      </c>
      <c r="AI364">
        <v>0</v>
      </c>
      <c r="AJ364">
        <v>2</v>
      </c>
      <c r="AK364">
        <v>4</v>
      </c>
      <c r="AL364">
        <v>1</v>
      </c>
      <c r="AM364">
        <v>2</v>
      </c>
      <c r="AN364">
        <v>0</v>
      </c>
    </row>
    <row r="365" spans="1:40" x14ac:dyDescent="0.25">
      <c r="A365" t="s">
        <v>3426</v>
      </c>
      <c r="B365" t="s">
        <v>3427</v>
      </c>
      <c r="F365" t="s">
        <v>3428</v>
      </c>
      <c r="G365" t="s">
        <v>2398</v>
      </c>
      <c r="H365">
        <v>2012</v>
      </c>
      <c r="I365">
        <v>64</v>
      </c>
      <c r="J365">
        <v>4</v>
      </c>
      <c r="M365" t="s">
        <v>1948</v>
      </c>
      <c r="N365">
        <v>385</v>
      </c>
      <c r="O365">
        <v>409</v>
      </c>
      <c r="Q365" t="s">
        <v>3429</v>
      </c>
      <c r="T365">
        <v>10</v>
      </c>
      <c r="U365">
        <v>1.25</v>
      </c>
      <c r="V365">
        <v>0</v>
      </c>
      <c r="W365">
        <v>0</v>
      </c>
      <c r="X365">
        <v>0</v>
      </c>
      <c r="Y365">
        <v>0</v>
      </c>
      <c r="Z365">
        <v>0</v>
      </c>
      <c r="AA365">
        <v>0</v>
      </c>
      <c r="AB365">
        <v>0</v>
      </c>
      <c r="AC365">
        <v>0</v>
      </c>
      <c r="AD365">
        <v>0</v>
      </c>
      <c r="AE365">
        <v>0</v>
      </c>
      <c r="AF365">
        <v>0</v>
      </c>
      <c r="AG365">
        <v>0</v>
      </c>
      <c r="AH365">
        <v>1</v>
      </c>
      <c r="AI365">
        <v>1</v>
      </c>
      <c r="AJ365">
        <v>4</v>
      </c>
      <c r="AK365">
        <v>1</v>
      </c>
      <c r="AL365">
        <v>3</v>
      </c>
      <c r="AM365">
        <v>0</v>
      </c>
      <c r="AN365">
        <v>0</v>
      </c>
    </row>
    <row r="366" spans="1:40" x14ac:dyDescent="0.25">
      <c r="A366" t="s">
        <v>3430</v>
      </c>
      <c r="B366" t="s">
        <v>1652</v>
      </c>
      <c r="F366" t="s">
        <v>306</v>
      </c>
      <c r="G366" t="s">
        <v>2422</v>
      </c>
      <c r="H366">
        <v>2009</v>
      </c>
      <c r="I366">
        <v>73</v>
      </c>
      <c r="J366" t="s">
        <v>3092</v>
      </c>
      <c r="M366" t="s">
        <v>1948</v>
      </c>
      <c r="N366">
        <v>324</v>
      </c>
      <c r="O366">
        <v>330</v>
      </c>
      <c r="Q366" t="s">
        <v>3431</v>
      </c>
      <c r="T366">
        <v>10</v>
      </c>
      <c r="U366">
        <v>0.91</v>
      </c>
      <c r="V366">
        <v>0</v>
      </c>
      <c r="W366">
        <v>0</v>
      </c>
      <c r="X366">
        <v>0</v>
      </c>
      <c r="Y366">
        <v>0</v>
      </c>
      <c r="Z366">
        <v>0</v>
      </c>
      <c r="AA366">
        <v>0</v>
      </c>
      <c r="AB366">
        <v>0</v>
      </c>
      <c r="AC366">
        <v>0</v>
      </c>
      <c r="AD366">
        <v>0</v>
      </c>
      <c r="AE366">
        <v>1</v>
      </c>
      <c r="AF366">
        <v>1</v>
      </c>
      <c r="AG366">
        <v>1</v>
      </c>
      <c r="AH366">
        <v>1</v>
      </c>
      <c r="AI366">
        <v>3</v>
      </c>
      <c r="AJ366">
        <v>0</v>
      </c>
      <c r="AK366">
        <v>2</v>
      </c>
      <c r="AL366">
        <v>1</v>
      </c>
      <c r="AM366">
        <v>0</v>
      </c>
      <c r="AN366">
        <v>0</v>
      </c>
    </row>
    <row r="367" spans="1:40" x14ac:dyDescent="0.25">
      <c r="A367" t="s">
        <v>3432</v>
      </c>
      <c r="B367" t="s">
        <v>3433</v>
      </c>
      <c r="F367" t="s">
        <v>317</v>
      </c>
      <c r="G367" t="s">
        <v>2608</v>
      </c>
      <c r="H367">
        <v>2009</v>
      </c>
      <c r="I367">
        <v>18</v>
      </c>
      <c r="J367">
        <v>3</v>
      </c>
      <c r="N367">
        <v>237</v>
      </c>
      <c r="O367">
        <v>247</v>
      </c>
      <c r="Q367" t="s">
        <v>3434</v>
      </c>
      <c r="T367">
        <v>10</v>
      </c>
      <c r="U367">
        <v>0.91</v>
      </c>
      <c r="V367">
        <v>0</v>
      </c>
      <c r="W367">
        <v>0</v>
      </c>
      <c r="X367">
        <v>0</v>
      </c>
      <c r="Y367">
        <v>0</v>
      </c>
      <c r="Z367">
        <v>0</v>
      </c>
      <c r="AA367">
        <v>0</v>
      </c>
      <c r="AB367">
        <v>0</v>
      </c>
      <c r="AC367">
        <v>0</v>
      </c>
      <c r="AD367">
        <v>0</v>
      </c>
      <c r="AE367">
        <v>1</v>
      </c>
      <c r="AF367">
        <v>2</v>
      </c>
      <c r="AG367">
        <v>0</v>
      </c>
      <c r="AH367">
        <v>1</v>
      </c>
      <c r="AI367">
        <v>0</v>
      </c>
      <c r="AJ367">
        <v>2</v>
      </c>
      <c r="AK367">
        <v>3</v>
      </c>
      <c r="AL367">
        <v>1</v>
      </c>
      <c r="AM367">
        <v>0</v>
      </c>
      <c r="AN367">
        <v>0</v>
      </c>
    </row>
    <row r="368" spans="1:40" x14ac:dyDescent="0.25">
      <c r="A368" t="s">
        <v>3435</v>
      </c>
      <c r="B368" t="s">
        <v>3436</v>
      </c>
      <c r="F368" t="s">
        <v>311</v>
      </c>
      <c r="G368" t="s">
        <v>3437</v>
      </c>
      <c r="H368">
        <v>2004</v>
      </c>
      <c r="I368">
        <v>13</v>
      </c>
      <c r="J368">
        <v>6</v>
      </c>
      <c r="N368">
        <v>836</v>
      </c>
      <c r="O368">
        <v>847</v>
      </c>
      <c r="Q368" t="s">
        <v>3438</v>
      </c>
      <c r="T368">
        <v>10</v>
      </c>
      <c r="U368">
        <v>0.63</v>
      </c>
      <c r="V368">
        <v>0</v>
      </c>
      <c r="W368">
        <v>0</v>
      </c>
      <c r="X368">
        <v>0</v>
      </c>
      <c r="Y368">
        <v>0</v>
      </c>
      <c r="Z368">
        <v>0</v>
      </c>
      <c r="AA368">
        <v>0</v>
      </c>
      <c r="AB368">
        <v>2</v>
      </c>
      <c r="AC368">
        <v>3</v>
      </c>
      <c r="AD368">
        <v>1</v>
      </c>
      <c r="AE368">
        <v>0</v>
      </c>
      <c r="AF368">
        <v>0</v>
      </c>
      <c r="AG368">
        <v>1</v>
      </c>
      <c r="AH368">
        <v>0</v>
      </c>
      <c r="AI368">
        <v>1</v>
      </c>
      <c r="AJ368">
        <v>1</v>
      </c>
      <c r="AK368">
        <v>0</v>
      </c>
      <c r="AL368">
        <v>1</v>
      </c>
      <c r="AM368">
        <v>0</v>
      </c>
      <c r="AN368">
        <v>0</v>
      </c>
    </row>
    <row r="369" spans="1:40" x14ac:dyDescent="0.25">
      <c r="A369" t="s">
        <v>3439</v>
      </c>
      <c r="B369" t="s">
        <v>3440</v>
      </c>
      <c r="F369" t="s">
        <v>343</v>
      </c>
      <c r="G369" t="s">
        <v>3441</v>
      </c>
      <c r="H369">
        <v>2002</v>
      </c>
      <c r="I369">
        <v>5</v>
      </c>
      <c r="J369">
        <v>3</v>
      </c>
      <c r="N369">
        <v>271</v>
      </c>
      <c r="O369">
        <v>287</v>
      </c>
      <c r="T369">
        <v>10</v>
      </c>
      <c r="U369">
        <v>0.56000000000000005</v>
      </c>
      <c r="V369">
        <v>0</v>
      </c>
      <c r="W369">
        <v>0</v>
      </c>
      <c r="X369">
        <v>0</v>
      </c>
      <c r="Y369">
        <v>0</v>
      </c>
      <c r="Z369">
        <v>1</v>
      </c>
      <c r="AA369">
        <v>0</v>
      </c>
      <c r="AB369">
        <v>1</v>
      </c>
      <c r="AC369">
        <v>1</v>
      </c>
      <c r="AD369">
        <v>1</v>
      </c>
      <c r="AE369">
        <v>1</v>
      </c>
      <c r="AF369">
        <v>0</v>
      </c>
      <c r="AG369">
        <v>1</v>
      </c>
      <c r="AH369">
        <v>2</v>
      </c>
      <c r="AI369">
        <v>0</v>
      </c>
      <c r="AJ369">
        <v>0</v>
      </c>
      <c r="AK369">
        <v>1</v>
      </c>
      <c r="AL369">
        <v>1</v>
      </c>
      <c r="AM369">
        <v>0</v>
      </c>
      <c r="AN369">
        <v>0</v>
      </c>
    </row>
    <row r="370" spans="1:40" x14ac:dyDescent="0.25">
      <c r="A370" t="s">
        <v>3442</v>
      </c>
      <c r="B370" t="s">
        <v>3443</v>
      </c>
      <c r="F370" t="s">
        <v>303</v>
      </c>
      <c r="G370" t="s">
        <v>3444</v>
      </c>
      <c r="H370">
        <v>2001</v>
      </c>
      <c r="I370">
        <v>44</v>
      </c>
      <c r="J370">
        <v>2</v>
      </c>
      <c r="N370">
        <v>87</v>
      </c>
      <c r="O370">
        <v>109</v>
      </c>
      <c r="Q370" t="s">
        <v>3445</v>
      </c>
      <c r="T370">
        <v>10</v>
      </c>
      <c r="U370">
        <v>0.53</v>
      </c>
      <c r="V370">
        <v>0</v>
      </c>
      <c r="W370">
        <v>1</v>
      </c>
      <c r="X370">
        <v>0</v>
      </c>
      <c r="Y370">
        <v>1</v>
      </c>
      <c r="Z370">
        <v>0</v>
      </c>
      <c r="AA370">
        <v>2</v>
      </c>
      <c r="AB370">
        <v>2</v>
      </c>
      <c r="AC370">
        <v>3</v>
      </c>
      <c r="AD370">
        <v>0</v>
      </c>
      <c r="AE370">
        <v>0</v>
      </c>
      <c r="AF370">
        <v>0</v>
      </c>
      <c r="AG370">
        <v>0</v>
      </c>
      <c r="AH370">
        <v>1</v>
      </c>
      <c r="AI370">
        <v>0</v>
      </c>
      <c r="AJ370">
        <v>0</v>
      </c>
      <c r="AK370">
        <v>0</v>
      </c>
      <c r="AL370">
        <v>0</v>
      </c>
      <c r="AM370">
        <v>0</v>
      </c>
      <c r="AN370">
        <v>0</v>
      </c>
    </row>
    <row r="371" spans="1:40" x14ac:dyDescent="0.25">
      <c r="A371" t="s">
        <v>1296</v>
      </c>
      <c r="B371" t="s">
        <v>1298</v>
      </c>
      <c r="F371" t="s">
        <v>313</v>
      </c>
      <c r="G371" t="s">
        <v>3446</v>
      </c>
      <c r="H371">
        <v>2016</v>
      </c>
      <c r="I371">
        <v>63</v>
      </c>
      <c r="N371">
        <v>97</v>
      </c>
      <c r="O371">
        <v>111</v>
      </c>
      <c r="Q371" t="s">
        <v>3447</v>
      </c>
      <c r="T371">
        <v>9</v>
      </c>
      <c r="U371">
        <v>2.25</v>
      </c>
      <c r="V371">
        <v>0</v>
      </c>
      <c r="W371">
        <v>0</v>
      </c>
      <c r="X371">
        <v>0</v>
      </c>
      <c r="Y371">
        <v>0</v>
      </c>
      <c r="Z371">
        <v>0</v>
      </c>
      <c r="AA371">
        <v>0</v>
      </c>
      <c r="AB371">
        <v>0</v>
      </c>
      <c r="AC371">
        <v>0</v>
      </c>
      <c r="AD371">
        <v>0</v>
      </c>
      <c r="AE371">
        <v>0</v>
      </c>
      <c r="AF371">
        <v>0</v>
      </c>
      <c r="AG371">
        <v>0</v>
      </c>
      <c r="AH371">
        <v>0</v>
      </c>
      <c r="AI371">
        <v>0</v>
      </c>
      <c r="AJ371">
        <v>0</v>
      </c>
      <c r="AK371">
        <v>0</v>
      </c>
      <c r="AL371">
        <v>3</v>
      </c>
      <c r="AM371">
        <v>4</v>
      </c>
      <c r="AN371">
        <v>2</v>
      </c>
    </row>
    <row r="372" spans="1:40" x14ac:dyDescent="0.25">
      <c r="A372" t="s">
        <v>3448</v>
      </c>
      <c r="B372" t="s">
        <v>3449</v>
      </c>
      <c r="F372" t="s">
        <v>314</v>
      </c>
      <c r="G372" t="s">
        <v>2774</v>
      </c>
      <c r="H372">
        <v>2016</v>
      </c>
      <c r="I372">
        <v>46</v>
      </c>
      <c r="J372">
        <v>11</v>
      </c>
      <c r="N372">
        <v>2447</v>
      </c>
      <c r="O372">
        <v>2458</v>
      </c>
      <c r="Q372" t="s">
        <v>3450</v>
      </c>
      <c r="T372">
        <v>9</v>
      </c>
      <c r="U372">
        <v>2.25</v>
      </c>
      <c r="V372">
        <v>0</v>
      </c>
      <c r="W372">
        <v>0</v>
      </c>
      <c r="X372">
        <v>0</v>
      </c>
      <c r="Y372">
        <v>0</v>
      </c>
      <c r="Z372">
        <v>0</v>
      </c>
      <c r="AA372">
        <v>0</v>
      </c>
      <c r="AB372">
        <v>0</v>
      </c>
      <c r="AC372">
        <v>0</v>
      </c>
      <c r="AD372">
        <v>0</v>
      </c>
      <c r="AE372">
        <v>0</v>
      </c>
      <c r="AF372">
        <v>0</v>
      </c>
      <c r="AG372">
        <v>0</v>
      </c>
      <c r="AH372">
        <v>0</v>
      </c>
      <c r="AI372">
        <v>0</v>
      </c>
      <c r="AJ372">
        <v>0</v>
      </c>
      <c r="AK372">
        <v>1</v>
      </c>
      <c r="AL372">
        <v>2</v>
      </c>
      <c r="AM372">
        <v>6</v>
      </c>
      <c r="AN372">
        <v>0</v>
      </c>
    </row>
    <row r="373" spans="1:40" x14ac:dyDescent="0.25">
      <c r="A373" t="s">
        <v>3451</v>
      </c>
      <c r="B373" t="s">
        <v>3452</v>
      </c>
      <c r="F373" t="s">
        <v>311</v>
      </c>
      <c r="G373" t="s">
        <v>2774</v>
      </c>
      <c r="H373">
        <v>2016</v>
      </c>
      <c r="I373">
        <v>25</v>
      </c>
      <c r="J373">
        <v>11</v>
      </c>
      <c r="N373">
        <v>5239</v>
      </c>
      <c r="O373">
        <v>5251</v>
      </c>
      <c r="Q373" t="s">
        <v>3453</v>
      </c>
      <c r="T373">
        <v>9</v>
      </c>
      <c r="U373">
        <v>2.25</v>
      </c>
      <c r="V373">
        <v>0</v>
      </c>
      <c r="W373">
        <v>0</v>
      </c>
      <c r="X373">
        <v>0</v>
      </c>
      <c r="Y373">
        <v>0</v>
      </c>
      <c r="Z373">
        <v>0</v>
      </c>
      <c r="AA373">
        <v>0</v>
      </c>
      <c r="AB373">
        <v>0</v>
      </c>
      <c r="AC373">
        <v>0</v>
      </c>
      <c r="AD373">
        <v>0</v>
      </c>
      <c r="AE373">
        <v>0</v>
      </c>
      <c r="AF373">
        <v>0</v>
      </c>
      <c r="AG373">
        <v>0</v>
      </c>
      <c r="AH373">
        <v>0</v>
      </c>
      <c r="AI373">
        <v>0</v>
      </c>
      <c r="AJ373">
        <v>0</v>
      </c>
      <c r="AK373">
        <v>0</v>
      </c>
      <c r="AL373">
        <v>3</v>
      </c>
      <c r="AM373">
        <v>6</v>
      </c>
      <c r="AN373">
        <v>0</v>
      </c>
    </row>
    <row r="374" spans="1:40" x14ac:dyDescent="0.25">
      <c r="A374" t="s">
        <v>1335</v>
      </c>
      <c r="B374" t="s">
        <v>1337</v>
      </c>
      <c r="F374" t="s">
        <v>311</v>
      </c>
      <c r="G374" t="s">
        <v>2393</v>
      </c>
      <c r="H374">
        <v>2015</v>
      </c>
      <c r="I374">
        <v>24</v>
      </c>
      <c r="J374">
        <v>12</v>
      </c>
      <c r="N374">
        <v>5619</v>
      </c>
      <c r="O374">
        <v>5629</v>
      </c>
      <c r="Q374" t="s">
        <v>3454</v>
      </c>
      <c r="T374">
        <v>9</v>
      </c>
      <c r="U374">
        <v>1.8</v>
      </c>
      <c r="V374">
        <v>0</v>
      </c>
      <c r="W374">
        <v>0</v>
      </c>
      <c r="X374">
        <v>0</v>
      </c>
      <c r="Y374">
        <v>0</v>
      </c>
      <c r="Z374">
        <v>0</v>
      </c>
      <c r="AA374">
        <v>0</v>
      </c>
      <c r="AB374">
        <v>0</v>
      </c>
      <c r="AC374">
        <v>0</v>
      </c>
      <c r="AD374">
        <v>0</v>
      </c>
      <c r="AE374">
        <v>0</v>
      </c>
      <c r="AF374">
        <v>0</v>
      </c>
      <c r="AG374">
        <v>0</v>
      </c>
      <c r="AH374">
        <v>0</v>
      </c>
      <c r="AI374">
        <v>0</v>
      </c>
      <c r="AJ374">
        <v>0</v>
      </c>
      <c r="AK374">
        <v>2</v>
      </c>
      <c r="AL374">
        <v>3</v>
      </c>
      <c r="AM374">
        <v>4</v>
      </c>
      <c r="AN374">
        <v>0</v>
      </c>
    </row>
    <row r="375" spans="1:40" x14ac:dyDescent="0.25">
      <c r="A375" t="s">
        <v>3455</v>
      </c>
      <c r="B375" t="s">
        <v>3456</v>
      </c>
      <c r="F375" t="s">
        <v>306</v>
      </c>
      <c r="G375" t="s">
        <v>3170</v>
      </c>
      <c r="H375">
        <v>2015</v>
      </c>
      <c r="I375">
        <v>168</v>
      </c>
      <c r="N375">
        <v>538</v>
      </c>
      <c r="O375">
        <v>549</v>
      </c>
      <c r="Q375" t="s">
        <v>3457</v>
      </c>
      <c r="T375">
        <v>9</v>
      </c>
      <c r="U375">
        <v>1.8</v>
      </c>
      <c r="V375">
        <v>0</v>
      </c>
      <c r="W375">
        <v>0</v>
      </c>
      <c r="X375">
        <v>0</v>
      </c>
      <c r="Y375">
        <v>0</v>
      </c>
      <c r="Z375">
        <v>0</v>
      </c>
      <c r="AA375">
        <v>0</v>
      </c>
      <c r="AB375">
        <v>0</v>
      </c>
      <c r="AC375">
        <v>0</v>
      </c>
      <c r="AD375">
        <v>0</v>
      </c>
      <c r="AE375">
        <v>0</v>
      </c>
      <c r="AF375">
        <v>0</v>
      </c>
      <c r="AG375">
        <v>0</v>
      </c>
      <c r="AH375">
        <v>0</v>
      </c>
      <c r="AI375">
        <v>0</v>
      </c>
      <c r="AJ375">
        <v>0</v>
      </c>
      <c r="AK375">
        <v>0</v>
      </c>
      <c r="AL375">
        <v>5</v>
      </c>
      <c r="AM375">
        <v>4</v>
      </c>
      <c r="AN375">
        <v>0</v>
      </c>
    </row>
    <row r="376" spans="1:40" x14ac:dyDescent="0.25">
      <c r="A376" t="s">
        <v>3458</v>
      </c>
      <c r="B376" t="s">
        <v>3459</v>
      </c>
      <c r="F376" t="s">
        <v>343</v>
      </c>
      <c r="G376" t="s">
        <v>2856</v>
      </c>
      <c r="H376">
        <v>2015</v>
      </c>
      <c r="I376">
        <v>18</v>
      </c>
      <c r="J376">
        <v>4</v>
      </c>
      <c r="N376">
        <v>739</v>
      </c>
      <c r="O376">
        <v>755</v>
      </c>
      <c r="Q376" t="s">
        <v>3460</v>
      </c>
      <c r="T376">
        <v>9</v>
      </c>
      <c r="U376">
        <v>1.8</v>
      </c>
      <c r="V376">
        <v>0</v>
      </c>
      <c r="W376">
        <v>0</v>
      </c>
      <c r="X376">
        <v>0</v>
      </c>
      <c r="Y376">
        <v>0</v>
      </c>
      <c r="Z376">
        <v>0</v>
      </c>
      <c r="AA376">
        <v>0</v>
      </c>
      <c r="AB376">
        <v>0</v>
      </c>
      <c r="AC376">
        <v>0</v>
      </c>
      <c r="AD376">
        <v>0</v>
      </c>
      <c r="AE376">
        <v>0</v>
      </c>
      <c r="AF376">
        <v>0</v>
      </c>
      <c r="AG376">
        <v>0</v>
      </c>
      <c r="AH376">
        <v>0</v>
      </c>
      <c r="AI376">
        <v>0</v>
      </c>
      <c r="AJ376">
        <v>0</v>
      </c>
      <c r="AK376">
        <v>3</v>
      </c>
      <c r="AL376">
        <v>5</v>
      </c>
      <c r="AM376">
        <v>1</v>
      </c>
      <c r="AN376">
        <v>0</v>
      </c>
    </row>
    <row r="377" spans="1:40" x14ac:dyDescent="0.25">
      <c r="A377" t="s">
        <v>3461</v>
      </c>
      <c r="B377" t="s">
        <v>3462</v>
      </c>
      <c r="F377" t="s">
        <v>298</v>
      </c>
      <c r="G377" t="s">
        <v>3463</v>
      </c>
      <c r="H377">
        <v>2015</v>
      </c>
      <c r="I377">
        <v>139</v>
      </c>
      <c r="N377">
        <v>149</v>
      </c>
      <c r="O377">
        <v>160</v>
      </c>
      <c r="Q377" t="s">
        <v>3464</v>
      </c>
      <c r="T377">
        <v>9</v>
      </c>
      <c r="U377">
        <v>1.8</v>
      </c>
      <c r="V377">
        <v>0</v>
      </c>
      <c r="W377">
        <v>0</v>
      </c>
      <c r="X377">
        <v>0</v>
      </c>
      <c r="Y377">
        <v>0</v>
      </c>
      <c r="Z377">
        <v>0</v>
      </c>
      <c r="AA377">
        <v>0</v>
      </c>
      <c r="AB377">
        <v>0</v>
      </c>
      <c r="AC377">
        <v>0</v>
      </c>
      <c r="AD377">
        <v>0</v>
      </c>
      <c r="AE377">
        <v>0</v>
      </c>
      <c r="AF377">
        <v>0</v>
      </c>
      <c r="AG377">
        <v>0</v>
      </c>
      <c r="AH377">
        <v>0</v>
      </c>
      <c r="AI377">
        <v>0</v>
      </c>
      <c r="AJ377">
        <v>0</v>
      </c>
      <c r="AK377">
        <v>2</v>
      </c>
      <c r="AL377">
        <v>4</v>
      </c>
      <c r="AM377">
        <v>3</v>
      </c>
      <c r="AN377">
        <v>0</v>
      </c>
    </row>
    <row r="378" spans="1:40" x14ac:dyDescent="0.25">
      <c r="A378" t="s">
        <v>1758</v>
      </c>
      <c r="B378" t="s">
        <v>1760</v>
      </c>
      <c r="F378" t="s">
        <v>333</v>
      </c>
      <c r="G378" t="s">
        <v>3071</v>
      </c>
      <c r="H378">
        <v>2015</v>
      </c>
      <c r="I378">
        <v>29</v>
      </c>
      <c r="J378">
        <v>1</v>
      </c>
      <c r="P378">
        <v>1555001</v>
      </c>
      <c r="Q378" t="s">
        <v>3465</v>
      </c>
      <c r="T378">
        <v>9</v>
      </c>
      <c r="U378">
        <v>1.8</v>
      </c>
      <c r="V378">
        <v>0</v>
      </c>
      <c r="W378">
        <v>0</v>
      </c>
      <c r="X378">
        <v>0</v>
      </c>
      <c r="Y378">
        <v>0</v>
      </c>
      <c r="Z378">
        <v>0</v>
      </c>
      <c r="AA378">
        <v>0</v>
      </c>
      <c r="AB378">
        <v>0</v>
      </c>
      <c r="AC378">
        <v>0</v>
      </c>
      <c r="AD378">
        <v>0</v>
      </c>
      <c r="AE378">
        <v>0</v>
      </c>
      <c r="AF378">
        <v>0</v>
      </c>
      <c r="AG378">
        <v>0</v>
      </c>
      <c r="AH378">
        <v>0</v>
      </c>
      <c r="AI378">
        <v>0</v>
      </c>
      <c r="AJ378">
        <v>1</v>
      </c>
      <c r="AK378">
        <v>2</v>
      </c>
      <c r="AL378">
        <v>2</v>
      </c>
      <c r="AM378">
        <v>4</v>
      </c>
      <c r="AN378">
        <v>0</v>
      </c>
    </row>
    <row r="379" spans="1:40" x14ac:dyDescent="0.25">
      <c r="A379" t="s">
        <v>3466</v>
      </c>
      <c r="B379" t="s">
        <v>3467</v>
      </c>
      <c r="F379" t="s">
        <v>312</v>
      </c>
      <c r="G379" t="s">
        <v>3468</v>
      </c>
      <c r="H379">
        <v>2014</v>
      </c>
      <c r="I379">
        <v>9</v>
      </c>
      <c r="J379">
        <v>3</v>
      </c>
      <c r="M379" t="s">
        <v>1948</v>
      </c>
      <c r="N379">
        <v>503</v>
      </c>
      <c r="O379">
        <v>517</v>
      </c>
      <c r="Q379" t="s">
        <v>3469</v>
      </c>
      <c r="T379">
        <v>9</v>
      </c>
      <c r="U379">
        <v>1.5</v>
      </c>
      <c r="V379">
        <v>0</v>
      </c>
      <c r="W379">
        <v>0</v>
      </c>
      <c r="X379">
        <v>0</v>
      </c>
      <c r="Y379">
        <v>0</v>
      </c>
      <c r="Z379">
        <v>0</v>
      </c>
      <c r="AA379">
        <v>0</v>
      </c>
      <c r="AB379">
        <v>0</v>
      </c>
      <c r="AC379">
        <v>0</v>
      </c>
      <c r="AD379">
        <v>0</v>
      </c>
      <c r="AE379">
        <v>0</v>
      </c>
      <c r="AF379">
        <v>0</v>
      </c>
      <c r="AG379">
        <v>0</v>
      </c>
      <c r="AH379">
        <v>0</v>
      </c>
      <c r="AI379">
        <v>0</v>
      </c>
      <c r="AJ379">
        <v>1</v>
      </c>
      <c r="AK379">
        <v>3</v>
      </c>
      <c r="AL379">
        <v>3</v>
      </c>
      <c r="AM379">
        <v>2</v>
      </c>
      <c r="AN379">
        <v>0</v>
      </c>
    </row>
    <row r="380" spans="1:40" x14ac:dyDescent="0.25">
      <c r="A380" t="s">
        <v>3470</v>
      </c>
      <c r="B380" t="s">
        <v>3471</v>
      </c>
      <c r="F380" t="s">
        <v>315</v>
      </c>
      <c r="G380" t="s">
        <v>3334</v>
      </c>
      <c r="H380">
        <v>2014</v>
      </c>
      <c r="I380">
        <v>25</v>
      </c>
      <c r="J380">
        <v>5</v>
      </c>
      <c r="M380" t="s">
        <v>1948</v>
      </c>
      <c r="N380">
        <v>1351</v>
      </c>
      <c r="O380">
        <v>1368</v>
      </c>
      <c r="Q380" t="s">
        <v>3472</v>
      </c>
      <c r="T380">
        <v>9</v>
      </c>
      <c r="U380">
        <v>1.5</v>
      </c>
      <c r="V380">
        <v>0</v>
      </c>
      <c r="W380">
        <v>0</v>
      </c>
      <c r="X380">
        <v>0</v>
      </c>
      <c r="Y380">
        <v>0</v>
      </c>
      <c r="Z380">
        <v>0</v>
      </c>
      <c r="AA380">
        <v>0</v>
      </c>
      <c r="AB380">
        <v>0</v>
      </c>
      <c r="AC380">
        <v>0</v>
      </c>
      <c r="AD380">
        <v>0</v>
      </c>
      <c r="AE380">
        <v>0</v>
      </c>
      <c r="AF380">
        <v>0</v>
      </c>
      <c r="AG380">
        <v>0</v>
      </c>
      <c r="AH380">
        <v>0</v>
      </c>
      <c r="AI380">
        <v>0</v>
      </c>
      <c r="AJ380">
        <v>2</v>
      </c>
      <c r="AK380">
        <v>2</v>
      </c>
      <c r="AL380">
        <v>2</v>
      </c>
      <c r="AM380">
        <v>2</v>
      </c>
      <c r="AN380">
        <v>1</v>
      </c>
    </row>
    <row r="381" spans="1:40" x14ac:dyDescent="0.25">
      <c r="A381" t="s">
        <v>3473</v>
      </c>
      <c r="B381" t="s">
        <v>3474</v>
      </c>
      <c r="F381" t="s">
        <v>308</v>
      </c>
      <c r="G381" t="s">
        <v>2932</v>
      </c>
      <c r="H381">
        <v>2014</v>
      </c>
      <c r="I381">
        <v>47</v>
      </c>
      <c r="J381">
        <v>4</v>
      </c>
      <c r="N381">
        <v>1674</v>
      </c>
      <c r="O381">
        <v>1688</v>
      </c>
      <c r="Q381" t="s">
        <v>3475</v>
      </c>
      <c r="T381">
        <v>9</v>
      </c>
      <c r="U381">
        <v>1.5</v>
      </c>
      <c r="V381">
        <v>0</v>
      </c>
      <c r="W381">
        <v>0</v>
      </c>
      <c r="X381">
        <v>0</v>
      </c>
      <c r="Y381">
        <v>0</v>
      </c>
      <c r="Z381">
        <v>0</v>
      </c>
      <c r="AA381">
        <v>0</v>
      </c>
      <c r="AB381">
        <v>0</v>
      </c>
      <c r="AC381">
        <v>0</v>
      </c>
      <c r="AD381">
        <v>0</v>
      </c>
      <c r="AE381">
        <v>0</v>
      </c>
      <c r="AF381">
        <v>0</v>
      </c>
      <c r="AG381">
        <v>0</v>
      </c>
      <c r="AH381">
        <v>0</v>
      </c>
      <c r="AI381">
        <v>1</v>
      </c>
      <c r="AJ381">
        <v>2</v>
      </c>
      <c r="AK381">
        <v>5</v>
      </c>
      <c r="AL381">
        <v>1</v>
      </c>
      <c r="AM381">
        <v>0</v>
      </c>
      <c r="AN381">
        <v>0</v>
      </c>
    </row>
    <row r="382" spans="1:40" x14ac:dyDescent="0.25">
      <c r="A382" t="s">
        <v>3476</v>
      </c>
      <c r="B382" t="s">
        <v>3477</v>
      </c>
      <c r="F382" t="s">
        <v>308</v>
      </c>
      <c r="G382" t="s">
        <v>3478</v>
      </c>
      <c r="H382">
        <v>2011</v>
      </c>
      <c r="I382">
        <v>44</v>
      </c>
      <c r="J382">
        <v>12</v>
      </c>
      <c r="N382">
        <v>2926</v>
      </c>
      <c r="O382">
        <v>2943</v>
      </c>
      <c r="Q382" t="s">
        <v>3479</v>
      </c>
      <c r="T382">
        <v>9</v>
      </c>
      <c r="U382">
        <v>1</v>
      </c>
      <c r="V382">
        <v>0</v>
      </c>
      <c r="W382">
        <v>0</v>
      </c>
      <c r="X382">
        <v>0</v>
      </c>
      <c r="Y382">
        <v>0</v>
      </c>
      <c r="Z382">
        <v>0</v>
      </c>
      <c r="AA382">
        <v>0</v>
      </c>
      <c r="AB382">
        <v>0</v>
      </c>
      <c r="AC382">
        <v>0</v>
      </c>
      <c r="AD382">
        <v>0</v>
      </c>
      <c r="AE382">
        <v>0</v>
      </c>
      <c r="AF382">
        <v>0</v>
      </c>
      <c r="AG382">
        <v>0</v>
      </c>
      <c r="AH382">
        <v>1</v>
      </c>
      <c r="AI382">
        <v>2</v>
      </c>
      <c r="AJ382">
        <v>2</v>
      </c>
      <c r="AK382">
        <v>3</v>
      </c>
      <c r="AL382">
        <v>1</v>
      </c>
      <c r="AM382">
        <v>0</v>
      </c>
      <c r="AN382">
        <v>0</v>
      </c>
    </row>
    <row r="383" spans="1:40" x14ac:dyDescent="0.25">
      <c r="A383" t="s">
        <v>3480</v>
      </c>
      <c r="B383" t="s">
        <v>3481</v>
      </c>
      <c r="F383" t="s">
        <v>311</v>
      </c>
      <c r="G383" t="s">
        <v>3086</v>
      </c>
      <c r="H383">
        <v>2011</v>
      </c>
      <c r="I383">
        <v>20</v>
      </c>
      <c r="J383">
        <v>1</v>
      </c>
      <c r="N383">
        <v>213</v>
      </c>
      <c r="O383">
        <v>226</v>
      </c>
      <c r="Q383" t="s">
        <v>3482</v>
      </c>
      <c r="T383">
        <v>9</v>
      </c>
      <c r="U383">
        <v>1</v>
      </c>
      <c r="V383">
        <v>0</v>
      </c>
      <c r="W383">
        <v>0</v>
      </c>
      <c r="X383">
        <v>0</v>
      </c>
      <c r="Y383">
        <v>0</v>
      </c>
      <c r="Z383">
        <v>0</v>
      </c>
      <c r="AA383">
        <v>0</v>
      </c>
      <c r="AB383">
        <v>0</v>
      </c>
      <c r="AC383">
        <v>0</v>
      </c>
      <c r="AD383">
        <v>0</v>
      </c>
      <c r="AE383">
        <v>0</v>
      </c>
      <c r="AF383">
        <v>0</v>
      </c>
      <c r="AG383">
        <v>1</v>
      </c>
      <c r="AH383">
        <v>1</v>
      </c>
      <c r="AI383">
        <v>3</v>
      </c>
      <c r="AJ383">
        <v>0</v>
      </c>
      <c r="AK383">
        <v>1</v>
      </c>
      <c r="AL383">
        <v>3</v>
      </c>
      <c r="AM383">
        <v>0</v>
      </c>
      <c r="AN383">
        <v>0</v>
      </c>
    </row>
    <row r="384" spans="1:40" x14ac:dyDescent="0.25">
      <c r="A384" t="s">
        <v>3483</v>
      </c>
      <c r="B384" t="s">
        <v>3484</v>
      </c>
      <c r="F384" t="s">
        <v>313</v>
      </c>
      <c r="G384" t="s">
        <v>2788</v>
      </c>
      <c r="H384">
        <v>2010</v>
      </c>
      <c r="I384">
        <v>37</v>
      </c>
      <c r="J384">
        <v>9</v>
      </c>
      <c r="N384">
        <v>6561</v>
      </c>
      <c r="O384">
        <v>6566</v>
      </c>
      <c r="Q384" t="s">
        <v>3485</v>
      </c>
      <c r="T384">
        <v>9</v>
      </c>
      <c r="U384">
        <v>0.9</v>
      </c>
      <c r="V384">
        <v>0</v>
      </c>
      <c r="W384">
        <v>0</v>
      </c>
      <c r="X384">
        <v>0</v>
      </c>
      <c r="Y384">
        <v>0</v>
      </c>
      <c r="Z384">
        <v>0</v>
      </c>
      <c r="AA384">
        <v>0</v>
      </c>
      <c r="AB384">
        <v>0</v>
      </c>
      <c r="AC384">
        <v>0</v>
      </c>
      <c r="AD384">
        <v>0</v>
      </c>
      <c r="AE384">
        <v>0</v>
      </c>
      <c r="AF384">
        <v>0</v>
      </c>
      <c r="AG384">
        <v>2</v>
      </c>
      <c r="AH384">
        <v>1</v>
      </c>
      <c r="AI384">
        <v>0</v>
      </c>
      <c r="AJ384">
        <v>2</v>
      </c>
      <c r="AK384">
        <v>1</v>
      </c>
      <c r="AL384">
        <v>0</v>
      </c>
      <c r="AM384">
        <v>3</v>
      </c>
      <c r="AN384">
        <v>0</v>
      </c>
    </row>
    <row r="385" spans="1:40" x14ac:dyDescent="0.25">
      <c r="A385" t="s">
        <v>3486</v>
      </c>
      <c r="B385" t="s">
        <v>3487</v>
      </c>
      <c r="F385" t="s">
        <v>305</v>
      </c>
      <c r="G385" t="s">
        <v>3488</v>
      </c>
      <c r="H385">
        <v>2009</v>
      </c>
      <c r="I385">
        <v>30</v>
      </c>
      <c r="J385">
        <v>10</v>
      </c>
      <c r="N385">
        <v>922</v>
      </c>
      <c r="O385">
        <v>930</v>
      </c>
      <c r="Q385" t="s">
        <v>3489</v>
      </c>
      <c r="T385">
        <v>9</v>
      </c>
      <c r="U385">
        <v>0.82</v>
      </c>
      <c r="V385">
        <v>0</v>
      </c>
      <c r="W385">
        <v>0</v>
      </c>
      <c r="X385">
        <v>0</v>
      </c>
      <c r="Y385">
        <v>0</v>
      </c>
      <c r="Z385">
        <v>0</v>
      </c>
      <c r="AA385">
        <v>0</v>
      </c>
      <c r="AB385">
        <v>0</v>
      </c>
      <c r="AC385">
        <v>0</v>
      </c>
      <c r="AD385">
        <v>0</v>
      </c>
      <c r="AE385">
        <v>1</v>
      </c>
      <c r="AF385">
        <v>1</v>
      </c>
      <c r="AG385">
        <v>3</v>
      </c>
      <c r="AH385">
        <v>1</v>
      </c>
      <c r="AI385">
        <v>1</v>
      </c>
      <c r="AJ385">
        <v>2</v>
      </c>
      <c r="AK385">
        <v>0</v>
      </c>
      <c r="AL385">
        <v>0</v>
      </c>
      <c r="AM385">
        <v>0</v>
      </c>
      <c r="AN385">
        <v>0</v>
      </c>
    </row>
    <row r="386" spans="1:40" x14ac:dyDescent="0.25">
      <c r="A386" t="s">
        <v>3490</v>
      </c>
      <c r="B386" t="s">
        <v>3491</v>
      </c>
      <c r="F386" t="s">
        <v>318</v>
      </c>
      <c r="G386" t="s">
        <v>2762</v>
      </c>
      <c r="H386">
        <v>2008</v>
      </c>
      <c r="I386">
        <v>17</v>
      </c>
      <c r="J386">
        <v>4</v>
      </c>
      <c r="N386">
        <v>635</v>
      </c>
      <c r="O386">
        <v>658</v>
      </c>
      <c r="Q386" t="s">
        <v>3492</v>
      </c>
      <c r="T386">
        <v>9</v>
      </c>
      <c r="U386">
        <v>0.75</v>
      </c>
      <c r="V386">
        <v>0</v>
      </c>
      <c r="W386">
        <v>0</v>
      </c>
      <c r="X386">
        <v>0</v>
      </c>
      <c r="Y386">
        <v>0</v>
      </c>
      <c r="Z386">
        <v>0</v>
      </c>
      <c r="AA386">
        <v>0</v>
      </c>
      <c r="AB386">
        <v>0</v>
      </c>
      <c r="AC386">
        <v>0</v>
      </c>
      <c r="AD386">
        <v>0</v>
      </c>
      <c r="AE386">
        <v>2</v>
      </c>
      <c r="AF386">
        <v>0</v>
      </c>
      <c r="AG386">
        <v>0</v>
      </c>
      <c r="AH386">
        <v>1</v>
      </c>
      <c r="AI386">
        <v>2</v>
      </c>
      <c r="AJ386">
        <v>1</v>
      </c>
      <c r="AK386">
        <v>1</v>
      </c>
      <c r="AL386">
        <v>0</v>
      </c>
      <c r="AM386">
        <v>2</v>
      </c>
      <c r="AN386">
        <v>0</v>
      </c>
    </row>
    <row r="387" spans="1:40" x14ac:dyDescent="0.25">
      <c r="A387" t="s">
        <v>3493</v>
      </c>
      <c r="B387" t="s">
        <v>3494</v>
      </c>
      <c r="F387" t="s">
        <v>3495</v>
      </c>
      <c r="G387" t="s">
        <v>3496</v>
      </c>
      <c r="H387">
        <v>2017</v>
      </c>
      <c r="I387">
        <v>9</v>
      </c>
      <c r="J387">
        <v>4</v>
      </c>
      <c r="N387">
        <v>356</v>
      </c>
      <c r="O387">
        <v>367</v>
      </c>
      <c r="Q387" t="s">
        <v>3497</v>
      </c>
      <c r="T387">
        <v>8</v>
      </c>
      <c r="U387">
        <v>2.67</v>
      </c>
      <c r="V387">
        <v>0</v>
      </c>
      <c r="W387">
        <v>0</v>
      </c>
      <c r="X387">
        <v>0</v>
      </c>
      <c r="Y387">
        <v>0</v>
      </c>
      <c r="Z387">
        <v>0</v>
      </c>
      <c r="AA387">
        <v>0</v>
      </c>
      <c r="AB387">
        <v>0</v>
      </c>
      <c r="AC387">
        <v>0</v>
      </c>
      <c r="AD387">
        <v>0</v>
      </c>
      <c r="AE387">
        <v>0</v>
      </c>
      <c r="AF387">
        <v>0</v>
      </c>
      <c r="AG387">
        <v>0</v>
      </c>
      <c r="AH387">
        <v>0</v>
      </c>
      <c r="AI387">
        <v>0</v>
      </c>
      <c r="AJ387">
        <v>0</v>
      </c>
      <c r="AK387">
        <v>0</v>
      </c>
      <c r="AL387">
        <v>1</v>
      </c>
      <c r="AM387">
        <v>6</v>
      </c>
      <c r="AN387">
        <v>1</v>
      </c>
    </row>
    <row r="388" spans="1:40" x14ac:dyDescent="0.25">
      <c r="A388" t="s">
        <v>3498</v>
      </c>
      <c r="B388" t="s">
        <v>3499</v>
      </c>
      <c r="F388" t="s">
        <v>328</v>
      </c>
      <c r="G388" t="s">
        <v>3500</v>
      </c>
      <c r="H388">
        <v>2017</v>
      </c>
      <c r="I388">
        <v>59</v>
      </c>
      <c r="N388">
        <v>1</v>
      </c>
      <c r="O388">
        <v>14</v>
      </c>
      <c r="Q388" t="s">
        <v>3501</v>
      </c>
      <c r="T388">
        <v>8</v>
      </c>
      <c r="U388">
        <v>2.67</v>
      </c>
      <c r="V388">
        <v>0</v>
      </c>
      <c r="W388">
        <v>0</v>
      </c>
      <c r="X388">
        <v>0</v>
      </c>
      <c r="Y388">
        <v>0</v>
      </c>
      <c r="Z388">
        <v>0</v>
      </c>
      <c r="AA388">
        <v>0</v>
      </c>
      <c r="AB388">
        <v>0</v>
      </c>
      <c r="AC388">
        <v>0</v>
      </c>
      <c r="AD388">
        <v>0</v>
      </c>
      <c r="AE388">
        <v>0</v>
      </c>
      <c r="AF388">
        <v>0</v>
      </c>
      <c r="AG388">
        <v>0</v>
      </c>
      <c r="AH388">
        <v>0</v>
      </c>
      <c r="AI388">
        <v>0</v>
      </c>
      <c r="AJ388">
        <v>0</v>
      </c>
      <c r="AK388">
        <v>0</v>
      </c>
      <c r="AL388">
        <v>2</v>
      </c>
      <c r="AM388">
        <v>5</v>
      </c>
      <c r="AN388">
        <v>1</v>
      </c>
    </row>
    <row r="389" spans="1:40" x14ac:dyDescent="0.25">
      <c r="A389" t="s">
        <v>3502</v>
      </c>
      <c r="B389" t="s">
        <v>3503</v>
      </c>
      <c r="F389" t="s">
        <v>301</v>
      </c>
      <c r="G389" t="s">
        <v>2869</v>
      </c>
      <c r="H389">
        <v>2016</v>
      </c>
      <c r="I389">
        <v>47</v>
      </c>
      <c r="N389">
        <v>33</v>
      </c>
      <c r="O389">
        <v>46</v>
      </c>
      <c r="Q389" t="s">
        <v>3504</v>
      </c>
      <c r="T389">
        <v>8</v>
      </c>
      <c r="U389">
        <v>2</v>
      </c>
      <c r="V389">
        <v>0</v>
      </c>
      <c r="W389">
        <v>0</v>
      </c>
      <c r="X389">
        <v>0</v>
      </c>
      <c r="Y389">
        <v>0</v>
      </c>
      <c r="Z389">
        <v>0</v>
      </c>
      <c r="AA389">
        <v>0</v>
      </c>
      <c r="AB389">
        <v>0</v>
      </c>
      <c r="AC389">
        <v>0</v>
      </c>
      <c r="AD389">
        <v>0</v>
      </c>
      <c r="AE389">
        <v>0</v>
      </c>
      <c r="AF389">
        <v>0</v>
      </c>
      <c r="AG389">
        <v>0</v>
      </c>
      <c r="AH389">
        <v>0</v>
      </c>
      <c r="AI389">
        <v>0</v>
      </c>
      <c r="AJ389">
        <v>0</v>
      </c>
      <c r="AK389">
        <v>0</v>
      </c>
      <c r="AL389">
        <v>2</v>
      </c>
      <c r="AM389">
        <v>5</v>
      </c>
      <c r="AN389">
        <v>1</v>
      </c>
    </row>
    <row r="390" spans="1:40" x14ac:dyDescent="0.25">
      <c r="A390" t="s">
        <v>3505</v>
      </c>
      <c r="B390" t="s">
        <v>3506</v>
      </c>
      <c r="F390" t="s">
        <v>308</v>
      </c>
      <c r="G390" t="s">
        <v>3126</v>
      </c>
      <c r="H390">
        <v>2016</v>
      </c>
      <c r="I390">
        <v>56</v>
      </c>
      <c r="N390">
        <v>129</v>
      </c>
      <c r="O390">
        <v>141</v>
      </c>
      <c r="Q390" t="s">
        <v>3507</v>
      </c>
      <c r="T390">
        <v>8</v>
      </c>
      <c r="U390">
        <v>2</v>
      </c>
      <c r="V390">
        <v>0</v>
      </c>
      <c r="W390">
        <v>0</v>
      </c>
      <c r="X390">
        <v>0</v>
      </c>
      <c r="Y390">
        <v>0</v>
      </c>
      <c r="Z390">
        <v>0</v>
      </c>
      <c r="AA390">
        <v>0</v>
      </c>
      <c r="AB390">
        <v>0</v>
      </c>
      <c r="AC390">
        <v>0</v>
      </c>
      <c r="AD390">
        <v>0</v>
      </c>
      <c r="AE390">
        <v>0</v>
      </c>
      <c r="AF390">
        <v>0</v>
      </c>
      <c r="AG390">
        <v>0</v>
      </c>
      <c r="AH390">
        <v>0</v>
      </c>
      <c r="AI390">
        <v>0</v>
      </c>
      <c r="AJ390">
        <v>0</v>
      </c>
      <c r="AK390">
        <v>0</v>
      </c>
      <c r="AL390">
        <v>7</v>
      </c>
      <c r="AM390">
        <v>1</v>
      </c>
      <c r="AN390">
        <v>0</v>
      </c>
    </row>
    <row r="391" spans="1:40" x14ac:dyDescent="0.25">
      <c r="A391" t="s">
        <v>1593</v>
      </c>
      <c r="B391" t="s">
        <v>1595</v>
      </c>
      <c r="F391" t="s">
        <v>312</v>
      </c>
      <c r="G391" t="s">
        <v>3508</v>
      </c>
      <c r="H391">
        <v>2016</v>
      </c>
      <c r="I391">
        <v>11</v>
      </c>
      <c r="J391">
        <v>1</v>
      </c>
      <c r="N391">
        <v>111</v>
      </c>
      <c r="O391">
        <v>125</v>
      </c>
      <c r="Q391" t="s">
        <v>3509</v>
      </c>
      <c r="T391">
        <v>8</v>
      </c>
      <c r="U391">
        <v>2</v>
      </c>
      <c r="V391">
        <v>0</v>
      </c>
      <c r="W391">
        <v>0</v>
      </c>
      <c r="X391">
        <v>0</v>
      </c>
      <c r="Y391">
        <v>0</v>
      </c>
      <c r="Z391">
        <v>0</v>
      </c>
      <c r="AA391">
        <v>0</v>
      </c>
      <c r="AB391">
        <v>0</v>
      </c>
      <c r="AC391">
        <v>0</v>
      </c>
      <c r="AD391">
        <v>0</v>
      </c>
      <c r="AE391">
        <v>0</v>
      </c>
      <c r="AF391">
        <v>0</v>
      </c>
      <c r="AG391">
        <v>0</v>
      </c>
      <c r="AH391">
        <v>0</v>
      </c>
      <c r="AI391">
        <v>0</v>
      </c>
      <c r="AJ391">
        <v>0</v>
      </c>
      <c r="AK391">
        <v>2</v>
      </c>
      <c r="AL391">
        <v>4</v>
      </c>
      <c r="AM391">
        <v>1</v>
      </c>
      <c r="AN391">
        <v>1</v>
      </c>
    </row>
    <row r="392" spans="1:40" x14ac:dyDescent="0.25">
      <c r="A392" t="s">
        <v>3510</v>
      </c>
      <c r="B392" t="s">
        <v>3511</v>
      </c>
      <c r="F392" t="s">
        <v>311</v>
      </c>
      <c r="G392" t="s">
        <v>2856</v>
      </c>
      <c r="H392">
        <v>2015</v>
      </c>
      <c r="I392">
        <v>24</v>
      </c>
      <c r="J392">
        <v>11</v>
      </c>
      <c r="N392">
        <v>3834</v>
      </c>
      <c r="O392">
        <v>3845</v>
      </c>
      <c r="Q392" t="s">
        <v>3512</v>
      </c>
      <c r="T392">
        <v>8</v>
      </c>
      <c r="U392">
        <v>1.6</v>
      </c>
      <c r="V392">
        <v>0</v>
      </c>
      <c r="W392">
        <v>0</v>
      </c>
      <c r="X392">
        <v>0</v>
      </c>
      <c r="Y392">
        <v>0</v>
      </c>
      <c r="Z392">
        <v>0</v>
      </c>
      <c r="AA392">
        <v>0</v>
      </c>
      <c r="AB392">
        <v>0</v>
      </c>
      <c r="AC392">
        <v>0</v>
      </c>
      <c r="AD392">
        <v>0</v>
      </c>
      <c r="AE392">
        <v>0</v>
      </c>
      <c r="AF392">
        <v>0</v>
      </c>
      <c r="AG392">
        <v>0</v>
      </c>
      <c r="AH392">
        <v>0</v>
      </c>
      <c r="AI392">
        <v>0</v>
      </c>
      <c r="AJ392">
        <v>0</v>
      </c>
      <c r="AK392">
        <v>2</v>
      </c>
      <c r="AL392">
        <v>2</v>
      </c>
      <c r="AM392">
        <v>4</v>
      </c>
      <c r="AN392">
        <v>0</v>
      </c>
    </row>
    <row r="393" spans="1:40" x14ac:dyDescent="0.25">
      <c r="A393" t="s">
        <v>1320</v>
      </c>
      <c r="B393" t="s">
        <v>1322</v>
      </c>
      <c r="F393" t="s">
        <v>311</v>
      </c>
      <c r="G393" t="s">
        <v>2561</v>
      </c>
      <c r="H393">
        <v>2015</v>
      </c>
      <c r="I393">
        <v>24</v>
      </c>
      <c r="J393">
        <v>9</v>
      </c>
      <c r="N393">
        <v>2701</v>
      </c>
      <c r="O393">
        <v>2711</v>
      </c>
      <c r="Q393" t="s">
        <v>3513</v>
      </c>
      <c r="T393">
        <v>8</v>
      </c>
      <c r="U393">
        <v>1.6</v>
      </c>
      <c r="V393">
        <v>0</v>
      </c>
      <c r="W393">
        <v>0</v>
      </c>
      <c r="X393">
        <v>0</v>
      </c>
      <c r="Y393">
        <v>0</v>
      </c>
      <c r="Z393">
        <v>0</v>
      </c>
      <c r="AA393">
        <v>0</v>
      </c>
      <c r="AB393">
        <v>0</v>
      </c>
      <c r="AC393">
        <v>0</v>
      </c>
      <c r="AD393">
        <v>0</v>
      </c>
      <c r="AE393">
        <v>0</v>
      </c>
      <c r="AF393">
        <v>0</v>
      </c>
      <c r="AG393">
        <v>0</v>
      </c>
      <c r="AH393">
        <v>0</v>
      </c>
      <c r="AI393">
        <v>0</v>
      </c>
      <c r="AJ393">
        <v>0</v>
      </c>
      <c r="AK393">
        <v>3</v>
      </c>
      <c r="AL393">
        <v>3</v>
      </c>
      <c r="AM393">
        <v>2</v>
      </c>
      <c r="AN393">
        <v>0</v>
      </c>
    </row>
    <row r="394" spans="1:40" x14ac:dyDescent="0.25">
      <c r="A394" t="s">
        <v>3514</v>
      </c>
      <c r="B394" t="s">
        <v>3515</v>
      </c>
      <c r="F394" t="s">
        <v>308</v>
      </c>
      <c r="G394" t="s">
        <v>2624</v>
      </c>
      <c r="H394">
        <v>2015</v>
      </c>
      <c r="I394">
        <v>48</v>
      </c>
      <c r="J394">
        <v>4</v>
      </c>
      <c r="N394">
        <v>1174</v>
      </c>
      <c r="O394">
        <v>1184</v>
      </c>
      <c r="Q394" t="s">
        <v>3516</v>
      </c>
      <c r="T394">
        <v>8</v>
      </c>
      <c r="U394">
        <v>1.6</v>
      </c>
      <c r="V394">
        <v>0</v>
      </c>
      <c r="W394">
        <v>0</v>
      </c>
      <c r="X394">
        <v>0</v>
      </c>
      <c r="Y394">
        <v>0</v>
      </c>
      <c r="Z394">
        <v>0</v>
      </c>
      <c r="AA394">
        <v>0</v>
      </c>
      <c r="AB394">
        <v>0</v>
      </c>
      <c r="AC394">
        <v>0</v>
      </c>
      <c r="AD394">
        <v>0</v>
      </c>
      <c r="AE394">
        <v>0</v>
      </c>
      <c r="AF394">
        <v>0</v>
      </c>
      <c r="AG394">
        <v>0</v>
      </c>
      <c r="AH394">
        <v>0</v>
      </c>
      <c r="AI394">
        <v>0</v>
      </c>
      <c r="AJ394">
        <v>0</v>
      </c>
      <c r="AK394">
        <v>1</v>
      </c>
      <c r="AL394">
        <v>2</v>
      </c>
      <c r="AM394">
        <v>4</v>
      </c>
      <c r="AN394">
        <v>1</v>
      </c>
    </row>
    <row r="395" spans="1:40" x14ac:dyDescent="0.25">
      <c r="A395" t="s">
        <v>3517</v>
      </c>
      <c r="B395" t="s">
        <v>3518</v>
      </c>
      <c r="F395" t="s">
        <v>308</v>
      </c>
      <c r="G395" t="s">
        <v>2661</v>
      </c>
      <c r="H395">
        <v>2014</v>
      </c>
      <c r="I395">
        <v>47</v>
      </c>
      <c r="J395">
        <v>8</v>
      </c>
      <c r="N395">
        <v>2721</v>
      </c>
      <c r="O395">
        <v>2731</v>
      </c>
      <c r="Q395" t="s">
        <v>3519</v>
      </c>
      <c r="T395">
        <v>8</v>
      </c>
      <c r="U395">
        <v>1.33</v>
      </c>
      <c r="V395">
        <v>0</v>
      </c>
      <c r="W395">
        <v>0</v>
      </c>
      <c r="X395">
        <v>0</v>
      </c>
      <c r="Y395">
        <v>0</v>
      </c>
      <c r="Z395">
        <v>0</v>
      </c>
      <c r="AA395">
        <v>0</v>
      </c>
      <c r="AB395">
        <v>0</v>
      </c>
      <c r="AC395">
        <v>0</v>
      </c>
      <c r="AD395">
        <v>0</v>
      </c>
      <c r="AE395">
        <v>0</v>
      </c>
      <c r="AF395">
        <v>0</v>
      </c>
      <c r="AG395">
        <v>0</v>
      </c>
      <c r="AH395">
        <v>0</v>
      </c>
      <c r="AI395">
        <v>0</v>
      </c>
      <c r="AJ395">
        <v>1</v>
      </c>
      <c r="AK395">
        <v>2</v>
      </c>
      <c r="AL395">
        <v>4</v>
      </c>
      <c r="AM395">
        <v>1</v>
      </c>
      <c r="AN395">
        <v>0</v>
      </c>
    </row>
    <row r="396" spans="1:40" x14ac:dyDescent="0.25">
      <c r="A396" t="s">
        <v>3520</v>
      </c>
      <c r="B396" t="s">
        <v>3521</v>
      </c>
      <c r="F396" t="s">
        <v>305</v>
      </c>
      <c r="G396" t="s">
        <v>3522</v>
      </c>
      <c r="H396">
        <v>2012</v>
      </c>
      <c r="I396">
        <v>33</v>
      </c>
      <c r="J396">
        <v>13</v>
      </c>
      <c r="N396">
        <v>1710</v>
      </c>
      <c r="O396">
        <v>1716</v>
      </c>
      <c r="Q396" t="s">
        <v>3523</v>
      </c>
      <c r="T396">
        <v>8</v>
      </c>
      <c r="U396">
        <v>1</v>
      </c>
      <c r="V396">
        <v>0</v>
      </c>
      <c r="W396">
        <v>0</v>
      </c>
      <c r="X396">
        <v>0</v>
      </c>
      <c r="Y396">
        <v>0</v>
      </c>
      <c r="Z396">
        <v>0</v>
      </c>
      <c r="AA396">
        <v>0</v>
      </c>
      <c r="AB396">
        <v>0</v>
      </c>
      <c r="AC396">
        <v>0</v>
      </c>
      <c r="AD396">
        <v>0</v>
      </c>
      <c r="AE396">
        <v>0</v>
      </c>
      <c r="AF396">
        <v>0</v>
      </c>
      <c r="AG396">
        <v>0</v>
      </c>
      <c r="AH396">
        <v>1</v>
      </c>
      <c r="AI396">
        <v>2</v>
      </c>
      <c r="AJ396">
        <v>4</v>
      </c>
      <c r="AK396">
        <v>0</v>
      </c>
      <c r="AL396">
        <v>0</v>
      </c>
      <c r="AM396">
        <v>0</v>
      </c>
      <c r="AN396">
        <v>1</v>
      </c>
    </row>
    <row r="397" spans="1:40" x14ac:dyDescent="0.25">
      <c r="A397" t="s">
        <v>3524</v>
      </c>
      <c r="B397" t="s">
        <v>3525</v>
      </c>
      <c r="F397" t="s">
        <v>300</v>
      </c>
      <c r="G397" t="s">
        <v>2626</v>
      </c>
      <c r="H397">
        <v>2012</v>
      </c>
      <c r="I397">
        <v>34</v>
      </c>
      <c r="J397">
        <v>9</v>
      </c>
      <c r="N397">
        <v>1842</v>
      </c>
      <c r="O397">
        <v>1855</v>
      </c>
      <c r="Q397" t="s">
        <v>3526</v>
      </c>
      <c r="T397">
        <v>8</v>
      </c>
      <c r="U397">
        <v>1</v>
      </c>
      <c r="V397">
        <v>0</v>
      </c>
      <c r="W397">
        <v>0</v>
      </c>
      <c r="X397">
        <v>0</v>
      </c>
      <c r="Y397">
        <v>0</v>
      </c>
      <c r="Z397">
        <v>0</v>
      </c>
      <c r="AA397">
        <v>0</v>
      </c>
      <c r="AB397">
        <v>0</v>
      </c>
      <c r="AC397">
        <v>0</v>
      </c>
      <c r="AD397">
        <v>0</v>
      </c>
      <c r="AE397">
        <v>0</v>
      </c>
      <c r="AF397">
        <v>0</v>
      </c>
      <c r="AG397">
        <v>0</v>
      </c>
      <c r="AH397">
        <v>1</v>
      </c>
      <c r="AI397">
        <v>3</v>
      </c>
      <c r="AJ397">
        <v>1</v>
      </c>
      <c r="AK397">
        <v>1</v>
      </c>
      <c r="AL397">
        <v>2</v>
      </c>
      <c r="AM397">
        <v>0</v>
      </c>
      <c r="AN397">
        <v>0</v>
      </c>
    </row>
    <row r="398" spans="1:40" x14ac:dyDescent="0.25">
      <c r="A398" t="s">
        <v>3527</v>
      </c>
      <c r="B398" t="s">
        <v>3528</v>
      </c>
      <c r="F398" t="s">
        <v>298</v>
      </c>
      <c r="G398" t="s">
        <v>3133</v>
      </c>
      <c r="H398">
        <v>2012</v>
      </c>
      <c r="I398">
        <v>116</v>
      </c>
      <c r="J398">
        <v>8</v>
      </c>
      <c r="N398">
        <v>922</v>
      </c>
      <c r="O398">
        <v>935</v>
      </c>
      <c r="Q398" t="s">
        <v>3529</v>
      </c>
      <c r="T398">
        <v>8</v>
      </c>
      <c r="U398">
        <v>1</v>
      </c>
      <c r="V398">
        <v>0</v>
      </c>
      <c r="W398">
        <v>0</v>
      </c>
      <c r="X398">
        <v>0</v>
      </c>
      <c r="Y398">
        <v>0</v>
      </c>
      <c r="Z398">
        <v>0</v>
      </c>
      <c r="AA398">
        <v>0</v>
      </c>
      <c r="AB398">
        <v>0</v>
      </c>
      <c r="AC398">
        <v>0</v>
      </c>
      <c r="AD398">
        <v>0</v>
      </c>
      <c r="AE398">
        <v>0</v>
      </c>
      <c r="AF398">
        <v>0</v>
      </c>
      <c r="AG398">
        <v>0</v>
      </c>
      <c r="AH398">
        <v>0</v>
      </c>
      <c r="AI398">
        <v>3</v>
      </c>
      <c r="AJ398">
        <v>1</v>
      </c>
      <c r="AK398">
        <v>1</v>
      </c>
      <c r="AL398">
        <v>1</v>
      </c>
      <c r="AM398">
        <v>2</v>
      </c>
      <c r="AN398">
        <v>0</v>
      </c>
    </row>
    <row r="399" spans="1:40" x14ac:dyDescent="0.25">
      <c r="A399" t="s">
        <v>3530</v>
      </c>
      <c r="B399" t="s">
        <v>3531</v>
      </c>
      <c r="F399" t="s">
        <v>302</v>
      </c>
      <c r="G399" t="s">
        <v>2657</v>
      </c>
      <c r="H399">
        <v>2012</v>
      </c>
      <c r="I399">
        <v>30</v>
      </c>
      <c r="J399" t="s">
        <v>3532</v>
      </c>
      <c r="N399">
        <v>279</v>
      </c>
      <c r="O399">
        <v>291</v>
      </c>
      <c r="Q399" t="s">
        <v>3533</v>
      </c>
      <c r="T399">
        <v>8</v>
      </c>
      <c r="U399">
        <v>1</v>
      </c>
      <c r="V399">
        <v>0</v>
      </c>
      <c r="W399">
        <v>0</v>
      </c>
      <c r="X399">
        <v>0</v>
      </c>
      <c r="Y399">
        <v>0</v>
      </c>
      <c r="Z399">
        <v>0</v>
      </c>
      <c r="AA399">
        <v>0</v>
      </c>
      <c r="AB399">
        <v>0</v>
      </c>
      <c r="AC399">
        <v>0</v>
      </c>
      <c r="AD399">
        <v>0</v>
      </c>
      <c r="AE399">
        <v>0</v>
      </c>
      <c r="AF399">
        <v>0</v>
      </c>
      <c r="AG399">
        <v>0</v>
      </c>
      <c r="AH399">
        <v>1</v>
      </c>
      <c r="AI399">
        <v>0</v>
      </c>
      <c r="AJ399">
        <v>2</v>
      </c>
      <c r="AK399">
        <v>1</v>
      </c>
      <c r="AL399">
        <v>3</v>
      </c>
      <c r="AM399">
        <v>1</v>
      </c>
      <c r="AN399">
        <v>0</v>
      </c>
    </row>
    <row r="400" spans="1:40" x14ac:dyDescent="0.25">
      <c r="A400" t="s">
        <v>3534</v>
      </c>
      <c r="B400" t="s">
        <v>3535</v>
      </c>
      <c r="F400" t="s">
        <v>300</v>
      </c>
      <c r="G400" t="s">
        <v>2487</v>
      </c>
      <c r="H400">
        <v>2011</v>
      </c>
      <c r="I400">
        <v>33</v>
      </c>
      <c r="J400">
        <v>9</v>
      </c>
      <c r="N400">
        <v>1713</v>
      </c>
      <c r="O400">
        <v>1727</v>
      </c>
      <c r="Q400" t="s">
        <v>3536</v>
      </c>
      <c r="T400">
        <v>8</v>
      </c>
      <c r="U400">
        <v>0.89</v>
      </c>
      <c r="V400">
        <v>0</v>
      </c>
      <c r="W400">
        <v>0</v>
      </c>
      <c r="X400">
        <v>0</v>
      </c>
      <c r="Y400">
        <v>0</v>
      </c>
      <c r="Z400">
        <v>0</v>
      </c>
      <c r="AA400">
        <v>0</v>
      </c>
      <c r="AB400">
        <v>0</v>
      </c>
      <c r="AC400">
        <v>0</v>
      </c>
      <c r="AD400">
        <v>0</v>
      </c>
      <c r="AE400">
        <v>0</v>
      </c>
      <c r="AF400">
        <v>0</v>
      </c>
      <c r="AG400">
        <v>0</v>
      </c>
      <c r="AH400">
        <v>2</v>
      </c>
      <c r="AI400">
        <v>1</v>
      </c>
      <c r="AJ400">
        <v>3</v>
      </c>
      <c r="AK400">
        <v>0</v>
      </c>
      <c r="AL400">
        <v>1</v>
      </c>
      <c r="AM400">
        <v>1</v>
      </c>
      <c r="AN400">
        <v>0</v>
      </c>
    </row>
    <row r="401" spans="1:40" x14ac:dyDescent="0.25">
      <c r="A401" t="s">
        <v>3537</v>
      </c>
      <c r="B401" t="s">
        <v>3538</v>
      </c>
      <c r="F401" t="s">
        <v>312</v>
      </c>
      <c r="G401" t="s">
        <v>2404</v>
      </c>
      <c r="H401">
        <v>2010</v>
      </c>
      <c r="I401">
        <v>5</v>
      </c>
      <c r="J401">
        <v>4</v>
      </c>
      <c r="M401" t="s">
        <v>1948</v>
      </c>
      <c r="N401">
        <v>245</v>
      </c>
      <c r="O401">
        <v>257</v>
      </c>
      <c r="Q401" t="s">
        <v>3539</v>
      </c>
      <c r="T401">
        <v>8</v>
      </c>
      <c r="U401">
        <v>0.8</v>
      </c>
      <c r="V401">
        <v>0</v>
      </c>
      <c r="W401">
        <v>0</v>
      </c>
      <c r="X401">
        <v>0</v>
      </c>
      <c r="Y401">
        <v>0</v>
      </c>
      <c r="Z401">
        <v>0</v>
      </c>
      <c r="AA401">
        <v>0</v>
      </c>
      <c r="AB401">
        <v>0</v>
      </c>
      <c r="AC401">
        <v>0</v>
      </c>
      <c r="AD401">
        <v>0</v>
      </c>
      <c r="AE401">
        <v>0</v>
      </c>
      <c r="AF401">
        <v>0</v>
      </c>
      <c r="AG401">
        <v>0</v>
      </c>
      <c r="AH401">
        <v>2</v>
      </c>
      <c r="AI401">
        <v>0</v>
      </c>
      <c r="AJ401">
        <v>3</v>
      </c>
      <c r="AK401">
        <v>1</v>
      </c>
      <c r="AL401">
        <v>0</v>
      </c>
      <c r="AM401">
        <v>2</v>
      </c>
      <c r="AN401">
        <v>0</v>
      </c>
    </row>
    <row r="402" spans="1:40" x14ac:dyDescent="0.25">
      <c r="A402" t="s">
        <v>3540</v>
      </c>
      <c r="B402" t="s">
        <v>3541</v>
      </c>
      <c r="F402" t="s">
        <v>311</v>
      </c>
      <c r="G402" t="s">
        <v>3542</v>
      </c>
      <c r="H402">
        <v>2009</v>
      </c>
      <c r="I402">
        <v>18</v>
      </c>
      <c r="J402">
        <v>11</v>
      </c>
      <c r="N402">
        <v>2562</v>
      </c>
      <c r="O402">
        <v>2571</v>
      </c>
      <c r="Q402" t="s">
        <v>3543</v>
      </c>
      <c r="T402">
        <v>8</v>
      </c>
      <c r="U402">
        <v>0.73</v>
      </c>
      <c r="V402">
        <v>0</v>
      </c>
      <c r="W402">
        <v>0</v>
      </c>
      <c r="X402">
        <v>0</v>
      </c>
      <c r="Y402">
        <v>0</v>
      </c>
      <c r="Z402">
        <v>0</v>
      </c>
      <c r="AA402">
        <v>0</v>
      </c>
      <c r="AB402">
        <v>0</v>
      </c>
      <c r="AC402">
        <v>0</v>
      </c>
      <c r="AD402">
        <v>0</v>
      </c>
      <c r="AE402">
        <v>0</v>
      </c>
      <c r="AF402">
        <v>2</v>
      </c>
      <c r="AG402">
        <v>1</v>
      </c>
      <c r="AH402">
        <v>1</v>
      </c>
      <c r="AI402">
        <v>0</v>
      </c>
      <c r="AJ402">
        <v>0</v>
      </c>
      <c r="AK402">
        <v>3</v>
      </c>
      <c r="AL402">
        <v>0</v>
      </c>
      <c r="AM402">
        <v>1</v>
      </c>
      <c r="AN402">
        <v>0</v>
      </c>
    </row>
    <row r="403" spans="1:40" x14ac:dyDescent="0.25">
      <c r="A403" t="s">
        <v>3544</v>
      </c>
      <c r="B403" t="s">
        <v>3545</v>
      </c>
      <c r="F403" t="s">
        <v>312</v>
      </c>
      <c r="G403" t="s">
        <v>2995</v>
      </c>
      <c r="H403">
        <v>2008</v>
      </c>
      <c r="I403">
        <v>3</v>
      </c>
      <c r="J403">
        <v>4</v>
      </c>
      <c r="N403">
        <v>233</v>
      </c>
      <c r="O403">
        <v>253</v>
      </c>
      <c r="Q403" t="s">
        <v>3546</v>
      </c>
      <c r="T403">
        <v>8</v>
      </c>
      <c r="U403">
        <v>0.67</v>
      </c>
      <c r="V403">
        <v>0</v>
      </c>
      <c r="W403">
        <v>0</v>
      </c>
      <c r="X403">
        <v>0</v>
      </c>
      <c r="Y403">
        <v>0</v>
      </c>
      <c r="Z403">
        <v>0</v>
      </c>
      <c r="AA403">
        <v>0</v>
      </c>
      <c r="AB403">
        <v>0</v>
      </c>
      <c r="AC403">
        <v>0</v>
      </c>
      <c r="AD403">
        <v>1</v>
      </c>
      <c r="AE403">
        <v>0</v>
      </c>
      <c r="AF403">
        <v>1</v>
      </c>
      <c r="AG403">
        <v>2</v>
      </c>
      <c r="AH403">
        <v>0</v>
      </c>
      <c r="AI403">
        <v>0</v>
      </c>
      <c r="AJ403">
        <v>1</v>
      </c>
      <c r="AK403">
        <v>0</v>
      </c>
      <c r="AL403">
        <v>2</v>
      </c>
      <c r="AM403">
        <v>1</v>
      </c>
      <c r="AN403">
        <v>0</v>
      </c>
    </row>
    <row r="404" spans="1:40" x14ac:dyDescent="0.25">
      <c r="A404" t="s">
        <v>1641</v>
      </c>
      <c r="B404" t="s">
        <v>1643</v>
      </c>
      <c r="F404" t="s">
        <v>306</v>
      </c>
      <c r="G404" t="s">
        <v>2762</v>
      </c>
      <c r="H404">
        <v>2008</v>
      </c>
      <c r="I404">
        <v>71</v>
      </c>
      <c r="J404" t="s">
        <v>3038</v>
      </c>
      <c r="N404">
        <v>2937</v>
      </c>
      <c r="O404">
        <v>2949</v>
      </c>
      <c r="Q404" t="s">
        <v>3547</v>
      </c>
      <c r="T404">
        <v>8</v>
      </c>
      <c r="U404">
        <v>0.67</v>
      </c>
      <c r="V404">
        <v>0</v>
      </c>
      <c r="W404">
        <v>0</v>
      </c>
      <c r="X404">
        <v>0</v>
      </c>
      <c r="Y404">
        <v>0</v>
      </c>
      <c r="Z404">
        <v>0</v>
      </c>
      <c r="AA404">
        <v>0</v>
      </c>
      <c r="AB404">
        <v>0</v>
      </c>
      <c r="AC404">
        <v>0</v>
      </c>
      <c r="AD404">
        <v>1</v>
      </c>
      <c r="AE404">
        <v>0</v>
      </c>
      <c r="AF404">
        <v>0</v>
      </c>
      <c r="AG404">
        <v>0</v>
      </c>
      <c r="AH404">
        <v>1</v>
      </c>
      <c r="AI404">
        <v>1</v>
      </c>
      <c r="AJ404">
        <v>2</v>
      </c>
      <c r="AK404">
        <v>1</v>
      </c>
      <c r="AL404">
        <v>2</v>
      </c>
      <c r="AM404">
        <v>0</v>
      </c>
      <c r="AN404">
        <v>0</v>
      </c>
    </row>
    <row r="405" spans="1:40" x14ac:dyDescent="0.25">
      <c r="A405" t="s">
        <v>1433</v>
      </c>
      <c r="B405" t="s">
        <v>1435</v>
      </c>
      <c r="F405" t="s">
        <v>302</v>
      </c>
      <c r="G405" t="s">
        <v>3548</v>
      </c>
      <c r="H405">
        <v>2006</v>
      </c>
      <c r="I405">
        <v>24</v>
      </c>
      <c r="J405">
        <v>6</v>
      </c>
      <c r="N405">
        <v>557</v>
      </c>
      <c r="O405">
        <v>563</v>
      </c>
      <c r="Q405" t="s">
        <v>3549</v>
      </c>
      <c r="T405">
        <v>8</v>
      </c>
      <c r="U405">
        <v>0.56999999999999995</v>
      </c>
      <c r="V405">
        <v>0</v>
      </c>
      <c r="W405">
        <v>0</v>
      </c>
      <c r="X405">
        <v>0</v>
      </c>
      <c r="Y405">
        <v>0</v>
      </c>
      <c r="Z405">
        <v>0</v>
      </c>
      <c r="AA405">
        <v>0</v>
      </c>
      <c r="AB405">
        <v>1</v>
      </c>
      <c r="AC405">
        <v>2</v>
      </c>
      <c r="AD405">
        <v>0</v>
      </c>
      <c r="AE405">
        <v>0</v>
      </c>
      <c r="AF405">
        <v>2</v>
      </c>
      <c r="AG405">
        <v>1</v>
      </c>
      <c r="AH405">
        <v>0</v>
      </c>
      <c r="AI405">
        <v>1</v>
      </c>
      <c r="AJ405">
        <v>0</v>
      </c>
      <c r="AK405">
        <v>0</v>
      </c>
      <c r="AL405">
        <v>0</v>
      </c>
      <c r="AM405">
        <v>1</v>
      </c>
      <c r="AN405">
        <v>0</v>
      </c>
    </row>
    <row r="406" spans="1:40" x14ac:dyDescent="0.25">
      <c r="A406" t="s">
        <v>3550</v>
      </c>
      <c r="B406" t="s">
        <v>3551</v>
      </c>
      <c r="F406" t="s">
        <v>300</v>
      </c>
      <c r="G406" t="s">
        <v>3552</v>
      </c>
      <c r="H406">
        <v>2006</v>
      </c>
      <c r="I406">
        <v>28</v>
      </c>
      <c r="J406">
        <v>2</v>
      </c>
      <c r="N406">
        <v>251</v>
      </c>
      <c r="O406">
        <v>264</v>
      </c>
      <c r="Q406" t="s">
        <v>3553</v>
      </c>
      <c r="T406">
        <v>8</v>
      </c>
      <c r="U406">
        <v>0.56999999999999995</v>
      </c>
      <c r="V406">
        <v>0</v>
      </c>
      <c r="W406">
        <v>0</v>
      </c>
      <c r="X406">
        <v>0</v>
      </c>
      <c r="Y406">
        <v>0</v>
      </c>
      <c r="Z406">
        <v>0</v>
      </c>
      <c r="AA406">
        <v>0</v>
      </c>
      <c r="AB406">
        <v>0</v>
      </c>
      <c r="AC406">
        <v>1</v>
      </c>
      <c r="AD406">
        <v>2</v>
      </c>
      <c r="AE406">
        <v>0</v>
      </c>
      <c r="AF406">
        <v>1</v>
      </c>
      <c r="AG406">
        <v>1</v>
      </c>
      <c r="AH406">
        <v>1</v>
      </c>
      <c r="AI406">
        <v>0</v>
      </c>
      <c r="AJ406">
        <v>0</v>
      </c>
      <c r="AK406">
        <v>0</v>
      </c>
      <c r="AL406">
        <v>1</v>
      </c>
      <c r="AM406">
        <v>1</v>
      </c>
      <c r="AN406">
        <v>0</v>
      </c>
    </row>
    <row r="407" spans="1:40" x14ac:dyDescent="0.25">
      <c r="A407" t="s">
        <v>3554</v>
      </c>
      <c r="B407" t="s">
        <v>3555</v>
      </c>
      <c r="F407" t="s">
        <v>342</v>
      </c>
      <c r="G407" t="s">
        <v>3556</v>
      </c>
      <c r="H407">
        <v>2005</v>
      </c>
      <c r="I407">
        <v>18</v>
      </c>
      <c r="J407" t="s">
        <v>2689</v>
      </c>
      <c r="N407">
        <v>566</v>
      </c>
      <c r="O407">
        <v>574</v>
      </c>
      <c r="Q407" t="s">
        <v>3557</v>
      </c>
      <c r="R407" t="s">
        <v>3558</v>
      </c>
      <c r="S407" t="s">
        <v>3559</v>
      </c>
      <c r="T407">
        <v>8</v>
      </c>
      <c r="U407">
        <v>0.53</v>
      </c>
      <c r="V407">
        <v>0</v>
      </c>
      <c r="W407">
        <v>0</v>
      </c>
      <c r="X407">
        <v>0</v>
      </c>
      <c r="Y407">
        <v>0</v>
      </c>
      <c r="Z407">
        <v>0</v>
      </c>
      <c r="AA407">
        <v>0</v>
      </c>
      <c r="AB407">
        <v>0</v>
      </c>
      <c r="AC407">
        <v>0</v>
      </c>
      <c r="AD407">
        <v>0</v>
      </c>
      <c r="AE407">
        <v>1</v>
      </c>
      <c r="AF407">
        <v>3</v>
      </c>
      <c r="AG407">
        <v>0</v>
      </c>
      <c r="AH407">
        <v>3</v>
      </c>
      <c r="AI407">
        <v>0</v>
      </c>
      <c r="AJ407">
        <v>0</v>
      </c>
      <c r="AK407">
        <v>0</v>
      </c>
      <c r="AL407">
        <v>1</v>
      </c>
      <c r="AM407">
        <v>0</v>
      </c>
      <c r="AN407">
        <v>0</v>
      </c>
    </row>
    <row r="408" spans="1:40" x14ac:dyDescent="0.25">
      <c r="A408" t="s">
        <v>1629</v>
      </c>
      <c r="B408" t="s">
        <v>1631</v>
      </c>
      <c r="F408" t="s">
        <v>341</v>
      </c>
      <c r="G408">
        <v>2005</v>
      </c>
      <c r="H408">
        <v>2005</v>
      </c>
      <c r="I408">
        <v>15</v>
      </c>
      <c r="J408">
        <v>3</v>
      </c>
      <c r="N408">
        <v>243</v>
      </c>
      <c r="O408">
        <v>255</v>
      </c>
      <c r="T408">
        <v>8</v>
      </c>
      <c r="U408">
        <v>0.53</v>
      </c>
      <c r="V408">
        <v>0</v>
      </c>
      <c r="W408">
        <v>0</v>
      </c>
      <c r="X408">
        <v>0</v>
      </c>
      <c r="Y408">
        <v>0</v>
      </c>
      <c r="Z408">
        <v>0</v>
      </c>
      <c r="AA408">
        <v>2</v>
      </c>
      <c r="AB408">
        <v>1</v>
      </c>
      <c r="AC408">
        <v>0</v>
      </c>
      <c r="AD408">
        <v>0</v>
      </c>
      <c r="AE408">
        <v>0</v>
      </c>
      <c r="AF408">
        <v>1</v>
      </c>
      <c r="AG408">
        <v>1</v>
      </c>
      <c r="AH408">
        <v>0</v>
      </c>
      <c r="AI408">
        <v>1</v>
      </c>
      <c r="AJ408">
        <v>1</v>
      </c>
      <c r="AK408">
        <v>1</v>
      </c>
      <c r="AL408">
        <v>0</v>
      </c>
      <c r="AM408">
        <v>0</v>
      </c>
      <c r="AN408">
        <v>0</v>
      </c>
    </row>
    <row r="409" spans="1:40" x14ac:dyDescent="0.25">
      <c r="A409" t="s">
        <v>3560</v>
      </c>
      <c r="B409" t="s">
        <v>3561</v>
      </c>
      <c r="E409" t="s">
        <v>3562</v>
      </c>
      <c r="F409" t="s">
        <v>3563</v>
      </c>
      <c r="G409">
        <v>2004</v>
      </c>
      <c r="H409">
        <v>2004</v>
      </c>
      <c r="I409">
        <v>3155</v>
      </c>
      <c r="N409">
        <v>375</v>
      </c>
      <c r="O409">
        <v>388</v>
      </c>
      <c r="R409" t="s">
        <v>3564</v>
      </c>
      <c r="S409" t="s">
        <v>3565</v>
      </c>
      <c r="T409">
        <v>8</v>
      </c>
      <c r="U409">
        <v>0.5</v>
      </c>
      <c r="V409">
        <v>0</v>
      </c>
      <c r="W409">
        <v>0</v>
      </c>
      <c r="X409">
        <v>0</v>
      </c>
      <c r="Y409">
        <v>0</v>
      </c>
      <c r="Z409">
        <v>1</v>
      </c>
      <c r="AA409">
        <v>1</v>
      </c>
      <c r="AB409">
        <v>1</v>
      </c>
      <c r="AC409">
        <v>2</v>
      </c>
      <c r="AD409">
        <v>0</v>
      </c>
      <c r="AE409">
        <v>1</v>
      </c>
      <c r="AF409">
        <v>0</v>
      </c>
      <c r="AG409">
        <v>0</v>
      </c>
      <c r="AH409">
        <v>0</v>
      </c>
      <c r="AI409">
        <v>1</v>
      </c>
      <c r="AJ409">
        <v>0</v>
      </c>
      <c r="AK409">
        <v>0</v>
      </c>
      <c r="AL409">
        <v>1</v>
      </c>
      <c r="AM409">
        <v>0</v>
      </c>
      <c r="AN409">
        <v>0</v>
      </c>
    </row>
    <row r="410" spans="1:40" x14ac:dyDescent="0.25">
      <c r="A410" t="s">
        <v>3566</v>
      </c>
      <c r="B410" t="s">
        <v>3567</v>
      </c>
      <c r="F410" t="s">
        <v>311</v>
      </c>
      <c r="G410" t="s">
        <v>3325</v>
      </c>
      <c r="H410">
        <v>2018</v>
      </c>
      <c r="I410">
        <v>27</v>
      </c>
      <c r="J410">
        <v>2</v>
      </c>
      <c r="N410">
        <v>568</v>
      </c>
      <c r="O410">
        <v>579</v>
      </c>
      <c r="Q410" t="s">
        <v>3568</v>
      </c>
      <c r="T410">
        <v>7</v>
      </c>
      <c r="U410">
        <v>3.5</v>
      </c>
      <c r="V410">
        <v>0</v>
      </c>
      <c r="W410">
        <v>0</v>
      </c>
      <c r="X410">
        <v>0</v>
      </c>
      <c r="Y410">
        <v>0</v>
      </c>
      <c r="Z410">
        <v>0</v>
      </c>
      <c r="AA410">
        <v>0</v>
      </c>
      <c r="AB410">
        <v>0</v>
      </c>
      <c r="AC410">
        <v>0</v>
      </c>
      <c r="AD410">
        <v>0</v>
      </c>
      <c r="AE410">
        <v>0</v>
      </c>
      <c r="AF410">
        <v>0</v>
      </c>
      <c r="AG410">
        <v>0</v>
      </c>
      <c r="AH410">
        <v>0</v>
      </c>
      <c r="AI410">
        <v>0</v>
      </c>
      <c r="AJ410">
        <v>0</v>
      </c>
      <c r="AK410">
        <v>0</v>
      </c>
      <c r="AL410">
        <v>0</v>
      </c>
      <c r="AM410">
        <v>3</v>
      </c>
      <c r="AN410">
        <v>4</v>
      </c>
    </row>
    <row r="411" spans="1:40" x14ac:dyDescent="0.25">
      <c r="A411" t="s">
        <v>1463</v>
      </c>
      <c r="B411" t="s">
        <v>1465</v>
      </c>
      <c r="F411" t="s">
        <v>302</v>
      </c>
      <c r="G411" t="s">
        <v>3354</v>
      </c>
      <c r="H411">
        <v>2017</v>
      </c>
      <c r="I411">
        <v>65</v>
      </c>
      <c r="M411" t="s">
        <v>1948</v>
      </c>
      <c r="N411">
        <v>3</v>
      </c>
      <c r="O411">
        <v>14</v>
      </c>
      <c r="Q411" t="s">
        <v>3569</v>
      </c>
      <c r="T411">
        <v>7</v>
      </c>
      <c r="U411">
        <v>2.33</v>
      </c>
      <c r="V411">
        <v>0</v>
      </c>
      <c r="W411">
        <v>0</v>
      </c>
      <c r="X411">
        <v>0</v>
      </c>
      <c r="Y411">
        <v>0</v>
      </c>
      <c r="Z411">
        <v>0</v>
      </c>
      <c r="AA411">
        <v>0</v>
      </c>
      <c r="AB411">
        <v>0</v>
      </c>
      <c r="AC411">
        <v>0</v>
      </c>
      <c r="AD411">
        <v>0</v>
      </c>
      <c r="AE411">
        <v>0</v>
      </c>
      <c r="AF411">
        <v>0</v>
      </c>
      <c r="AG411">
        <v>0</v>
      </c>
      <c r="AH411">
        <v>0</v>
      </c>
      <c r="AI411">
        <v>0</v>
      </c>
      <c r="AJ411">
        <v>0</v>
      </c>
      <c r="AK411">
        <v>0</v>
      </c>
      <c r="AL411">
        <v>0</v>
      </c>
      <c r="AM411">
        <v>5</v>
      </c>
      <c r="AN411">
        <v>2</v>
      </c>
    </row>
    <row r="412" spans="1:40" x14ac:dyDescent="0.25">
      <c r="A412" t="s">
        <v>3570</v>
      </c>
      <c r="B412" t="s">
        <v>3571</v>
      </c>
      <c r="F412" t="s">
        <v>305</v>
      </c>
      <c r="G412" t="s">
        <v>3572</v>
      </c>
      <c r="H412">
        <v>2017</v>
      </c>
      <c r="I412">
        <v>96</v>
      </c>
      <c r="M412" t="s">
        <v>1948</v>
      </c>
      <c r="N412">
        <v>55</v>
      </c>
      <c r="O412">
        <v>65</v>
      </c>
      <c r="Q412" t="s">
        <v>3573</v>
      </c>
      <c r="T412">
        <v>7</v>
      </c>
      <c r="U412">
        <v>2.33</v>
      </c>
      <c r="V412">
        <v>0</v>
      </c>
      <c r="W412">
        <v>0</v>
      </c>
      <c r="X412">
        <v>0</v>
      </c>
      <c r="Y412">
        <v>0</v>
      </c>
      <c r="Z412">
        <v>0</v>
      </c>
      <c r="AA412">
        <v>0</v>
      </c>
      <c r="AB412">
        <v>0</v>
      </c>
      <c r="AC412">
        <v>0</v>
      </c>
      <c r="AD412">
        <v>0</v>
      </c>
      <c r="AE412">
        <v>0</v>
      </c>
      <c r="AF412">
        <v>0</v>
      </c>
      <c r="AG412">
        <v>0</v>
      </c>
      <c r="AH412">
        <v>0</v>
      </c>
      <c r="AI412">
        <v>0</v>
      </c>
      <c r="AJ412">
        <v>0</v>
      </c>
      <c r="AK412">
        <v>0</v>
      </c>
      <c r="AL412">
        <v>1</v>
      </c>
      <c r="AM412">
        <v>5</v>
      </c>
      <c r="AN412">
        <v>1</v>
      </c>
    </row>
    <row r="413" spans="1:40" x14ac:dyDescent="0.25">
      <c r="A413" t="s">
        <v>3574</v>
      </c>
      <c r="B413" t="s">
        <v>3575</v>
      </c>
      <c r="F413" t="s">
        <v>303</v>
      </c>
      <c r="G413" t="s">
        <v>3576</v>
      </c>
      <c r="H413">
        <v>2016</v>
      </c>
      <c r="I413">
        <v>119</v>
      </c>
      <c r="J413">
        <v>2</v>
      </c>
      <c r="N413">
        <v>159</v>
      </c>
      <c r="O413">
        <v>178</v>
      </c>
      <c r="Q413" t="s">
        <v>3577</v>
      </c>
      <c r="T413">
        <v>7</v>
      </c>
      <c r="U413">
        <v>1.75</v>
      </c>
      <c r="V413">
        <v>0</v>
      </c>
      <c r="W413">
        <v>0</v>
      </c>
      <c r="X413">
        <v>0</v>
      </c>
      <c r="Y413">
        <v>0</v>
      </c>
      <c r="Z413">
        <v>0</v>
      </c>
      <c r="AA413">
        <v>0</v>
      </c>
      <c r="AB413">
        <v>0</v>
      </c>
      <c r="AC413">
        <v>0</v>
      </c>
      <c r="AD413">
        <v>0</v>
      </c>
      <c r="AE413">
        <v>0</v>
      </c>
      <c r="AF413">
        <v>0</v>
      </c>
      <c r="AG413">
        <v>0</v>
      </c>
      <c r="AH413">
        <v>0</v>
      </c>
      <c r="AI413">
        <v>0</v>
      </c>
      <c r="AJ413">
        <v>0</v>
      </c>
      <c r="AK413">
        <v>0</v>
      </c>
      <c r="AL413">
        <v>2</v>
      </c>
      <c r="AM413">
        <v>3</v>
      </c>
      <c r="AN413">
        <v>2</v>
      </c>
    </row>
    <row r="414" spans="1:40" x14ac:dyDescent="0.25">
      <c r="A414" t="s">
        <v>3578</v>
      </c>
      <c r="B414" t="s">
        <v>3579</v>
      </c>
      <c r="F414" t="s">
        <v>298</v>
      </c>
      <c r="G414" t="s">
        <v>2778</v>
      </c>
      <c r="H414">
        <v>2016</v>
      </c>
      <c r="I414">
        <v>147</v>
      </c>
      <c r="N414">
        <v>114</v>
      </c>
      <c r="O414">
        <v>124</v>
      </c>
      <c r="Q414" t="s">
        <v>3580</v>
      </c>
      <c r="T414">
        <v>7</v>
      </c>
      <c r="U414">
        <v>1.75</v>
      </c>
      <c r="V414">
        <v>0</v>
      </c>
      <c r="W414">
        <v>0</v>
      </c>
      <c r="X414">
        <v>0</v>
      </c>
      <c r="Y414">
        <v>0</v>
      </c>
      <c r="Z414">
        <v>0</v>
      </c>
      <c r="AA414">
        <v>0</v>
      </c>
      <c r="AB414">
        <v>0</v>
      </c>
      <c r="AC414">
        <v>0</v>
      </c>
      <c r="AD414">
        <v>0</v>
      </c>
      <c r="AE414">
        <v>0</v>
      </c>
      <c r="AF414">
        <v>0</v>
      </c>
      <c r="AG414">
        <v>0</v>
      </c>
      <c r="AH414">
        <v>0</v>
      </c>
      <c r="AI414">
        <v>0</v>
      </c>
      <c r="AJ414">
        <v>0</v>
      </c>
      <c r="AK414">
        <v>0</v>
      </c>
      <c r="AL414">
        <v>5</v>
      </c>
      <c r="AM414">
        <v>2</v>
      </c>
      <c r="AN414">
        <v>0</v>
      </c>
    </row>
    <row r="415" spans="1:40" x14ac:dyDescent="0.25">
      <c r="A415" t="s">
        <v>3581</v>
      </c>
      <c r="B415" t="s">
        <v>3582</v>
      </c>
      <c r="F415" t="s">
        <v>306</v>
      </c>
      <c r="G415" t="s">
        <v>3583</v>
      </c>
      <c r="H415">
        <v>2016</v>
      </c>
      <c r="I415">
        <v>182</v>
      </c>
      <c r="N415">
        <v>48</v>
      </c>
      <c r="O415">
        <v>55</v>
      </c>
      <c r="Q415" t="s">
        <v>3584</v>
      </c>
      <c r="T415">
        <v>7</v>
      </c>
      <c r="U415">
        <v>1.75</v>
      </c>
      <c r="V415">
        <v>0</v>
      </c>
      <c r="W415">
        <v>0</v>
      </c>
      <c r="X415">
        <v>0</v>
      </c>
      <c r="Y415">
        <v>0</v>
      </c>
      <c r="Z415">
        <v>0</v>
      </c>
      <c r="AA415">
        <v>0</v>
      </c>
      <c r="AB415">
        <v>0</v>
      </c>
      <c r="AC415">
        <v>0</v>
      </c>
      <c r="AD415">
        <v>0</v>
      </c>
      <c r="AE415">
        <v>0</v>
      </c>
      <c r="AF415">
        <v>0</v>
      </c>
      <c r="AG415">
        <v>0</v>
      </c>
      <c r="AH415">
        <v>0</v>
      </c>
      <c r="AI415">
        <v>0</v>
      </c>
      <c r="AJ415">
        <v>0</v>
      </c>
      <c r="AK415">
        <v>0</v>
      </c>
      <c r="AL415">
        <v>4</v>
      </c>
      <c r="AM415">
        <v>3</v>
      </c>
      <c r="AN415">
        <v>0</v>
      </c>
    </row>
    <row r="416" spans="1:40" x14ac:dyDescent="0.25">
      <c r="A416" t="s">
        <v>3585</v>
      </c>
      <c r="B416" t="s">
        <v>3586</v>
      </c>
      <c r="F416" t="s">
        <v>323</v>
      </c>
      <c r="G416" t="s">
        <v>3587</v>
      </c>
      <c r="H416">
        <v>2016</v>
      </c>
      <c r="I416">
        <v>24</v>
      </c>
      <c r="J416">
        <v>1</v>
      </c>
      <c r="N416">
        <v>143</v>
      </c>
      <c r="O416">
        <v>182</v>
      </c>
      <c r="Q416" t="s">
        <v>3588</v>
      </c>
      <c r="T416">
        <v>7</v>
      </c>
      <c r="U416">
        <v>1.75</v>
      </c>
      <c r="V416">
        <v>0</v>
      </c>
      <c r="W416">
        <v>0</v>
      </c>
      <c r="X416">
        <v>0</v>
      </c>
      <c r="Y416">
        <v>0</v>
      </c>
      <c r="Z416">
        <v>0</v>
      </c>
      <c r="AA416">
        <v>0</v>
      </c>
      <c r="AB416">
        <v>0</v>
      </c>
      <c r="AC416">
        <v>0</v>
      </c>
      <c r="AD416">
        <v>0</v>
      </c>
      <c r="AE416">
        <v>0</v>
      </c>
      <c r="AF416">
        <v>0</v>
      </c>
      <c r="AG416">
        <v>0</v>
      </c>
      <c r="AH416">
        <v>0</v>
      </c>
      <c r="AI416">
        <v>0</v>
      </c>
      <c r="AJ416">
        <v>0</v>
      </c>
      <c r="AK416">
        <v>1</v>
      </c>
      <c r="AL416">
        <v>5</v>
      </c>
      <c r="AM416">
        <v>0</v>
      </c>
      <c r="AN416">
        <v>1</v>
      </c>
    </row>
    <row r="417" spans="1:40" x14ac:dyDescent="0.25">
      <c r="A417" t="s">
        <v>3589</v>
      </c>
      <c r="B417" t="s">
        <v>3590</v>
      </c>
      <c r="F417" t="s">
        <v>306</v>
      </c>
      <c r="G417" t="s">
        <v>2924</v>
      </c>
      <c r="H417">
        <v>2016</v>
      </c>
      <c r="I417">
        <v>177</v>
      </c>
      <c r="N417">
        <v>290</v>
      </c>
      <c r="O417">
        <v>303</v>
      </c>
      <c r="Q417" t="s">
        <v>3591</v>
      </c>
      <c r="T417">
        <v>7</v>
      </c>
      <c r="U417">
        <v>1.75</v>
      </c>
      <c r="V417">
        <v>0</v>
      </c>
      <c r="W417">
        <v>0</v>
      </c>
      <c r="X417">
        <v>0</v>
      </c>
      <c r="Y417">
        <v>0</v>
      </c>
      <c r="Z417">
        <v>0</v>
      </c>
      <c r="AA417">
        <v>0</v>
      </c>
      <c r="AB417">
        <v>0</v>
      </c>
      <c r="AC417">
        <v>0</v>
      </c>
      <c r="AD417">
        <v>0</v>
      </c>
      <c r="AE417">
        <v>0</v>
      </c>
      <c r="AF417">
        <v>0</v>
      </c>
      <c r="AG417">
        <v>0</v>
      </c>
      <c r="AH417">
        <v>0</v>
      </c>
      <c r="AI417">
        <v>0</v>
      </c>
      <c r="AJ417">
        <v>0</v>
      </c>
      <c r="AK417">
        <v>0</v>
      </c>
      <c r="AL417">
        <v>1</v>
      </c>
      <c r="AM417">
        <v>5</v>
      </c>
      <c r="AN417">
        <v>1</v>
      </c>
    </row>
    <row r="418" spans="1:40" x14ac:dyDescent="0.25">
      <c r="A418" t="s">
        <v>3592</v>
      </c>
      <c r="B418" t="s">
        <v>3593</v>
      </c>
      <c r="F418" t="s">
        <v>308</v>
      </c>
      <c r="G418" t="s">
        <v>2561</v>
      </c>
      <c r="H418">
        <v>2015</v>
      </c>
      <c r="I418">
        <v>48</v>
      </c>
      <c r="J418">
        <v>9</v>
      </c>
      <c r="N418">
        <v>2772</v>
      </c>
      <c r="O418">
        <v>2784</v>
      </c>
      <c r="Q418" t="s">
        <v>3594</v>
      </c>
      <c r="T418">
        <v>7</v>
      </c>
      <c r="U418">
        <v>1.4</v>
      </c>
      <c r="V418">
        <v>0</v>
      </c>
      <c r="W418">
        <v>0</v>
      </c>
      <c r="X418">
        <v>0</v>
      </c>
      <c r="Y418">
        <v>0</v>
      </c>
      <c r="Z418">
        <v>0</v>
      </c>
      <c r="AA418">
        <v>0</v>
      </c>
      <c r="AB418">
        <v>0</v>
      </c>
      <c r="AC418">
        <v>0</v>
      </c>
      <c r="AD418">
        <v>0</v>
      </c>
      <c r="AE418">
        <v>0</v>
      </c>
      <c r="AF418">
        <v>0</v>
      </c>
      <c r="AG418">
        <v>0</v>
      </c>
      <c r="AH418">
        <v>0</v>
      </c>
      <c r="AI418">
        <v>0</v>
      </c>
      <c r="AJ418">
        <v>0</v>
      </c>
      <c r="AK418">
        <v>2</v>
      </c>
      <c r="AL418">
        <v>1</v>
      </c>
      <c r="AM418">
        <v>3</v>
      </c>
      <c r="AN418">
        <v>1</v>
      </c>
    </row>
    <row r="419" spans="1:40" x14ac:dyDescent="0.25">
      <c r="A419" t="s">
        <v>3595</v>
      </c>
      <c r="B419" t="s">
        <v>3596</v>
      </c>
      <c r="F419" t="s">
        <v>306</v>
      </c>
      <c r="G419" t="s">
        <v>3597</v>
      </c>
      <c r="H419">
        <v>2015</v>
      </c>
      <c r="I419">
        <v>150</v>
      </c>
      <c r="K419" t="s">
        <v>3099</v>
      </c>
      <c r="M419" t="s">
        <v>1948</v>
      </c>
      <c r="N419">
        <v>227</v>
      </c>
      <c r="O419">
        <v>237</v>
      </c>
      <c r="Q419" t="s">
        <v>3598</v>
      </c>
      <c r="R419" t="s">
        <v>3599</v>
      </c>
      <c r="S419" t="s">
        <v>3600</v>
      </c>
      <c r="T419">
        <v>7</v>
      </c>
      <c r="U419">
        <v>1.4</v>
      </c>
      <c r="V419">
        <v>0</v>
      </c>
      <c r="W419">
        <v>0</v>
      </c>
      <c r="X419">
        <v>0</v>
      </c>
      <c r="Y419">
        <v>0</v>
      </c>
      <c r="Z419">
        <v>0</v>
      </c>
      <c r="AA419">
        <v>0</v>
      </c>
      <c r="AB419">
        <v>0</v>
      </c>
      <c r="AC419">
        <v>0</v>
      </c>
      <c r="AD419">
        <v>0</v>
      </c>
      <c r="AE419">
        <v>0</v>
      </c>
      <c r="AF419">
        <v>0</v>
      </c>
      <c r="AG419">
        <v>0</v>
      </c>
      <c r="AH419">
        <v>0</v>
      </c>
      <c r="AI419">
        <v>0</v>
      </c>
      <c r="AJ419">
        <v>2</v>
      </c>
      <c r="AK419">
        <v>2</v>
      </c>
      <c r="AL419">
        <v>3</v>
      </c>
      <c r="AM419">
        <v>0</v>
      </c>
      <c r="AN419">
        <v>0</v>
      </c>
    </row>
    <row r="420" spans="1:40" x14ac:dyDescent="0.25">
      <c r="A420" t="s">
        <v>3601</v>
      </c>
      <c r="B420" t="s">
        <v>3602</v>
      </c>
      <c r="F420" t="s">
        <v>302</v>
      </c>
      <c r="G420" t="s">
        <v>2831</v>
      </c>
      <c r="H420">
        <v>2014</v>
      </c>
      <c r="I420">
        <v>32</v>
      </c>
      <c r="J420">
        <v>12</v>
      </c>
      <c r="N420">
        <v>1102</v>
      </c>
      <c r="O420">
        <v>1116</v>
      </c>
      <c r="Q420" t="s">
        <v>3603</v>
      </c>
      <c r="T420">
        <v>7</v>
      </c>
      <c r="U420">
        <v>1.17</v>
      </c>
      <c r="V420">
        <v>0</v>
      </c>
      <c r="W420">
        <v>0</v>
      </c>
      <c r="X420">
        <v>0</v>
      </c>
      <c r="Y420">
        <v>0</v>
      </c>
      <c r="Z420">
        <v>0</v>
      </c>
      <c r="AA420">
        <v>0</v>
      </c>
      <c r="AB420">
        <v>0</v>
      </c>
      <c r="AC420">
        <v>0</v>
      </c>
      <c r="AD420">
        <v>0</v>
      </c>
      <c r="AE420">
        <v>0</v>
      </c>
      <c r="AF420">
        <v>0</v>
      </c>
      <c r="AG420">
        <v>0</v>
      </c>
      <c r="AH420">
        <v>0</v>
      </c>
      <c r="AI420">
        <v>0</v>
      </c>
      <c r="AJ420">
        <v>1</v>
      </c>
      <c r="AK420">
        <v>2</v>
      </c>
      <c r="AL420">
        <v>2</v>
      </c>
      <c r="AM420">
        <v>2</v>
      </c>
      <c r="AN420">
        <v>0</v>
      </c>
    </row>
    <row r="421" spans="1:40" x14ac:dyDescent="0.25">
      <c r="A421" t="s">
        <v>3604</v>
      </c>
      <c r="B421" t="s">
        <v>3605</v>
      </c>
      <c r="F421" t="s">
        <v>333</v>
      </c>
      <c r="G421" t="s">
        <v>2831</v>
      </c>
      <c r="H421">
        <v>2014</v>
      </c>
      <c r="I421">
        <v>28</v>
      </c>
      <c r="J421">
        <v>8</v>
      </c>
      <c r="P421">
        <v>1455010</v>
      </c>
      <c r="Q421" t="s">
        <v>3606</v>
      </c>
      <c r="T421">
        <v>7</v>
      </c>
      <c r="U421">
        <v>1.17</v>
      </c>
      <c r="V421">
        <v>0</v>
      </c>
      <c r="W421">
        <v>0</v>
      </c>
      <c r="X421">
        <v>0</v>
      </c>
      <c r="Y421">
        <v>0</v>
      </c>
      <c r="Z421">
        <v>0</v>
      </c>
      <c r="AA421">
        <v>0</v>
      </c>
      <c r="AB421">
        <v>0</v>
      </c>
      <c r="AC421">
        <v>0</v>
      </c>
      <c r="AD421">
        <v>0</v>
      </c>
      <c r="AE421">
        <v>0</v>
      </c>
      <c r="AF421">
        <v>0</v>
      </c>
      <c r="AG421">
        <v>0</v>
      </c>
      <c r="AH421">
        <v>0</v>
      </c>
      <c r="AI421">
        <v>0</v>
      </c>
      <c r="AJ421">
        <v>1</v>
      </c>
      <c r="AK421">
        <v>1</v>
      </c>
      <c r="AL421">
        <v>2</v>
      </c>
      <c r="AM421">
        <v>2</v>
      </c>
      <c r="AN421">
        <v>1</v>
      </c>
    </row>
    <row r="422" spans="1:40" x14ac:dyDescent="0.25">
      <c r="A422" t="s">
        <v>3607</v>
      </c>
      <c r="B422" t="s">
        <v>3608</v>
      </c>
      <c r="F422" t="s">
        <v>311</v>
      </c>
      <c r="G422" t="s">
        <v>2661</v>
      </c>
      <c r="H422">
        <v>2014</v>
      </c>
      <c r="I422">
        <v>23</v>
      </c>
      <c r="J422">
        <v>8</v>
      </c>
      <c r="N422">
        <v>3468</v>
      </c>
      <c r="O422">
        <v>3477</v>
      </c>
      <c r="Q422" t="s">
        <v>3609</v>
      </c>
      <c r="T422">
        <v>7</v>
      </c>
      <c r="U422">
        <v>1.17</v>
      </c>
      <c r="V422">
        <v>0</v>
      </c>
      <c r="W422">
        <v>0</v>
      </c>
      <c r="X422">
        <v>0</v>
      </c>
      <c r="Y422">
        <v>0</v>
      </c>
      <c r="Z422">
        <v>0</v>
      </c>
      <c r="AA422">
        <v>0</v>
      </c>
      <c r="AB422">
        <v>0</v>
      </c>
      <c r="AC422">
        <v>0</v>
      </c>
      <c r="AD422">
        <v>0</v>
      </c>
      <c r="AE422">
        <v>0</v>
      </c>
      <c r="AF422">
        <v>0</v>
      </c>
      <c r="AG422">
        <v>0</v>
      </c>
      <c r="AH422">
        <v>0</v>
      </c>
      <c r="AI422">
        <v>0</v>
      </c>
      <c r="AJ422">
        <v>2</v>
      </c>
      <c r="AK422">
        <v>4</v>
      </c>
      <c r="AL422">
        <v>0</v>
      </c>
      <c r="AM422">
        <v>1</v>
      </c>
      <c r="AN422">
        <v>0</v>
      </c>
    </row>
    <row r="423" spans="1:40" x14ac:dyDescent="0.25">
      <c r="A423" t="s">
        <v>3610</v>
      </c>
      <c r="B423" t="s">
        <v>3611</v>
      </c>
      <c r="F423" t="s">
        <v>308</v>
      </c>
      <c r="G423" t="s">
        <v>2555</v>
      </c>
      <c r="H423">
        <v>2014</v>
      </c>
      <c r="I423">
        <v>47</v>
      </c>
      <c r="J423">
        <v>2</v>
      </c>
      <c r="N423">
        <v>899</v>
      </c>
      <c r="O423">
        <v>913</v>
      </c>
      <c r="Q423" t="s">
        <v>3612</v>
      </c>
      <c r="T423">
        <v>7</v>
      </c>
      <c r="U423">
        <v>1.17</v>
      </c>
      <c r="V423">
        <v>0</v>
      </c>
      <c r="W423">
        <v>0</v>
      </c>
      <c r="X423">
        <v>0</v>
      </c>
      <c r="Y423">
        <v>0</v>
      </c>
      <c r="Z423">
        <v>0</v>
      </c>
      <c r="AA423">
        <v>0</v>
      </c>
      <c r="AB423">
        <v>0</v>
      </c>
      <c r="AC423">
        <v>0</v>
      </c>
      <c r="AD423">
        <v>0</v>
      </c>
      <c r="AE423">
        <v>0</v>
      </c>
      <c r="AF423">
        <v>0</v>
      </c>
      <c r="AG423">
        <v>0</v>
      </c>
      <c r="AH423">
        <v>0</v>
      </c>
      <c r="AI423">
        <v>0</v>
      </c>
      <c r="AJ423">
        <v>0</v>
      </c>
      <c r="AK423">
        <v>3</v>
      </c>
      <c r="AL423">
        <v>2</v>
      </c>
      <c r="AM423">
        <v>2</v>
      </c>
      <c r="AN423">
        <v>0</v>
      </c>
    </row>
    <row r="424" spans="1:40" x14ac:dyDescent="0.25">
      <c r="A424" t="s">
        <v>3613</v>
      </c>
      <c r="B424" t="s">
        <v>3614</v>
      </c>
      <c r="F424" t="s">
        <v>311</v>
      </c>
      <c r="G424" t="s">
        <v>2566</v>
      </c>
      <c r="H424">
        <v>2013</v>
      </c>
      <c r="I424">
        <v>22</v>
      </c>
      <c r="J424">
        <v>11</v>
      </c>
      <c r="N424">
        <v>4182</v>
      </c>
      <c r="O424">
        <v>4194</v>
      </c>
      <c r="Q424" t="s">
        <v>3615</v>
      </c>
      <c r="T424">
        <v>7</v>
      </c>
      <c r="U424">
        <v>1</v>
      </c>
      <c r="V424">
        <v>0</v>
      </c>
      <c r="W424">
        <v>0</v>
      </c>
      <c r="X424">
        <v>0</v>
      </c>
      <c r="Y424">
        <v>0</v>
      </c>
      <c r="Z424">
        <v>0</v>
      </c>
      <c r="AA424">
        <v>0</v>
      </c>
      <c r="AB424">
        <v>0</v>
      </c>
      <c r="AC424">
        <v>0</v>
      </c>
      <c r="AD424">
        <v>0</v>
      </c>
      <c r="AE424">
        <v>0</v>
      </c>
      <c r="AF424">
        <v>0</v>
      </c>
      <c r="AG424">
        <v>0</v>
      </c>
      <c r="AH424">
        <v>0</v>
      </c>
      <c r="AI424">
        <v>0</v>
      </c>
      <c r="AJ424">
        <v>1</v>
      </c>
      <c r="AK424">
        <v>3</v>
      </c>
      <c r="AL424">
        <v>2</v>
      </c>
      <c r="AM424">
        <v>1</v>
      </c>
      <c r="AN424">
        <v>0</v>
      </c>
    </row>
    <row r="425" spans="1:40" x14ac:dyDescent="0.25">
      <c r="A425" t="s">
        <v>3616</v>
      </c>
      <c r="B425" t="s">
        <v>3617</v>
      </c>
      <c r="F425" t="s">
        <v>305</v>
      </c>
      <c r="G425" t="s">
        <v>3618</v>
      </c>
      <c r="H425">
        <v>2013</v>
      </c>
      <c r="I425">
        <v>34</v>
      </c>
      <c r="J425">
        <v>15</v>
      </c>
      <c r="M425" t="s">
        <v>1948</v>
      </c>
      <c r="N425">
        <v>1849</v>
      </c>
      <c r="O425">
        <v>1860</v>
      </c>
      <c r="Q425" t="s">
        <v>3619</v>
      </c>
      <c r="T425">
        <v>7</v>
      </c>
      <c r="U425">
        <v>1</v>
      </c>
      <c r="V425">
        <v>0</v>
      </c>
      <c r="W425">
        <v>0</v>
      </c>
      <c r="X425">
        <v>0</v>
      </c>
      <c r="Y425">
        <v>0</v>
      </c>
      <c r="Z425">
        <v>0</v>
      </c>
      <c r="AA425">
        <v>0</v>
      </c>
      <c r="AB425">
        <v>0</v>
      </c>
      <c r="AC425">
        <v>0</v>
      </c>
      <c r="AD425">
        <v>0</v>
      </c>
      <c r="AE425">
        <v>0</v>
      </c>
      <c r="AF425">
        <v>0</v>
      </c>
      <c r="AG425">
        <v>0</v>
      </c>
      <c r="AH425">
        <v>0</v>
      </c>
      <c r="AI425">
        <v>1</v>
      </c>
      <c r="AJ425">
        <v>0</v>
      </c>
      <c r="AK425">
        <v>4</v>
      </c>
      <c r="AL425">
        <v>1</v>
      </c>
      <c r="AM425">
        <v>1</v>
      </c>
      <c r="AN425">
        <v>0</v>
      </c>
    </row>
    <row r="426" spans="1:40" x14ac:dyDescent="0.25">
      <c r="A426" t="s">
        <v>3620</v>
      </c>
      <c r="B426" t="s">
        <v>3621</v>
      </c>
      <c r="F426" t="s">
        <v>308</v>
      </c>
      <c r="G426" t="s">
        <v>2566</v>
      </c>
      <c r="H426">
        <v>2013</v>
      </c>
      <c r="I426">
        <v>46</v>
      </c>
      <c r="J426">
        <v>11</v>
      </c>
      <c r="N426">
        <v>2860</v>
      </c>
      <c r="O426">
        <v>2873</v>
      </c>
      <c r="Q426" t="s">
        <v>3622</v>
      </c>
      <c r="T426">
        <v>7</v>
      </c>
      <c r="U426">
        <v>1</v>
      </c>
      <c r="V426">
        <v>0</v>
      </c>
      <c r="W426">
        <v>0</v>
      </c>
      <c r="X426">
        <v>0</v>
      </c>
      <c r="Y426">
        <v>0</v>
      </c>
      <c r="Z426">
        <v>0</v>
      </c>
      <c r="AA426">
        <v>0</v>
      </c>
      <c r="AB426">
        <v>0</v>
      </c>
      <c r="AC426">
        <v>0</v>
      </c>
      <c r="AD426">
        <v>0</v>
      </c>
      <c r="AE426">
        <v>0</v>
      </c>
      <c r="AF426">
        <v>0</v>
      </c>
      <c r="AG426">
        <v>0</v>
      </c>
      <c r="AH426">
        <v>0</v>
      </c>
      <c r="AI426">
        <v>1</v>
      </c>
      <c r="AJ426">
        <v>2</v>
      </c>
      <c r="AK426">
        <v>2</v>
      </c>
      <c r="AL426">
        <v>1</v>
      </c>
      <c r="AM426">
        <v>0</v>
      </c>
      <c r="AN426">
        <v>1</v>
      </c>
    </row>
    <row r="427" spans="1:40" x14ac:dyDescent="0.25">
      <c r="A427" t="s">
        <v>3623</v>
      </c>
      <c r="B427" t="s">
        <v>3624</v>
      </c>
      <c r="F427" t="s">
        <v>305</v>
      </c>
      <c r="G427" t="s">
        <v>3625</v>
      </c>
      <c r="H427">
        <v>2013</v>
      </c>
      <c r="I427">
        <v>34</v>
      </c>
      <c r="J427">
        <v>7</v>
      </c>
      <c r="M427" t="s">
        <v>1948</v>
      </c>
      <c r="N427">
        <v>744</v>
      </c>
      <c r="O427">
        <v>753</v>
      </c>
      <c r="Q427" t="s">
        <v>3626</v>
      </c>
      <c r="T427">
        <v>7</v>
      </c>
      <c r="U427">
        <v>1</v>
      </c>
      <c r="V427">
        <v>0</v>
      </c>
      <c r="W427">
        <v>0</v>
      </c>
      <c r="X427">
        <v>0</v>
      </c>
      <c r="Y427">
        <v>0</v>
      </c>
      <c r="Z427">
        <v>0</v>
      </c>
      <c r="AA427">
        <v>0</v>
      </c>
      <c r="AB427">
        <v>0</v>
      </c>
      <c r="AC427">
        <v>0</v>
      </c>
      <c r="AD427">
        <v>0</v>
      </c>
      <c r="AE427">
        <v>0</v>
      </c>
      <c r="AF427">
        <v>0</v>
      </c>
      <c r="AG427">
        <v>0</v>
      </c>
      <c r="AH427">
        <v>2</v>
      </c>
      <c r="AI427">
        <v>0</v>
      </c>
      <c r="AJ427">
        <v>2</v>
      </c>
      <c r="AK427">
        <v>3</v>
      </c>
      <c r="AL427">
        <v>0</v>
      </c>
      <c r="AM427">
        <v>0</v>
      </c>
      <c r="AN427">
        <v>0</v>
      </c>
    </row>
    <row r="428" spans="1:40" x14ac:dyDescent="0.25">
      <c r="A428" t="s">
        <v>1410</v>
      </c>
      <c r="B428" t="s">
        <v>1412</v>
      </c>
      <c r="F428" t="s">
        <v>310</v>
      </c>
      <c r="G428" t="s">
        <v>3627</v>
      </c>
      <c r="H428">
        <v>2012</v>
      </c>
      <c r="I428">
        <v>6</v>
      </c>
      <c r="J428">
        <v>4</v>
      </c>
      <c r="N428">
        <v>296</v>
      </c>
      <c r="O428">
        <v>305</v>
      </c>
      <c r="Q428" t="s">
        <v>3628</v>
      </c>
      <c r="T428">
        <v>7</v>
      </c>
      <c r="U428">
        <v>0.88</v>
      </c>
      <c r="V428">
        <v>0</v>
      </c>
      <c r="W428">
        <v>0</v>
      </c>
      <c r="X428">
        <v>0</v>
      </c>
      <c r="Y428">
        <v>0</v>
      </c>
      <c r="Z428">
        <v>0</v>
      </c>
      <c r="AA428">
        <v>0</v>
      </c>
      <c r="AB428">
        <v>0</v>
      </c>
      <c r="AC428">
        <v>0</v>
      </c>
      <c r="AD428">
        <v>0</v>
      </c>
      <c r="AE428">
        <v>0</v>
      </c>
      <c r="AF428">
        <v>0</v>
      </c>
      <c r="AG428">
        <v>0</v>
      </c>
      <c r="AH428">
        <v>1</v>
      </c>
      <c r="AI428">
        <v>0</v>
      </c>
      <c r="AJ428">
        <v>2</v>
      </c>
      <c r="AK428">
        <v>3</v>
      </c>
      <c r="AL428">
        <v>0</v>
      </c>
      <c r="AM428">
        <v>1</v>
      </c>
      <c r="AN428">
        <v>0</v>
      </c>
    </row>
    <row r="429" spans="1:40" x14ac:dyDescent="0.25">
      <c r="A429" t="s">
        <v>3629</v>
      </c>
      <c r="B429" t="s">
        <v>3630</v>
      </c>
      <c r="F429" t="s">
        <v>298</v>
      </c>
      <c r="G429" t="s">
        <v>2504</v>
      </c>
      <c r="H429">
        <v>2011</v>
      </c>
      <c r="I429">
        <v>115</v>
      </c>
      <c r="J429">
        <v>10</v>
      </c>
      <c r="N429">
        <v>1427</v>
      </c>
      <c r="O429">
        <v>1448</v>
      </c>
      <c r="Q429" t="s">
        <v>3631</v>
      </c>
      <c r="T429">
        <v>7</v>
      </c>
      <c r="U429">
        <v>0.78</v>
      </c>
      <c r="V429">
        <v>0</v>
      </c>
      <c r="W429">
        <v>0</v>
      </c>
      <c r="X429">
        <v>0</v>
      </c>
      <c r="Y429">
        <v>0</v>
      </c>
      <c r="Z429">
        <v>0</v>
      </c>
      <c r="AA429">
        <v>0</v>
      </c>
      <c r="AB429">
        <v>0</v>
      </c>
      <c r="AC429">
        <v>0</v>
      </c>
      <c r="AD429">
        <v>0</v>
      </c>
      <c r="AE429">
        <v>0</v>
      </c>
      <c r="AF429">
        <v>0</v>
      </c>
      <c r="AG429">
        <v>2</v>
      </c>
      <c r="AH429">
        <v>1</v>
      </c>
      <c r="AI429">
        <v>2</v>
      </c>
      <c r="AJ429">
        <v>1</v>
      </c>
      <c r="AK429">
        <v>0</v>
      </c>
      <c r="AL429">
        <v>1</v>
      </c>
      <c r="AM429">
        <v>0</v>
      </c>
      <c r="AN429">
        <v>0</v>
      </c>
    </row>
    <row r="430" spans="1:40" x14ac:dyDescent="0.25">
      <c r="A430" t="s">
        <v>3632</v>
      </c>
      <c r="B430" t="s">
        <v>3633</v>
      </c>
      <c r="F430" t="s">
        <v>305</v>
      </c>
      <c r="G430" t="s">
        <v>3634</v>
      </c>
      <c r="H430">
        <v>2010</v>
      </c>
      <c r="I430">
        <v>31</v>
      </c>
      <c r="J430">
        <v>9</v>
      </c>
      <c r="N430">
        <v>891</v>
      </c>
      <c r="O430">
        <v>897</v>
      </c>
      <c r="Q430" t="s">
        <v>3635</v>
      </c>
      <c r="T430">
        <v>7</v>
      </c>
      <c r="U430">
        <v>0.7</v>
      </c>
      <c r="V430">
        <v>0</v>
      </c>
      <c r="W430">
        <v>0</v>
      </c>
      <c r="X430">
        <v>0</v>
      </c>
      <c r="Y430">
        <v>0</v>
      </c>
      <c r="Z430">
        <v>0</v>
      </c>
      <c r="AA430">
        <v>0</v>
      </c>
      <c r="AB430">
        <v>0</v>
      </c>
      <c r="AC430">
        <v>0</v>
      </c>
      <c r="AD430">
        <v>0</v>
      </c>
      <c r="AE430">
        <v>0</v>
      </c>
      <c r="AF430">
        <v>1</v>
      </c>
      <c r="AG430">
        <v>1</v>
      </c>
      <c r="AH430">
        <v>1</v>
      </c>
      <c r="AI430">
        <v>0</v>
      </c>
      <c r="AJ430">
        <v>0</v>
      </c>
      <c r="AK430">
        <v>1</v>
      </c>
      <c r="AL430">
        <v>2</v>
      </c>
      <c r="AM430">
        <v>1</v>
      </c>
      <c r="AN430">
        <v>0</v>
      </c>
    </row>
    <row r="431" spans="1:40" x14ac:dyDescent="0.25">
      <c r="A431" t="s">
        <v>3636</v>
      </c>
      <c r="B431" t="s">
        <v>3637</v>
      </c>
      <c r="F431" t="s">
        <v>311</v>
      </c>
      <c r="G431" t="s">
        <v>2645</v>
      </c>
      <c r="H431">
        <v>2007</v>
      </c>
      <c r="I431">
        <v>16</v>
      </c>
      <c r="J431">
        <v>7</v>
      </c>
      <c r="N431">
        <v>1840</v>
      </c>
      <c r="O431">
        <v>1853</v>
      </c>
      <c r="Q431" t="s">
        <v>3638</v>
      </c>
      <c r="T431">
        <v>7</v>
      </c>
      <c r="U431">
        <v>0.54</v>
      </c>
      <c r="V431">
        <v>0</v>
      </c>
      <c r="W431">
        <v>0</v>
      </c>
      <c r="X431">
        <v>0</v>
      </c>
      <c r="Y431">
        <v>0</v>
      </c>
      <c r="Z431">
        <v>0</v>
      </c>
      <c r="AA431">
        <v>0</v>
      </c>
      <c r="AB431">
        <v>0</v>
      </c>
      <c r="AC431">
        <v>1</v>
      </c>
      <c r="AD431">
        <v>1</v>
      </c>
      <c r="AE431">
        <v>1</v>
      </c>
      <c r="AF431">
        <v>0</v>
      </c>
      <c r="AG431">
        <v>0</v>
      </c>
      <c r="AH431">
        <v>3</v>
      </c>
      <c r="AI431">
        <v>0</v>
      </c>
      <c r="AJ431">
        <v>0</v>
      </c>
      <c r="AK431">
        <v>0</v>
      </c>
      <c r="AL431">
        <v>0</v>
      </c>
      <c r="AM431">
        <v>1</v>
      </c>
      <c r="AN431">
        <v>0</v>
      </c>
    </row>
    <row r="432" spans="1:40" x14ac:dyDescent="0.25">
      <c r="A432" t="s">
        <v>3639</v>
      </c>
      <c r="B432" t="s">
        <v>3640</v>
      </c>
      <c r="E432" t="s">
        <v>3641</v>
      </c>
      <c r="F432" t="s">
        <v>3642</v>
      </c>
      <c r="G432">
        <v>2005</v>
      </c>
      <c r="H432">
        <v>2005</v>
      </c>
      <c r="I432">
        <v>3537</v>
      </c>
      <c r="N432">
        <v>417</v>
      </c>
      <c r="O432">
        <v>428</v>
      </c>
      <c r="R432" t="s">
        <v>3643</v>
      </c>
      <c r="S432" t="s">
        <v>3644</v>
      </c>
      <c r="T432">
        <v>7</v>
      </c>
      <c r="U432">
        <v>0.47</v>
      </c>
      <c r="V432">
        <v>0</v>
      </c>
      <c r="W432">
        <v>0</v>
      </c>
      <c r="X432">
        <v>0</v>
      </c>
      <c r="Y432">
        <v>0</v>
      </c>
      <c r="Z432">
        <v>0</v>
      </c>
      <c r="AA432">
        <v>0</v>
      </c>
      <c r="AB432">
        <v>1</v>
      </c>
      <c r="AC432">
        <v>0</v>
      </c>
      <c r="AD432">
        <v>0</v>
      </c>
      <c r="AE432">
        <v>0</v>
      </c>
      <c r="AF432">
        <v>1</v>
      </c>
      <c r="AG432">
        <v>1</v>
      </c>
      <c r="AH432">
        <v>0</v>
      </c>
      <c r="AI432">
        <v>1</v>
      </c>
      <c r="AJ432">
        <v>1</v>
      </c>
      <c r="AK432">
        <v>0</v>
      </c>
      <c r="AL432">
        <v>0</v>
      </c>
      <c r="AM432">
        <v>2</v>
      </c>
      <c r="AN432">
        <v>0</v>
      </c>
    </row>
    <row r="433" spans="1:40" x14ac:dyDescent="0.25">
      <c r="A433" t="s">
        <v>1602</v>
      </c>
      <c r="B433" t="s">
        <v>1604</v>
      </c>
      <c r="F433" t="s">
        <v>315</v>
      </c>
      <c r="G433" t="s">
        <v>3645</v>
      </c>
      <c r="H433">
        <v>2004</v>
      </c>
      <c r="I433">
        <v>16</v>
      </c>
      <c r="J433">
        <v>1</v>
      </c>
      <c r="N433">
        <v>59</v>
      </c>
      <c r="O433">
        <v>63</v>
      </c>
      <c r="Q433" t="s">
        <v>3646</v>
      </c>
      <c r="R433" t="s">
        <v>3647</v>
      </c>
      <c r="S433" t="s">
        <v>3648</v>
      </c>
      <c r="T433">
        <v>7</v>
      </c>
      <c r="U433">
        <v>0.44</v>
      </c>
      <c r="V433">
        <v>0</v>
      </c>
      <c r="W433">
        <v>0</v>
      </c>
      <c r="X433">
        <v>0</v>
      </c>
      <c r="Y433">
        <v>0</v>
      </c>
      <c r="Z433">
        <v>0</v>
      </c>
      <c r="AA433">
        <v>0</v>
      </c>
      <c r="AB433">
        <v>1</v>
      </c>
      <c r="AC433">
        <v>4</v>
      </c>
      <c r="AD433">
        <v>0</v>
      </c>
      <c r="AE433">
        <v>0</v>
      </c>
      <c r="AF433">
        <v>0</v>
      </c>
      <c r="AG433">
        <v>1</v>
      </c>
      <c r="AH433">
        <v>0</v>
      </c>
      <c r="AI433">
        <v>0</v>
      </c>
      <c r="AJ433">
        <v>0</v>
      </c>
      <c r="AK433">
        <v>1</v>
      </c>
      <c r="AL433">
        <v>0</v>
      </c>
      <c r="AM433">
        <v>0</v>
      </c>
      <c r="AN433">
        <v>0</v>
      </c>
    </row>
    <row r="434" spans="1:40" x14ac:dyDescent="0.25">
      <c r="A434" t="s">
        <v>3649</v>
      </c>
      <c r="B434" t="s">
        <v>3650</v>
      </c>
      <c r="F434" t="s">
        <v>339</v>
      </c>
      <c r="G434" t="s">
        <v>3651</v>
      </c>
      <c r="H434">
        <v>2004</v>
      </c>
      <c r="I434">
        <v>20</v>
      </c>
      <c r="J434" t="s">
        <v>2439</v>
      </c>
      <c r="N434">
        <v>133</v>
      </c>
      <c r="O434">
        <v>146</v>
      </c>
      <c r="Q434" t="s">
        <v>3652</v>
      </c>
      <c r="R434" t="s">
        <v>3653</v>
      </c>
      <c r="S434" t="s">
        <v>3654</v>
      </c>
      <c r="T434">
        <v>7</v>
      </c>
      <c r="U434">
        <v>0.44</v>
      </c>
      <c r="V434">
        <v>0</v>
      </c>
      <c r="W434">
        <v>0</v>
      </c>
      <c r="X434">
        <v>0</v>
      </c>
      <c r="Y434">
        <v>0</v>
      </c>
      <c r="Z434">
        <v>0</v>
      </c>
      <c r="AA434">
        <v>0</v>
      </c>
      <c r="AB434">
        <v>1</v>
      </c>
      <c r="AC434">
        <v>0</v>
      </c>
      <c r="AD434">
        <v>0</v>
      </c>
      <c r="AE434">
        <v>0</v>
      </c>
      <c r="AF434">
        <v>2</v>
      </c>
      <c r="AG434">
        <v>2</v>
      </c>
      <c r="AH434">
        <v>0</v>
      </c>
      <c r="AI434">
        <v>1</v>
      </c>
      <c r="AJ434">
        <v>1</v>
      </c>
      <c r="AK434">
        <v>0</v>
      </c>
      <c r="AL434">
        <v>0</v>
      </c>
      <c r="AM434">
        <v>0</v>
      </c>
      <c r="AN434">
        <v>0</v>
      </c>
    </row>
    <row r="435" spans="1:40" x14ac:dyDescent="0.25">
      <c r="A435" t="s">
        <v>3655</v>
      </c>
      <c r="B435" t="s">
        <v>3656</v>
      </c>
      <c r="F435" t="s">
        <v>342</v>
      </c>
      <c r="G435" t="s">
        <v>3657</v>
      </c>
      <c r="H435">
        <v>2003</v>
      </c>
      <c r="I435">
        <v>16</v>
      </c>
      <c r="J435" t="s">
        <v>3658</v>
      </c>
      <c r="N435">
        <v>411</v>
      </c>
      <c r="O435">
        <v>417</v>
      </c>
      <c r="Q435" t="s">
        <v>3659</v>
      </c>
      <c r="T435">
        <v>7</v>
      </c>
      <c r="U435">
        <v>0.41</v>
      </c>
      <c r="V435">
        <v>0</v>
      </c>
      <c r="W435">
        <v>0</v>
      </c>
      <c r="X435">
        <v>0</v>
      </c>
      <c r="Y435">
        <v>2</v>
      </c>
      <c r="Z435">
        <v>0</v>
      </c>
      <c r="AA435">
        <v>0</v>
      </c>
      <c r="AB435">
        <v>0</v>
      </c>
      <c r="AC435">
        <v>1</v>
      </c>
      <c r="AD435">
        <v>0</v>
      </c>
      <c r="AE435">
        <v>1</v>
      </c>
      <c r="AF435">
        <v>1</v>
      </c>
      <c r="AG435">
        <v>1</v>
      </c>
      <c r="AH435">
        <v>0</v>
      </c>
      <c r="AI435">
        <v>1</v>
      </c>
      <c r="AJ435">
        <v>0</v>
      </c>
      <c r="AK435">
        <v>0</v>
      </c>
      <c r="AL435">
        <v>0</v>
      </c>
      <c r="AM435">
        <v>0</v>
      </c>
      <c r="AN435">
        <v>0</v>
      </c>
    </row>
    <row r="436" spans="1:40" x14ac:dyDescent="0.25">
      <c r="A436" t="s">
        <v>3660</v>
      </c>
      <c r="B436" t="s">
        <v>3661</v>
      </c>
      <c r="F436" t="s">
        <v>302</v>
      </c>
      <c r="G436" t="s">
        <v>3662</v>
      </c>
      <c r="H436">
        <v>2002</v>
      </c>
      <c r="I436">
        <v>20</v>
      </c>
      <c r="J436">
        <v>11</v>
      </c>
      <c r="N436">
        <v>769</v>
      </c>
      <c r="O436">
        <v>781</v>
      </c>
      <c r="P436" t="s">
        <v>3663</v>
      </c>
      <c r="Q436" t="s">
        <v>3664</v>
      </c>
      <c r="T436">
        <v>7</v>
      </c>
      <c r="U436">
        <v>0.39</v>
      </c>
      <c r="V436">
        <v>0</v>
      </c>
      <c r="W436">
        <v>0</v>
      </c>
      <c r="X436">
        <v>1</v>
      </c>
      <c r="Y436">
        <v>0</v>
      </c>
      <c r="Z436">
        <v>1</v>
      </c>
      <c r="AA436">
        <v>0</v>
      </c>
      <c r="AB436">
        <v>2</v>
      </c>
      <c r="AC436">
        <v>1</v>
      </c>
      <c r="AD436">
        <v>0</v>
      </c>
      <c r="AE436">
        <v>1</v>
      </c>
      <c r="AF436">
        <v>0</v>
      </c>
      <c r="AG436">
        <v>0</v>
      </c>
      <c r="AH436">
        <v>0</v>
      </c>
      <c r="AI436">
        <v>1</v>
      </c>
      <c r="AJ436">
        <v>0</v>
      </c>
      <c r="AK436">
        <v>0</v>
      </c>
      <c r="AL436">
        <v>0</v>
      </c>
      <c r="AM436">
        <v>0</v>
      </c>
      <c r="AN436">
        <v>0</v>
      </c>
    </row>
    <row r="437" spans="1:40" x14ac:dyDescent="0.25">
      <c r="A437" t="s">
        <v>3665</v>
      </c>
      <c r="B437" t="s">
        <v>3666</v>
      </c>
      <c r="F437" t="s">
        <v>346</v>
      </c>
      <c r="G437" t="s">
        <v>3667</v>
      </c>
      <c r="H437">
        <v>2001</v>
      </c>
      <c r="I437">
        <v>34</v>
      </c>
      <c r="J437" t="s">
        <v>2396</v>
      </c>
      <c r="N437">
        <v>83</v>
      </c>
      <c r="O437">
        <v>92</v>
      </c>
      <c r="Q437" t="s">
        <v>3668</v>
      </c>
      <c r="R437" t="s">
        <v>3669</v>
      </c>
      <c r="S437" t="s">
        <v>3670</v>
      </c>
      <c r="T437">
        <v>7</v>
      </c>
      <c r="U437">
        <v>0.37</v>
      </c>
      <c r="V437">
        <v>0</v>
      </c>
      <c r="W437">
        <v>0</v>
      </c>
      <c r="X437">
        <v>1</v>
      </c>
      <c r="Y437">
        <v>1</v>
      </c>
      <c r="Z437">
        <v>1</v>
      </c>
      <c r="AA437">
        <v>3</v>
      </c>
      <c r="AB437">
        <v>0</v>
      </c>
      <c r="AC437">
        <v>0</v>
      </c>
      <c r="AD437">
        <v>0</v>
      </c>
      <c r="AE437">
        <v>1</v>
      </c>
      <c r="AF437">
        <v>0</v>
      </c>
      <c r="AG437">
        <v>0</v>
      </c>
      <c r="AH437">
        <v>0</v>
      </c>
      <c r="AI437">
        <v>0</v>
      </c>
      <c r="AJ437">
        <v>0</v>
      </c>
      <c r="AK437">
        <v>0</v>
      </c>
      <c r="AL437">
        <v>0</v>
      </c>
      <c r="AM437">
        <v>0</v>
      </c>
      <c r="AN437">
        <v>0</v>
      </c>
    </row>
    <row r="438" spans="1:40" x14ac:dyDescent="0.25">
      <c r="A438" t="s">
        <v>3671</v>
      </c>
      <c r="B438" t="s">
        <v>3672</v>
      </c>
      <c r="F438" t="s">
        <v>306</v>
      </c>
      <c r="G438" t="s">
        <v>3673</v>
      </c>
      <c r="H438">
        <v>2018</v>
      </c>
      <c r="I438">
        <v>272</v>
      </c>
      <c r="N438">
        <v>647</v>
      </c>
      <c r="O438">
        <v>659</v>
      </c>
      <c r="Q438" t="s">
        <v>3674</v>
      </c>
      <c r="T438">
        <v>6</v>
      </c>
      <c r="U438">
        <v>3</v>
      </c>
      <c r="V438">
        <v>0</v>
      </c>
      <c r="W438">
        <v>0</v>
      </c>
      <c r="X438">
        <v>0</v>
      </c>
      <c r="Y438">
        <v>0</v>
      </c>
      <c r="Z438">
        <v>0</v>
      </c>
      <c r="AA438">
        <v>0</v>
      </c>
      <c r="AB438">
        <v>0</v>
      </c>
      <c r="AC438">
        <v>0</v>
      </c>
      <c r="AD438">
        <v>0</v>
      </c>
      <c r="AE438">
        <v>0</v>
      </c>
      <c r="AF438">
        <v>0</v>
      </c>
      <c r="AG438">
        <v>0</v>
      </c>
      <c r="AH438">
        <v>0</v>
      </c>
      <c r="AI438">
        <v>0</v>
      </c>
      <c r="AJ438">
        <v>0</v>
      </c>
      <c r="AK438">
        <v>0</v>
      </c>
      <c r="AL438">
        <v>0</v>
      </c>
      <c r="AM438">
        <v>5</v>
      </c>
      <c r="AN438">
        <v>1</v>
      </c>
    </row>
    <row r="439" spans="1:40" x14ac:dyDescent="0.25">
      <c r="A439" t="s">
        <v>1290</v>
      </c>
      <c r="B439" t="s">
        <v>1292</v>
      </c>
      <c r="F439" t="s">
        <v>313</v>
      </c>
      <c r="G439" t="s">
        <v>3675</v>
      </c>
      <c r="H439">
        <v>2018</v>
      </c>
      <c r="I439">
        <v>91</v>
      </c>
      <c r="N439">
        <v>480</v>
      </c>
      <c r="O439">
        <v>491</v>
      </c>
      <c r="Q439" t="s">
        <v>3676</v>
      </c>
      <c r="T439">
        <v>6</v>
      </c>
      <c r="U439">
        <v>3</v>
      </c>
      <c r="V439">
        <v>0</v>
      </c>
      <c r="W439">
        <v>0</v>
      </c>
      <c r="X439">
        <v>0</v>
      </c>
      <c r="Y439">
        <v>0</v>
      </c>
      <c r="Z439">
        <v>0</v>
      </c>
      <c r="AA439">
        <v>0</v>
      </c>
      <c r="AB439">
        <v>0</v>
      </c>
      <c r="AC439">
        <v>0</v>
      </c>
      <c r="AD439">
        <v>0</v>
      </c>
      <c r="AE439">
        <v>0</v>
      </c>
      <c r="AF439">
        <v>0</v>
      </c>
      <c r="AG439">
        <v>0</v>
      </c>
      <c r="AH439">
        <v>0</v>
      </c>
      <c r="AI439">
        <v>0</v>
      </c>
      <c r="AJ439">
        <v>0</v>
      </c>
      <c r="AK439">
        <v>0</v>
      </c>
      <c r="AL439">
        <v>0</v>
      </c>
      <c r="AM439">
        <v>4</v>
      </c>
      <c r="AN439">
        <v>2</v>
      </c>
    </row>
    <row r="440" spans="1:40" x14ac:dyDescent="0.25">
      <c r="A440" t="s">
        <v>3677</v>
      </c>
      <c r="B440" t="s">
        <v>3678</v>
      </c>
      <c r="F440" t="s">
        <v>311</v>
      </c>
      <c r="G440" t="s">
        <v>3675</v>
      </c>
      <c r="H440">
        <v>2018</v>
      </c>
      <c r="I440">
        <v>27</v>
      </c>
      <c r="J440">
        <v>1</v>
      </c>
      <c r="N440">
        <v>432</v>
      </c>
      <c r="O440">
        <v>441</v>
      </c>
      <c r="Q440" t="s">
        <v>3679</v>
      </c>
      <c r="T440">
        <v>6</v>
      </c>
      <c r="U440">
        <v>3</v>
      </c>
      <c r="V440">
        <v>0</v>
      </c>
      <c r="W440">
        <v>0</v>
      </c>
      <c r="X440">
        <v>0</v>
      </c>
      <c r="Y440">
        <v>0</v>
      </c>
      <c r="Z440">
        <v>0</v>
      </c>
      <c r="AA440">
        <v>0</v>
      </c>
      <c r="AB440">
        <v>0</v>
      </c>
      <c r="AC440">
        <v>0</v>
      </c>
      <c r="AD440">
        <v>0</v>
      </c>
      <c r="AE440">
        <v>0</v>
      </c>
      <c r="AF440">
        <v>0</v>
      </c>
      <c r="AG440">
        <v>0</v>
      </c>
      <c r="AH440">
        <v>0</v>
      </c>
      <c r="AI440">
        <v>0</v>
      </c>
      <c r="AJ440">
        <v>0</v>
      </c>
      <c r="AK440">
        <v>0</v>
      </c>
      <c r="AL440">
        <v>0</v>
      </c>
      <c r="AM440">
        <v>5</v>
      </c>
      <c r="AN440">
        <v>1</v>
      </c>
    </row>
    <row r="441" spans="1:40" x14ac:dyDescent="0.25">
      <c r="A441" t="s">
        <v>1596</v>
      </c>
      <c r="B441" t="s">
        <v>1598</v>
      </c>
      <c r="F441" t="s">
        <v>315</v>
      </c>
      <c r="G441" t="s">
        <v>2553</v>
      </c>
      <c r="H441">
        <v>2017</v>
      </c>
      <c r="I441">
        <v>28</v>
      </c>
      <c r="J441" t="s">
        <v>3658</v>
      </c>
      <c r="N441">
        <v>361</v>
      </c>
      <c r="O441">
        <v>371</v>
      </c>
      <c r="Q441" t="s">
        <v>3680</v>
      </c>
      <c r="T441">
        <v>6</v>
      </c>
      <c r="U441">
        <v>2</v>
      </c>
      <c r="V441">
        <v>0</v>
      </c>
      <c r="W441">
        <v>0</v>
      </c>
      <c r="X441">
        <v>0</v>
      </c>
      <c r="Y441">
        <v>0</v>
      </c>
      <c r="Z441">
        <v>0</v>
      </c>
      <c r="AA441">
        <v>0</v>
      </c>
      <c r="AB441">
        <v>0</v>
      </c>
      <c r="AC441">
        <v>0</v>
      </c>
      <c r="AD441">
        <v>0</v>
      </c>
      <c r="AE441">
        <v>0</v>
      </c>
      <c r="AF441">
        <v>0</v>
      </c>
      <c r="AG441">
        <v>0</v>
      </c>
      <c r="AH441">
        <v>0</v>
      </c>
      <c r="AI441">
        <v>0</v>
      </c>
      <c r="AJ441">
        <v>0</v>
      </c>
      <c r="AK441">
        <v>0</v>
      </c>
      <c r="AL441">
        <v>1</v>
      </c>
      <c r="AM441">
        <v>5</v>
      </c>
      <c r="AN441">
        <v>0</v>
      </c>
    </row>
    <row r="442" spans="1:40" x14ac:dyDescent="0.25">
      <c r="A442" t="s">
        <v>3681</v>
      </c>
      <c r="B442" t="s">
        <v>3682</v>
      </c>
      <c r="F442" t="s">
        <v>306</v>
      </c>
      <c r="G442" t="s">
        <v>3683</v>
      </c>
      <c r="H442">
        <v>2017</v>
      </c>
      <c r="I442">
        <v>222</v>
      </c>
      <c r="N442">
        <v>81</v>
      </c>
      <c r="O442">
        <v>90</v>
      </c>
      <c r="Q442" t="s">
        <v>3684</v>
      </c>
      <c r="T442">
        <v>6</v>
      </c>
      <c r="U442">
        <v>2</v>
      </c>
      <c r="V442">
        <v>0</v>
      </c>
      <c r="W442">
        <v>0</v>
      </c>
      <c r="X442">
        <v>0</v>
      </c>
      <c r="Y442">
        <v>0</v>
      </c>
      <c r="Z442">
        <v>0</v>
      </c>
      <c r="AA442">
        <v>0</v>
      </c>
      <c r="AB442">
        <v>0</v>
      </c>
      <c r="AC442">
        <v>0</v>
      </c>
      <c r="AD442">
        <v>0</v>
      </c>
      <c r="AE442">
        <v>0</v>
      </c>
      <c r="AF442">
        <v>0</v>
      </c>
      <c r="AG442">
        <v>0</v>
      </c>
      <c r="AH442">
        <v>0</v>
      </c>
      <c r="AI442">
        <v>0</v>
      </c>
      <c r="AJ442">
        <v>0</v>
      </c>
      <c r="AK442">
        <v>0</v>
      </c>
      <c r="AL442">
        <v>2</v>
      </c>
      <c r="AM442">
        <v>4</v>
      </c>
      <c r="AN442">
        <v>0</v>
      </c>
    </row>
    <row r="443" spans="1:40" x14ac:dyDescent="0.25">
      <c r="A443" t="s">
        <v>1014</v>
      </c>
      <c r="B443" t="s">
        <v>1016</v>
      </c>
      <c r="F443" t="s">
        <v>301</v>
      </c>
      <c r="G443" t="s">
        <v>3576</v>
      </c>
      <c r="H443">
        <v>2016</v>
      </c>
      <c r="I443">
        <v>46</v>
      </c>
      <c r="N443">
        <v>953</v>
      </c>
      <c r="O443">
        <v>966</v>
      </c>
      <c r="Q443" t="s">
        <v>3685</v>
      </c>
      <c r="T443">
        <v>6</v>
      </c>
      <c r="U443">
        <v>1.5</v>
      </c>
      <c r="V443">
        <v>0</v>
      </c>
      <c r="W443">
        <v>0</v>
      </c>
      <c r="X443">
        <v>0</v>
      </c>
      <c r="Y443">
        <v>0</v>
      </c>
      <c r="Z443">
        <v>0</v>
      </c>
      <c r="AA443">
        <v>0</v>
      </c>
      <c r="AB443">
        <v>0</v>
      </c>
      <c r="AC443">
        <v>0</v>
      </c>
      <c r="AD443">
        <v>0</v>
      </c>
      <c r="AE443">
        <v>0</v>
      </c>
      <c r="AF443">
        <v>0</v>
      </c>
      <c r="AG443">
        <v>0</v>
      </c>
      <c r="AH443">
        <v>0</v>
      </c>
      <c r="AI443">
        <v>0</v>
      </c>
      <c r="AJ443">
        <v>0</v>
      </c>
      <c r="AK443">
        <v>0</v>
      </c>
      <c r="AL443">
        <v>0</v>
      </c>
      <c r="AM443">
        <v>6</v>
      </c>
      <c r="AN443">
        <v>0</v>
      </c>
    </row>
    <row r="444" spans="1:40" x14ac:dyDescent="0.25">
      <c r="A444" t="s">
        <v>3686</v>
      </c>
      <c r="B444" t="s">
        <v>3687</v>
      </c>
      <c r="F444" t="s">
        <v>308</v>
      </c>
      <c r="G444" t="s">
        <v>2778</v>
      </c>
      <c r="H444">
        <v>2016</v>
      </c>
      <c r="I444">
        <v>54</v>
      </c>
      <c r="N444">
        <v>149</v>
      </c>
      <c r="O444">
        <v>161</v>
      </c>
      <c r="Q444" t="s">
        <v>3688</v>
      </c>
      <c r="T444">
        <v>6</v>
      </c>
      <c r="U444">
        <v>1.5</v>
      </c>
      <c r="V444">
        <v>0</v>
      </c>
      <c r="W444">
        <v>0</v>
      </c>
      <c r="X444">
        <v>0</v>
      </c>
      <c r="Y444">
        <v>0</v>
      </c>
      <c r="Z444">
        <v>0</v>
      </c>
      <c r="AA444">
        <v>0</v>
      </c>
      <c r="AB444">
        <v>0</v>
      </c>
      <c r="AC444">
        <v>0</v>
      </c>
      <c r="AD444">
        <v>0</v>
      </c>
      <c r="AE444">
        <v>0</v>
      </c>
      <c r="AF444">
        <v>0</v>
      </c>
      <c r="AG444">
        <v>0</v>
      </c>
      <c r="AH444">
        <v>0</v>
      </c>
      <c r="AI444">
        <v>0</v>
      </c>
      <c r="AJ444">
        <v>0</v>
      </c>
      <c r="AK444">
        <v>3</v>
      </c>
      <c r="AL444">
        <v>1</v>
      </c>
      <c r="AM444">
        <v>2</v>
      </c>
      <c r="AN444">
        <v>0</v>
      </c>
    </row>
    <row r="445" spans="1:40" x14ac:dyDescent="0.25">
      <c r="A445" t="s">
        <v>3689</v>
      </c>
      <c r="B445" t="s">
        <v>3690</v>
      </c>
      <c r="F445" t="s">
        <v>303</v>
      </c>
      <c r="G445" t="s">
        <v>2528</v>
      </c>
      <c r="H445">
        <v>2016</v>
      </c>
      <c r="I445">
        <v>117</v>
      </c>
      <c r="J445">
        <v>2</v>
      </c>
      <c r="N445">
        <v>173</v>
      </c>
      <c r="O445">
        <v>197</v>
      </c>
      <c r="Q445" t="s">
        <v>3691</v>
      </c>
      <c r="T445">
        <v>6</v>
      </c>
      <c r="U445">
        <v>1.5</v>
      </c>
      <c r="V445">
        <v>0</v>
      </c>
      <c r="W445">
        <v>0</v>
      </c>
      <c r="X445">
        <v>0</v>
      </c>
      <c r="Y445">
        <v>0</v>
      </c>
      <c r="Z445">
        <v>0</v>
      </c>
      <c r="AA445">
        <v>0</v>
      </c>
      <c r="AB445">
        <v>0</v>
      </c>
      <c r="AC445">
        <v>0</v>
      </c>
      <c r="AD445">
        <v>0</v>
      </c>
      <c r="AE445">
        <v>0</v>
      </c>
      <c r="AF445">
        <v>0</v>
      </c>
      <c r="AG445">
        <v>0</v>
      </c>
      <c r="AH445">
        <v>0</v>
      </c>
      <c r="AI445">
        <v>0</v>
      </c>
      <c r="AJ445">
        <v>0</v>
      </c>
      <c r="AK445">
        <v>0</v>
      </c>
      <c r="AL445">
        <v>2</v>
      </c>
      <c r="AM445">
        <v>4</v>
      </c>
      <c r="AN445">
        <v>0</v>
      </c>
    </row>
    <row r="446" spans="1:40" x14ac:dyDescent="0.25">
      <c r="A446" t="s">
        <v>3692</v>
      </c>
      <c r="B446" t="s">
        <v>3693</v>
      </c>
      <c r="F446" t="s">
        <v>300</v>
      </c>
      <c r="G446" t="s">
        <v>2528</v>
      </c>
      <c r="H446">
        <v>2016</v>
      </c>
      <c r="I446">
        <v>38</v>
      </c>
      <c r="J446">
        <v>4</v>
      </c>
      <c r="N446">
        <v>759</v>
      </c>
      <c r="O446">
        <v>771</v>
      </c>
      <c r="Q446" t="s">
        <v>3694</v>
      </c>
      <c r="T446">
        <v>6</v>
      </c>
      <c r="U446">
        <v>1.5</v>
      </c>
      <c r="V446">
        <v>0</v>
      </c>
      <c r="W446">
        <v>0</v>
      </c>
      <c r="X446">
        <v>0</v>
      </c>
      <c r="Y446">
        <v>0</v>
      </c>
      <c r="Z446">
        <v>0</v>
      </c>
      <c r="AA446">
        <v>0</v>
      </c>
      <c r="AB446">
        <v>0</v>
      </c>
      <c r="AC446">
        <v>0</v>
      </c>
      <c r="AD446">
        <v>0</v>
      </c>
      <c r="AE446">
        <v>0</v>
      </c>
      <c r="AF446">
        <v>0</v>
      </c>
      <c r="AG446">
        <v>0</v>
      </c>
      <c r="AH446">
        <v>0</v>
      </c>
      <c r="AI446">
        <v>0</v>
      </c>
      <c r="AJ446">
        <v>0</v>
      </c>
      <c r="AK446">
        <v>0</v>
      </c>
      <c r="AL446">
        <v>0</v>
      </c>
      <c r="AM446">
        <v>5</v>
      </c>
      <c r="AN446">
        <v>1</v>
      </c>
    </row>
    <row r="447" spans="1:40" x14ac:dyDescent="0.25">
      <c r="A447" t="s">
        <v>1749</v>
      </c>
      <c r="B447" t="s">
        <v>1751</v>
      </c>
      <c r="F447" t="s">
        <v>298</v>
      </c>
      <c r="G447" t="s">
        <v>3408</v>
      </c>
      <c r="H447">
        <v>2016</v>
      </c>
      <c r="I447">
        <v>144</v>
      </c>
      <c r="N447">
        <v>121</v>
      </c>
      <c r="O447">
        <v>143</v>
      </c>
      <c r="Q447" t="s">
        <v>3695</v>
      </c>
      <c r="T447">
        <v>6</v>
      </c>
      <c r="U447">
        <v>1.5</v>
      </c>
      <c r="V447">
        <v>0</v>
      </c>
      <c r="W447">
        <v>0</v>
      </c>
      <c r="X447">
        <v>0</v>
      </c>
      <c r="Y447">
        <v>0</v>
      </c>
      <c r="Z447">
        <v>0</v>
      </c>
      <c r="AA447">
        <v>0</v>
      </c>
      <c r="AB447">
        <v>0</v>
      </c>
      <c r="AC447">
        <v>0</v>
      </c>
      <c r="AD447">
        <v>0</v>
      </c>
      <c r="AE447">
        <v>0</v>
      </c>
      <c r="AF447">
        <v>0</v>
      </c>
      <c r="AG447">
        <v>0</v>
      </c>
      <c r="AH447">
        <v>0</v>
      </c>
      <c r="AI447">
        <v>0</v>
      </c>
      <c r="AJ447">
        <v>0</v>
      </c>
      <c r="AK447">
        <v>1</v>
      </c>
      <c r="AL447">
        <v>3</v>
      </c>
      <c r="AM447">
        <v>1</v>
      </c>
      <c r="AN447">
        <v>1</v>
      </c>
    </row>
    <row r="448" spans="1:40" x14ac:dyDescent="0.25">
      <c r="A448" t="s">
        <v>3696</v>
      </c>
      <c r="B448" t="s">
        <v>3697</v>
      </c>
      <c r="F448" t="s">
        <v>308</v>
      </c>
      <c r="G448" t="s">
        <v>2393</v>
      </c>
      <c r="H448">
        <v>2015</v>
      </c>
      <c r="I448">
        <v>48</v>
      </c>
      <c r="J448">
        <v>12</v>
      </c>
      <c r="N448">
        <v>3895</v>
      </c>
      <c r="O448">
        <v>3903</v>
      </c>
      <c r="Q448" t="s">
        <v>3698</v>
      </c>
      <c r="T448">
        <v>6</v>
      </c>
      <c r="U448">
        <v>1.2</v>
      </c>
      <c r="V448">
        <v>0</v>
      </c>
      <c r="W448">
        <v>0</v>
      </c>
      <c r="X448">
        <v>0</v>
      </c>
      <c r="Y448">
        <v>0</v>
      </c>
      <c r="Z448">
        <v>0</v>
      </c>
      <c r="AA448">
        <v>0</v>
      </c>
      <c r="AB448">
        <v>0</v>
      </c>
      <c r="AC448">
        <v>0</v>
      </c>
      <c r="AD448">
        <v>0</v>
      </c>
      <c r="AE448">
        <v>0</v>
      </c>
      <c r="AF448">
        <v>0</v>
      </c>
      <c r="AG448">
        <v>0</v>
      </c>
      <c r="AH448">
        <v>0</v>
      </c>
      <c r="AI448">
        <v>0</v>
      </c>
      <c r="AJ448">
        <v>0</v>
      </c>
      <c r="AK448">
        <v>1</v>
      </c>
      <c r="AL448">
        <v>2</v>
      </c>
      <c r="AM448">
        <v>3</v>
      </c>
      <c r="AN448">
        <v>0</v>
      </c>
    </row>
    <row r="449" spans="1:40" x14ac:dyDescent="0.25">
      <c r="A449" t="s">
        <v>3699</v>
      </c>
      <c r="B449" t="s">
        <v>3700</v>
      </c>
      <c r="F449" t="s">
        <v>310</v>
      </c>
      <c r="G449" t="s">
        <v>3463</v>
      </c>
      <c r="H449">
        <v>2015</v>
      </c>
      <c r="I449">
        <v>9</v>
      </c>
      <c r="J449">
        <v>5</v>
      </c>
      <c r="M449" t="s">
        <v>1948</v>
      </c>
      <c r="N449">
        <v>769</v>
      </c>
      <c r="O449">
        <v>778</v>
      </c>
      <c r="Q449" t="s">
        <v>3701</v>
      </c>
      <c r="T449">
        <v>6</v>
      </c>
      <c r="U449">
        <v>1.2</v>
      </c>
      <c r="V449">
        <v>0</v>
      </c>
      <c r="W449">
        <v>0</v>
      </c>
      <c r="X449">
        <v>0</v>
      </c>
      <c r="Y449">
        <v>0</v>
      </c>
      <c r="Z449">
        <v>0</v>
      </c>
      <c r="AA449">
        <v>0</v>
      </c>
      <c r="AB449">
        <v>0</v>
      </c>
      <c r="AC449">
        <v>0</v>
      </c>
      <c r="AD449">
        <v>0</v>
      </c>
      <c r="AE449">
        <v>0</v>
      </c>
      <c r="AF449">
        <v>0</v>
      </c>
      <c r="AG449">
        <v>0</v>
      </c>
      <c r="AH449">
        <v>0</v>
      </c>
      <c r="AI449">
        <v>0</v>
      </c>
      <c r="AJ449">
        <v>0</v>
      </c>
      <c r="AK449">
        <v>1</v>
      </c>
      <c r="AL449">
        <v>0</v>
      </c>
      <c r="AM449">
        <v>5</v>
      </c>
      <c r="AN449">
        <v>0</v>
      </c>
    </row>
    <row r="450" spans="1:40" x14ac:dyDescent="0.25">
      <c r="A450" t="s">
        <v>3702</v>
      </c>
      <c r="B450" t="s">
        <v>3703</v>
      </c>
      <c r="F450" t="s">
        <v>339</v>
      </c>
      <c r="G450" t="s">
        <v>2434</v>
      </c>
      <c r="H450">
        <v>2015</v>
      </c>
      <c r="I450">
        <v>51</v>
      </c>
      <c r="J450">
        <v>1</v>
      </c>
      <c r="N450">
        <v>1</v>
      </c>
      <c r="O450">
        <v>21</v>
      </c>
      <c r="Q450" t="s">
        <v>3704</v>
      </c>
      <c r="T450">
        <v>6</v>
      </c>
      <c r="U450">
        <v>1.2</v>
      </c>
      <c r="V450">
        <v>0</v>
      </c>
      <c r="W450">
        <v>0</v>
      </c>
      <c r="X450">
        <v>0</v>
      </c>
      <c r="Y450">
        <v>0</v>
      </c>
      <c r="Z450">
        <v>0</v>
      </c>
      <c r="AA450">
        <v>0</v>
      </c>
      <c r="AB450">
        <v>0</v>
      </c>
      <c r="AC450">
        <v>0</v>
      </c>
      <c r="AD450">
        <v>0</v>
      </c>
      <c r="AE450">
        <v>0</v>
      </c>
      <c r="AF450">
        <v>0</v>
      </c>
      <c r="AG450">
        <v>0</v>
      </c>
      <c r="AH450">
        <v>0</v>
      </c>
      <c r="AI450">
        <v>0</v>
      </c>
      <c r="AJ450">
        <v>0</v>
      </c>
      <c r="AK450">
        <v>3</v>
      </c>
      <c r="AL450">
        <v>0</v>
      </c>
      <c r="AM450">
        <v>3</v>
      </c>
      <c r="AN450">
        <v>0</v>
      </c>
    </row>
    <row r="451" spans="1:40" x14ac:dyDescent="0.25">
      <c r="A451" t="s">
        <v>3705</v>
      </c>
      <c r="B451" t="s">
        <v>1281</v>
      </c>
      <c r="F451" t="s">
        <v>314</v>
      </c>
      <c r="G451" t="s">
        <v>3334</v>
      </c>
      <c r="H451">
        <v>2014</v>
      </c>
      <c r="I451">
        <v>44</v>
      </c>
      <c r="J451">
        <v>7</v>
      </c>
      <c r="N451">
        <v>1014</v>
      </c>
      <c r="O451">
        <v>1024</v>
      </c>
      <c r="Q451" t="s">
        <v>3706</v>
      </c>
      <c r="T451">
        <v>6</v>
      </c>
      <c r="U451">
        <v>1</v>
      </c>
      <c r="V451">
        <v>0</v>
      </c>
      <c r="W451">
        <v>0</v>
      </c>
      <c r="X451">
        <v>0</v>
      </c>
      <c r="Y451">
        <v>0</v>
      </c>
      <c r="Z451">
        <v>0</v>
      </c>
      <c r="AA451">
        <v>0</v>
      </c>
      <c r="AB451">
        <v>0</v>
      </c>
      <c r="AC451">
        <v>0</v>
      </c>
      <c r="AD451">
        <v>0</v>
      </c>
      <c r="AE451">
        <v>0</v>
      </c>
      <c r="AF451">
        <v>0</v>
      </c>
      <c r="AG451">
        <v>0</v>
      </c>
      <c r="AH451">
        <v>0</v>
      </c>
      <c r="AI451">
        <v>0</v>
      </c>
      <c r="AJ451">
        <v>2</v>
      </c>
      <c r="AK451">
        <v>1</v>
      </c>
      <c r="AL451">
        <v>1</v>
      </c>
      <c r="AM451">
        <v>2</v>
      </c>
      <c r="AN451">
        <v>0</v>
      </c>
    </row>
    <row r="452" spans="1:40" x14ac:dyDescent="0.25">
      <c r="A452" t="s">
        <v>3707</v>
      </c>
      <c r="B452" t="s">
        <v>3708</v>
      </c>
      <c r="F452" t="s">
        <v>311</v>
      </c>
      <c r="G452" t="s">
        <v>2636</v>
      </c>
      <c r="H452">
        <v>2014</v>
      </c>
      <c r="I452">
        <v>23</v>
      </c>
      <c r="J452">
        <v>6</v>
      </c>
      <c r="N452">
        <v>2719</v>
      </c>
      <c r="O452">
        <v>2731</v>
      </c>
      <c r="Q452" t="s">
        <v>3709</v>
      </c>
      <c r="T452">
        <v>6</v>
      </c>
      <c r="U452">
        <v>1</v>
      </c>
      <c r="V452">
        <v>0</v>
      </c>
      <c r="W452">
        <v>0</v>
      </c>
      <c r="X452">
        <v>0</v>
      </c>
      <c r="Y452">
        <v>0</v>
      </c>
      <c r="Z452">
        <v>0</v>
      </c>
      <c r="AA452">
        <v>0</v>
      </c>
      <c r="AB452">
        <v>0</v>
      </c>
      <c r="AC452">
        <v>0</v>
      </c>
      <c r="AD452">
        <v>0</v>
      </c>
      <c r="AE452">
        <v>0</v>
      </c>
      <c r="AF452">
        <v>0</v>
      </c>
      <c r="AG452">
        <v>0</v>
      </c>
      <c r="AH452">
        <v>0</v>
      </c>
      <c r="AI452">
        <v>0</v>
      </c>
      <c r="AJ452">
        <v>4</v>
      </c>
      <c r="AK452">
        <v>0</v>
      </c>
      <c r="AL452">
        <v>1</v>
      </c>
      <c r="AM452">
        <v>1</v>
      </c>
      <c r="AN452">
        <v>0</v>
      </c>
    </row>
    <row r="453" spans="1:40" x14ac:dyDescent="0.25">
      <c r="A453" t="s">
        <v>3710</v>
      </c>
      <c r="B453" t="s">
        <v>3711</v>
      </c>
      <c r="F453" t="s">
        <v>305</v>
      </c>
      <c r="G453" t="s">
        <v>3186</v>
      </c>
      <c r="H453">
        <v>2012</v>
      </c>
      <c r="I453">
        <v>33</v>
      </c>
      <c r="J453">
        <v>16</v>
      </c>
      <c r="N453">
        <v>2113</v>
      </c>
      <c r="O453">
        <v>2119</v>
      </c>
      <c r="Q453" t="s">
        <v>3712</v>
      </c>
      <c r="T453">
        <v>6</v>
      </c>
      <c r="U453">
        <v>0.75</v>
      </c>
      <c r="V453">
        <v>0</v>
      </c>
      <c r="W453">
        <v>0</v>
      </c>
      <c r="X453">
        <v>0</v>
      </c>
      <c r="Y453">
        <v>0</v>
      </c>
      <c r="Z453">
        <v>0</v>
      </c>
      <c r="AA453">
        <v>0</v>
      </c>
      <c r="AB453">
        <v>0</v>
      </c>
      <c r="AC453">
        <v>0</v>
      </c>
      <c r="AD453">
        <v>0</v>
      </c>
      <c r="AE453">
        <v>0</v>
      </c>
      <c r="AF453">
        <v>0</v>
      </c>
      <c r="AG453">
        <v>0</v>
      </c>
      <c r="AH453">
        <v>1</v>
      </c>
      <c r="AI453">
        <v>1</v>
      </c>
      <c r="AJ453">
        <v>1</v>
      </c>
      <c r="AK453">
        <v>2</v>
      </c>
      <c r="AL453">
        <v>1</v>
      </c>
      <c r="AM453">
        <v>0</v>
      </c>
      <c r="AN453">
        <v>0</v>
      </c>
    </row>
    <row r="454" spans="1:40" x14ac:dyDescent="0.25">
      <c r="A454" t="s">
        <v>3713</v>
      </c>
      <c r="B454" t="s">
        <v>3714</v>
      </c>
      <c r="F454" t="s">
        <v>312</v>
      </c>
      <c r="G454" t="s">
        <v>2626</v>
      </c>
      <c r="H454">
        <v>2012</v>
      </c>
      <c r="I454">
        <v>7</v>
      </c>
      <c r="J454">
        <v>3</v>
      </c>
      <c r="K454">
        <v>3</v>
      </c>
      <c r="M454" t="s">
        <v>1948</v>
      </c>
      <c r="N454">
        <v>173</v>
      </c>
      <c r="O454">
        <v>183</v>
      </c>
      <c r="Q454" t="s">
        <v>3715</v>
      </c>
      <c r="T454">
        <v>6</v>
      </c>
      <c r="U454">
        <v>0.75</v>
      </c>
      <c r="V454">
        <v>0</v>
      </c>
      <c r="W454">
        <v>0</v>
      </c>
      <c r="X454">
        <v>0</v>
      </c>
      <c r="Y454">
        <v>0</v>
      </c>
      <c r="Z454">
        <v>0</v>
      </c>
      <c r="AA454">
        <v>0</v>
      </c>
      <c r="AB454">
        <v>0</v>
      </c>
      <c r="AC454">
        <v>0</v>
      </c>
      <c r="AD454">
        <v>0</v>
      </c>
      <c r="AE454">
        <v>0</v>
      </c>
      <c r="AF454">
        <v>0</v>
      </c>
      <c r="AG454">
        <v>0</v>
      </c>
      <c r="AH454">
        <v>1</v>
      </c>
      <c r="AI454">
        <v>1</v>
      </c>
      <c r="AJ454">
        <v>2</v>
      </c>
      <c r="AK454">
        <v>1</v>
      </c>
      <c r="AL454">
        <v>1</v>
      </c>
      <c r="AM454">
        <v>0</v>
      </c>
      <c r="AN454">
        <v>0</v>
      </c>
    </row>
    <row r="455" spans="1:40" x14ac:dyDescent="0.25">
      <c r="A455" t="s">
        <v>3716</v>
      </c>
      <c r="B455" t="s">
        <v>3717</v>
      </c>
      <c r="F455" t="s">
        <v>302</v>
      </c>
      <c r="G455" t="s">
        <v>3133</v>
      </c>
      <c r="H455">
        <v>2012</v>
      </c>
      <c r="I455">
        <v>30</v>
      </c>
      <c r="J455">
        <v>8</v>
      </c>
      <c r="N455">
        <v>546</v>
      </c>
      <c r="O455">
        <v>556</v>
      </c>
      <c r="Q455" t="s">
        <v>3718</v>
      </c>
      <c r="T455">
        <v>6</v>
      </c>
      <c r="U455">
        <v>0.75</v>
      </c>
      <c r="V455">
        <v>0</v>
      </c>
      <c r="W455">
        <v>0</v>
      </c>
      <c r="X455">
        <v>0</v>
      </c>
      <c r="Y455">
        <v>0</v>
      </c>
      <c r="Z455">
        <v>0</v>
      </c>
      <c r="AA455">
        <v>0</v>
      </c>
      <c r="AB455">
        <v>0</v>
      </c>
      <c r="AC455">
        <v>0</v>
      </c>
      <c r="AD455">
        <v>0</v>
      </c>
      <c r="AE455">
        <v>0</v>
      </c>
      <c r="AF455">
        <v>0</v>
      </c>
      <c r="AG455">
        <v>0</v>
      </c>
      <c r="AH455">
        <v>0</v>
      </c>
      <c r="AI455">
        <v>2</v>
      </c>
      <c r="AJ455">
        <v>0</v>
      </c>
      <c r="AK455">
        <v>1</v>
      </c>
      <c r="AL455">
        <v>2</v>
      </c>
      <c r="AM455">
        <v>1</v>
      </c>
      <c r="AN455">
        <v>0</v>
      </c>
    </row>
    <row r="456" spans="1:40" x14ac:dyDescent="0.25">
      <c r="A456" t="s">
        <v>3719</v>
      </c>
      <c r="B456" t="s">
        <v>3720</v>
      </c>
      <c r="F456" t="s">
        <v>303</v>
      </c>
      <c r="G456" t="s">
        <v>2728</v>
      </c>
      <c r="H456">
        <v>2011</v>
      </c>
      <c r="I456">
        <v>93</v>
      </c>
      <c r="J456">
        <v>2</v>
      </c>
      <c r="N456">
        <v>141</v>
      </c>
      <c r="O456">
        <v>161</v>
      </c>
      <c r="Q456" t="s">
        <v>3721</v>
      </c>
      <c r="T456">
        <v>6</v>
      </c>
      <c r="U456">
        <v>0.67</v>
      </c>
      <c r="V456">
        <v>0</v>
      </c>
      <c r="W456">
        <v>0</v>
      </c>
      <c r="X456">
        <v>0</v>
      </c>
      <c r="Y456">
        <v>0</v>
      </c>
      <c r="Z456">
        <v>0</v>
      </c>
      <c r="AA456">
        <v>0</v>
      </c>
      <c r="AB456">
        <v>0</v>
      </c>
      <c r="AC456">
        <v>0</v>
      </c>
      <c r="AD456">
        <v>0</v>
      </c>
      <c r="AE456">
        <v>0</v>
      </c>
      <c r="AF456">
        <v>0</v>
      </c>
      <c r="AG456">
        <v>0</v>
      </c>
      <c r="AH456">
        <v>1</v>
      </c>
      <c r="AI456">
        <v>0</v>
      </c>
      <c r="AJ456">
        <v>1</v>
      </c>
      <c r="AK456">
        <v>1</v>
      </c>
      <c r="AL456">
        <v>2</v>
      </c>
      <c r="AM456">
        <v>1</v>
      </c>
      <c r="AN456">
        <v>0</v>
      </c>
    </row>
    <row r="457" spans="1:40" x14ac:dyDescent="0.25">
      <c r="A457" t="s">
        <v>1801</v>
      </c>
      <c r="B457" t="s">
        <v>1803</v>
      </c>
      <c r="F457" t="s">
        <v>312</v>
      </c>
      <c r="G457" t="s">
        <v>2404</v>
      </c>
      <c r="H457">
        <v>2010</v>
      </c>
      <c r="I457">
        <v>5</v>
      </c>
      <c r="J457">
        <v>4</v>
      </c>
      <c r="M457" t="s">
        <v>1948</v>
      </c>
      <c r="N457">
        <v>231</v>
      </c>
      <c r="O457">
        <v>244</v>
      </c>
      <c r="Q457" t="s">
        <v>3722</v>
      </c>
      <c r="T457">
        <v>6</v>
      </c>
      <c r="U457">
        <v>0.6</v>
      </c>
      <c r="V457">
        <v>0</v>
      </c>
      <c r="W457">
        <v>0</v>
      </c>
      <c r="X457">
        <v>0</v>
      </c>
      <c r="Y457">
        <v>0</v>
      </c>
      <c r="Z457">
        <v>0</v>
      </c>
      <c r="AA457">
        <v>0</v>
      </c>
      <c r="AB457">
        <v>0</v>
      </c>
      <c r="AC457">
        <v>0</v>
      </c>
      <c r="AD457">
        <v>0</v>
      </c>
      <c r="AE457">
        <v>0</v>
      </c>
      <c r="AF457">
        <v>0</v>
      </c>
      <c r="AG457">
        <v>3</v>
      </c>
      <c r="AH457">
        <v>0</v>
      </c>
      <c r="AI457">
        <v>0</v>
      </c>
      <c r="AJ457">
        <v>1</v>
      </c>
      <c r="AK457">
        <v>0</v>
      </c>
      <c r="AL457">
        <v>1</v>
      </c>
      <c r="AM457">
        <v>1</v>
      </c>
      <c r="AN457">
        <v>0</v>
      </c>
    </row>
    <row r="458" spans="1:40" x14ac:dyDescent="0.25">
      <c r="A458" t="s">
        <v>1494</v>
      </c>
      <c r="B458" t="s">
        <v>1496</v>
      </c>
      <c r="F458" t="s">
        <v>303</v>
      </c>
      <c r="G458" t="s">
        <v>3031</v>
      </c>
      <c r="H458">
        <v>2010</v>
      </c>
      <c r="I458">
        <v>90</v>
      </c>
      <c r="J458">
        <v>1</v>
      </c>
      <c r="N458">
        <v>45</v>
      </c>
      <c r="O458">
        <v>61</v>
      </c>
      <c r="Q458" t="s">
        <v>3723</v>
      </c>
      <c r="T458">
        <v>6</v>
      </c>
      <c r="U458">
        <v>0.6</v>
      </c>
      <c r="V458">
        <v>0</v>
      </c>
      <c r="W458">
        <v>0</v>
      </c>
      <c r="X458">
        <v>0</v>
      </c>
      <c r="Y458">
        <v>0</v>
      </c>
      <c r="Z458">
        <v>0</v>
      </c>
      <c r="AA458">
        <v>0</v>
      </c>
      <c r="AB458">
        <v>0</v>
      </c>
      <c r="AC458">
        <v>0</v>
      </c>
      <c r="AD458">
        <v>0</v>
      </c>
      <c r="AE458">
        <v>0</v>
      </c>
      <c r="AF458">
        <v>2</v>
      </c>
      <c r="AG458">
        <v>1</v>
      </c>
      <c r="AH458">
        <v>0</v>
      </c>
      <c r="AI458">
        <v>1</v>
      </c>
      <c r="AJ458">
        <v>1</v>
      </c>
      <c r="AK458">
        <v>1</v>
      </c>
      <c r="AL458">
        <v>0</v>
      </c>
      <c r="AM458">
        <v>0</v>
      </c>
      <c r="AN458">
        <v>0</v>
      </c>
    </row>
    <row r="459" spans="1:40" x14ac:dyDescent="0.25">
      <c r="A459" t="s">
        <v>3724</v>
      </c>
      <c r="B459" t="s">
        <v>3725</v>
      </c>
      <c r="F459" t="s">
        <v>308</v>
      </c>
      <c r="G459" t="s">
        <v>2572</v>
      </c>
      <c r="H459">
        <v>2008</v>
      </c>
      <c r="I459">
        <v>41</v>
      </c>
      <c r="J459">
        <v>11</v>
      </c>
      <c r="N459">
        <v>3302</v>
      </c>
      <c r="O459">
        <v>3312</v>
      </c>
      <c r="Q459" t="s">
        <v>3726</v>
      </c>
      <c r="T459">
        <v>6</v>
      </c>
      <c r="U459">
        <v>0.5</v>
      </c>
      <c r="V459">
        <v>0</v>
      </c>
      <c r="W459">
        <v>0</v>
      </c>
      <c r="X459">
        <v>0</v>
      </c>
      <c r="Y459">
        <v>0</v>
      </c>
      <c r="Z459">
        <v>0</v>
      </c>
      <c r="AA459">
        <v>0</v>
      </c>
      <c r="AB459">
        <v>0</v>
      </c>
      <c r="AC459">
        <v>0</v>
      </c>
      <c r="AD459">
        <v>0</v>
      </c>
      <c r="AE459">
        <v>0</v>
      </c>
      <c r="AF459">
        <v>1</v>
      </c>
      <c r="AG459">
        <v>2</v>
      </c>
      <c r="AH459">
        <v>1</v>
      </c>
      <c r="AI459">
        <v>2</v>
      </c>
      <c r="AJ459">
        <v>0</v>
      </c>
      <c r="AK459">
        <v>0</v>
      </c>
      <c r="AL459">
        <v>0</v>
      </c>
      <c r="AM459">
        <v>0</v>
      </c>
      <c r="AN459">
        <v>0</v>
      </c>
    </row>
    <row r="460" spans="1:40" x14ac:dyDescent="0.25">
      <c r="A460" t="s">
        <v>3727</v>
      </c>
      <c r="B460" t="s">
        <v>3728</v>
      </c>
      <c r="F460" t="s">
        <v>3729</v>
      </c>
      <c r="G460" t="s">
        <v>3730</v>
      </c>
      <c r="H460">
        <v>2007</v>
      </c>
      <c r="I460">
        <v>23</v>
      </c>
      <c r="J460">
        <v>4</v>
      </c>
      <c r="N460">
        <v>484</v>
      </c>
      <c r="O460">
        <v>496</v>
      </c>
      <c r="Q460" t="s">
        <v>3731</v>
      </c>
      <c r="T460">
        <v>6</v>
      </c>
      <c r="U460">
        <v>0.46</v>
      </c>
      <c r="V460">
        <v>0</v>
      </c>
      <c r="W460">
        <v>0</v>
      </c>
      <c r="X460">
        <v>0</v>
      </c>
      <c r="Y460">
        <v>0</v>
      </c>
      <c r="Z460">
        <v>0</v>
      </c>
      <c r="AA460">
        <v>0</v>
      </c>
      <c r="AB460">
        <v>0</v>
      </c>
      <c r="AC460">
        <v>0</v>
      </c>
      <c r="AD460">
        <v>0</v>
      </c>
      <c r="AE460">
        <v>0</v>
      </c>
      <c r="AF460">
        <v>0</v>
      </c>
      <c r="AG460">
        <v>0</v>
      </c>
      <c r="AH460">
        <v>1</v>
      </c>
      <c r="AI460">
        <v>0</v>
      </c>
      <c r="AJ460">
        <v>1</v>
      </c>
      <c r="AK460">
        <v>2</v>
      </c>
      <c r="AL460">
        <v>2</v>
      </c>
      <c r="AM460">
        <v>0</v>
      </c>
      <c r="AN460">
        <v>0</v>
      </c>
    </row>
    <row r="461" spans="1:40" x14ac:dyDescent="0.25">
      <c r="A461" t="s">
        <v>3732</v>
      </c>
      <c r="B461" t="s">
        <v>3733</v>
      </c>
      <c r="F461" t="s">
        <v>339</v>
      </c>
      <c r="G461" t="s">
        <v>3730</v>
      </c>
      <c r="H461">
        <v>2007</v>
      </c>
      <c r="I461">
        <v>29</v>
      </c>
      <c r="J461" t="s">
        <v>2396</v>
      </c>
      <c r="N461">
        <v>235</v>
      </c>
      <c r="O461">
        <v>248</v>
      </c>
      <c r="Q461" t="s">
        <v>3734</v>
      </c>
      <c r="R461" t="s">
        <v>3735</v>
      </c>
      <c r="S461" t="s">
        <v>3736</v>
      </c>
      <c r="T461">
        <v>6</v>
      </c>
      <c r="U461">
        <v>0.46</v>
      </c>
      <c r="V461">
        <v>0</v>
      </c>
      <c r="W461">
        <v>0</v>
      </c>
      <c r="X461">
        <v>0</v>
      </c>
      <c r="Y461">
        <v>0</v>
      </c>
      <c r="Z461">
        <v>0</v>
      </c>
      <c r="AA461">
        <v>0</v>
      </c>
      <c r="AB461">
        <v>0</v>
      </c>
      <c r="AC461">
        <v>0</v>
      </c>
      <c r="AD461">
        <v>2</v>
      </c>
      <c r="AE461">
        <v>0</v>
      </c>
      <c r="AF461">
        <v>1</v>
      </c>
      <c r="AG461">
        <v>2</v>
      </c>
      <c r="AH461">
        <v>0</v>
      </c>
      <c r="AI461">
        <v>0</v>
      </c>
      <c r="AJ461">
        <v>0</v>
      </c>
      <c r="AK461">
        <v>0</v>
      </c>
      <c r="AL461">
        <v>1</v>
      </c>
      <c r="AM461">
        <v>0</v>
      </c>
      <c r="AN461">
        <v>0</v>
      </c>
    </row>
    <row r="462" spans="1:40" x14ac:dyDescent="0.25">
      <c r="A462" t="s">
        <v>3737</v>
      </c>
      <c r="B462" t="s">
        <v>3738</v>
      </c>
      <c r="F462" t="s">
        <v>311</v>
      </c>
      <c r="G462" t="s">
        <v>3739</v>
      </c>
      <c r="H462">
        <v>2005</v>
      </c>
      <c r="I462">
        <v>14</v>
      </c>
      <c r="J462">
        <v>11</v>
      </c>
      <c r="N462">
        <v>1701</v>
      </c>
      <c r="O462">
        <v>1706</v>
      </c>
      <c r="Q462" t="s">
        <v>3740</v>
      </c>
      <c r="T462">
        <v>6</v>
      </c>
      <c r="U462">
        <v>0.4</v>
      </c>
      <c r="V462">
        <v>0</v>
      </c>
      <c r="W462">
        <v>0</v>
      </c>
      <c r="X462">
        <v>0</v>
      </c>
      <c r="Y462">
        <v>0</v>
      </c>
      <c r="Z462">
        <v>0</v>
      </c>
      <c r="AA462">
        <v>0</v>
      </c>
      <c r="AB462">
        <v>2</v>
      </c>
      <c r="AC462">
        <v>1</v>
      </c>
      <c r="AD462">
        <v>0</v>
      </c>
      <c r="AE462">
        <v>1</v>
      </c>
      <c r="AF462">
        <v>0</v>
      </c>
      <c r="AG462">
        <v>1</v>
      </c>
      <c r="AH462">
        <v>0</v>
      </c>
      <c r="AI462">
        <v>0</v>
      </c>
      <c r="AJ462">
        <v>1</v>
      </c>
      <c r="AK462">
        <v>0</v>
      </c>
      <c r="AL462">
        <v>0</v>
      </c>
      <c r="AM462">
        <v>0</v>
      </c>
      <c r="AN462">
        <v>0</v>
      </c>
    </row>
    <row r="463" spans="1:40" x14ac:dyDescent="0.25">
      <c r="A463" t="s">
        <v>3741</v>
      </c>
      <c r="B463" t="s">
        <v>3742</v>
      </c>
      <c r="F463" t="s">
        <v>339</v>
      </c>
      <c r="G463" t="s">
        <v>3743</v>
      </c>
      <c r="H463">
        <v>2003</v>
      </c>
      <c r="I463">
        <v>19</v>
      </c>
      <c r="J463">
        <v>3</v>
      </c>
      <c r="N463">
        <v>237</v>
      </c>
      <c r="O463">
        <v>253</v>
      </c>
      <c r="Q463" t="s">
        <v>3744</v>
      </c>
      <c r="T463">
        <v>6</v>
      </c>
      <c r="U463">
        <v>0.35</v>
      </c>
      <c r="V463">
        <v>0</v>
      </c>
      <c r="W463">
        <v>0</v>
      </c>
      <c r="X463">
        <v>0</v>
      </c>
      <c r="Y463">
        <v>0</v>
      </c>
      <c r="Z463">
        <v>3</v>
      </c>
      <c r="AA463">
        <v>0</v>
      </c>
      <c r="AB463">
        <v>1</v>
      </c>
      <c r="AC463">
        <v>0</v>
      </c>
      <c r="AD463">
        <v>0</v>
      </c>
      <c r="AE463">
        <v>0</v>
      </c>
      <c r="AF463">
        <v>1</v>
      </c>
      <c r="AG463">
        <v>0</v>
      </c>
      <c r="AH463">
        <v>0</v>
      </c>
      <c r="AI463">
        <v>0</v>
      </c>
      <c r="AJ463">
        <v>0</v>
      </c>
      <c r="AK463">
        <v>0</v>
      </c>
      <c r="AL463">
        <v>0</v>
      </c>
      <c r="AM463">
        <v>1</v>
      </c>
      <c r="AN463">
        <v>0</v>
      </c>
    </row>
    <row r="464" spans="1:40" x14ac:dyDescent="0.25">
      <c r="A464" t="s">
        <v>1737</v>
      </c>
      <c r="B464" t="s">
        <v>1739</v>
      </c>
      <c r="F464" t="s">
        <v>305</v>
      </c>
      <c r="G464" t="s">
        <v>3745</v>
      </c>
      <c r="H464">
        <v>2002</v>
      </c>
      <c r="I464">
        <v>23</v>
      </c>
      <c r="J464">
        <v>11</v>
      </c>
      <c r="N464">
        <v>1263</v>
      </c>
      <c r="O464">
        <v>1270</v>
      </c>
      <c r="P464" t="s">
        <v>3746</v>
      </c>
      <c r="Q464" t="s">
        <v>3747</v>
      </c>
      <c r="T464">
        <v>6</v>
      </c>
      <c r="U464">
        <v>0.33</v>
      </c>
      <c r="V464">
        <v>0</v>
      </c>
      <c r="W464">
        <v>0</v>
      </c>
      <c r="X464">
        <v>0</v>
      </c>
      <c r="Y464">
        <v>0</v>
      </c>
      <c r="Z464">
        <v>1</v>
      </c>
      <c r="AA464">
        <v>0</v>
      </c>
      <c r="AB464">
        <v>0</v>
      </c>
      <c r="AC464">
        <v>0</v>
      </c>
      <c r="AD464">
        <v>1</v>
      </c>
      <c r="AE464">
        <v>0</v>
      </c>
      <c r="AF464">
        <v>2</v>
      </c>
      <c r="AG464">
        <v>0</v>
      </c>
      <c r="AH464">
        <v>1</v>
      </c>
      <c r="AI464">
        <v>1</v>
      </c>
      <c r="AJ464">
        <v>0</v>
      </c>
      <c r="AK464">
        <v>0</v>
      </c>
      <c r="AL464">
        <v>0</v>
      </c>
      <c r="AM464">
        <v>0</v>
      </c>
      <c r="AN464">
        <v>0</v>
      </c>
    </row>
    <row r="465" spans="1:40" x14ac:dyDescent="0.25">
      <c r="A465" t="s">
        <v>3748</v>
      </c>
      <c r="B465" t="s">
        <v>3749</v>
      </c>
      <c r="F465" t="s">
        <v>3349</v>
      </c>
      <c r="G465" t="s">
        <v>2545</v>
      </c>
      <c r="H465">
        <v>2001</v>
      </c>
      <c r="I465">
        <v>7</v>
      </c>
      <c r="J465">
        <v>6</v>
      </c>
      <c r="N465">
        <v>495</v>
      </c>
      <c r="O465">
        <v>506</v>
      </c>
      <c r="Q465" t="s">
        <v>3750</v>
      </c>
      <c r="T465">
        <v>6</v>
      </c>
      <c r="U465">
        <v>0.32</v>
      </c>
      <c r="V465">
        <v>0</v>
      </c>
      <c r="W465">
        <v>2</v>
      </c>
      <c r="X465">
        <v>0</v>
      </c>
      <c r="Y465">
        <v>0</v>
      </c>
      <c r="Z465">
        <v>1</v>
      </c>
      <c r="AA465">
        <v>1</v>
      </c>
      <c r="AB465">
        <v>0</v>
      </c>
      <c r="AC465">
        <v>0</v>
      </c>
      <c r="AD465">
        <v>0</v>
      </c>
      <c r="AE465">
        <v>0</v>
      </c>
      <c r="AF465">
        <v>1</v>
      </c>
      <c r="AG465">
        <v>0</v>
      </c>
      <c r="AH465">
        <v>0</v>
      </c>
      <c r="AI465">
        <v>0</v>
      </c>
      <c r="AJ465">
        <v>1</v>
      </c>
      <c r="AK465">
        <v>0</v>
      </c>
      <c r="AL465">
        <v>0</v>
      </c>
      <c r="AM465">
        <v>0</v>
      </c>
      <c r="AN465">
        <v>0</v>
      </c>
    </row>
    <row r="466" spans="1:40" x14ac:dyDescent="0.25">
      <c r="A466" t="s">
        <v>3751</v>
      </c>
      <c r="B466" t="s">
        <v>3752</v>
      </c>
      <c r="F466" t="s">
        <v>306</v>
      </c>
      <c r="G466" t="s">
        <v>3753</v>
      </c>
      <c r="H466">
        <v>2018</v>
      </c>
      <c r="I466">
        <v>320</v>
      </c>
      <c r="N466">
        <v>76</v>
      </c>
      <c r="O466">
        <v>84</v>
      </c>
      <c r="Q466" t="s">
        <v>3754</v>
      </c>
      <c r="T466">
        <v>5</v>
      </c>
      <c r="U466">
        <v>2.5</v>
      </c>
      <c r="V466">
        <v>0</v>
      </c>
      <c r="W466">
        <v>0</v>
      </c>
      <c r="X466">
        <v>0</v>
      </c>
      <c r="Y466">
        <v>0</v>
      </c>
      <c r="Z466">
        <v>0</v>
      </c>
      <c r="AA466">
        <v>0</v>
      </c>
      <c r="AB466">
        <v>0</v>
      </c>
      <c r="AC466">
        <v>0</v>
      </c>
      <c r="AD466">
        <v>0</v>
      </c>
      <c r="AE466">
        <v>0</v>
      </c>
      <c r="AF466">
        <v>0</v>
      </c>
      <c r="AG466">
        <v>0</v>
      </c>
      <c r="AH466">
        <v>0</v>
      </c>
      <c r="AI466">
        <v>0</v>
      </c>
      <c r="AJ466">
        <v>0</v>
      </c>
      <c r="AK466">
        <v>0</v>
      </c>
      <c r="AL466">
        <v>0</v>
      </c>
      <c r="AM466">
        <v>5</v>
      </c>
      <c r="AN466">
        <v>0</v>
      </c>
    </row>
    <row r="467" spans="1:40" x14ac:dyDescent="0.25">
      <c r="A467" t="s">
        <v>3755</v>
      </c>
      <c r="B467" t="s">
        <v>3756</v>
      </c>
      <c r="F467" t="s">
        <v>303</v>
      </c>
      <c r="G467" t="s">
        <v>3757</v>
      </c>
      <c r="H467">
        <v>2018</v>
      </c>
      <c r="I467">
        <v>126</v>
      </c>
      <c r="J467">
        <v>7</v>
      </c>
      <c r="N467">
        <v>751</v>
      </c>
      <c r="O467">
        <v>770</v>
      </c>
      <c r="Q467" t="s">
        <v>3758</v>
      </c>
      <c r="T467">
        <v>5</v>
      </c>
      <c r="U467">
        <v>2.5</v>
      </c>
      <c r="V467">
        <v>0</v>
      </c>
      <c r="W467">
        <v>0</v>
      </c>
      <c r="X467">
        <v>0</v>
      </c>
      <c r="Y467">
        <v>0</v>
      </c>
      <c r="Z467">
        <v>0</v>
      </c>
      <c r="AA467">
        <v>0</v>
      </c>
      <c r="AB467">
        <v>0</v>
      </c>
      <c r="AC467">
        <v>0</v>
      </c>
      <c r="AD467">
        <v>0</v>
      </c>
      <c r="AE467">
        <v>0</v>
      </c>
      <c r="AF467">
        <v>0</v>
      </c>
      <c r="AG467">
        <v>0</v>
      </c>
      <c r="AH467">
        <v>0</v>
      </c>
      <c r="AI467">
        <v>0</v>
      </c>
      <c r="AJ467">
        <v>0</v>
      </c>
      <c r="AK467">
        <v>0</v>
      </c>
      <c r="AL467">
        <v>0</v>
      </c>
      <c r="AM467">
        <v>2</v>
      </c>
      <c r="AN467">
        <v>3</v>
      </c>
    </row>
    <row r="468" spans="1:40" x14ac:dyDescent="0.25">
      <c r="A468" t="s">
        <v>3759</v>
      </c>
      <c r="B468" t="s">
        <v>3760</v>
      </c>
      <c r="F468" t="s">
        <v>3761</v>
      </c>
      <c r="G468" t="s">
        <v>3762</v>
      </c>
      <c r="H468">
        <v>2018</v>
      </c>
      <c r="I468">
        <v>8</v>
      </c>
      <c r="J468">
        <v>2</v>
      </c>
      <c r="P468" t="s">
        <v>3763</v>
      </c>
      <c r="Q468" t="s">
        <v>3764</v>
      </c>
      <c r="T468">
        <v>5</v>
      </c>
      <c r="U468">
        <v>2.5</v>
      </c>
      <c r="V468">
        <v>0</v>
      </c>
      <c r="W468">
        <v>0</v>
      </c>
      <c r="X468">
        <v>0</v>
      </c>
      <c r="Y468">
        <v>0</v>
      </c>
      <c r="Z468">
        <v>0</v>
      </c>
      <c r="AA468">
        <v>0</v>
      </c>
      <c r="AB468">
        <v>0</v>
      </c>
      <c r="AC468">
        <v>0</v>
      </c>
      <c r="AD468">
        <v>0</v>
      </c>
      <c r="AE468">
        <v>0</v>
      </c>
      <c r="AF468">
        <v>0</v>
      </c>
      <c r="AG468">
        <v>0</v>
      </c>
      <c r="AH468">
        <v>0</v>
      </c>
      <c r="AI468">
        <v>0</v>
      </c>
      <c r="AJ468">
        <v>0</v>
      </c>
      <c r="AK468">
        <v>0</v>
      </c>
      <c r="AL468">
        <v>0</v>
      </c>
      <c r="AM468">
        <v>3</v>
      </c>
      <c r="AN468">
        <v>2</v>
      </c>
    </row>
    <row r="469" spans="1:40" x14ac:dyDescent="0.25">
      <c r="A469" t="s">
        <v>3765</v>
      </c>
      <c r="B469" t="s">
        <v>3766</v>
      </c>
      <c r="F469" t="s">
        <v>298</v>
      </c>
      <c r="G469" t="s">
        <v>3325</v>
      </c>
      <c r="H469">
        <v>2018</v>
      </c>
      <c r="I469">
        <v>167</v>
      </c>
      <c r="N469">
        <v>109</v>
      </c>
      <c r="O469">
        <v>120</v>
      </c>
      <c r="Q469" t="s">
        <v>3767</v>
      </c>
      <c r="T469">
        <v>5</v>
      </c>
      <c r="U469">
        <v>2.5</v>
      </c>
      <c r="V469">
        <v>0</v>
      </c>
      <c r="W469">
        <v>0</v>
      </c>
      <c r="X469">
        <v>0</v>
      </c>
      <c r="Y469">
        <v>0</v>
      </c>
      <c r="Z469">
        <v>0</v>
      </c>
      <c r="AA469">
        <v>0</v>
      </c>
      <c r="AB469">
        <v>0</v>
      </c>
      <c r="AC469">
        <v>0</v>
      </c>
      <c r="AD469">
        <v>0</v>
      </c>
      <c r="AE469">
        <v>0</v>
      </c>
      <c r="AF469">
        <v>0</v>
      </c>
      <c r="AG469">
        <v>0</v>
      </c>
      <c r="AH469">
        <v>0</v>
      </c>
      <c r="AI469">
        <v>0</v>
      </c>
      <c r="AJ469">
        <v>0</v>
      </c>
      <c r="AK469">
        <v>0</v>
      </c>
      <c r="AL469">
        <v>0</v>
      </c>
      <c r="AM469">
        <v>5</v>
      </c>
      <c r="AN469">
        <v>0</v>
      </c>
    </row>
    <row r="470" spans="1:40" x14ac:dyDescent="0.25">
      <c r="A470" t="s">
        <v>3768</v>
      </c>
      <c r="B470" t="s">
        <v>3769</v>
      </c>
      <c r="F470" t="s">
        <v>2844</v>
      </c>
      <c r="G470" t="s">
        <v>3496</v>
      </c>
      <c r="H470">
        <v>2017</v>
      </c>
      <c r="I470">
        <v>21</v>
      </c>
      <c r="J470">
        <v>6</v>
      </c>
      <c r="N470">
        <v>825</v>
      </c>
      <c r="O470">
        <v>844</v>
      </c>
      <c r="Q470" t="s">
        <v>3770</v>
      </c>
      <c r="T470">
        <v>5</v>
      </c>
      <c r="U470">
        <v>1.67</v>
      </c>
      <c r="V470">
        <v>0</v>
      </c>
      <c r="W470">
        <v>0</v>
      </c>
      <c r="X470">
        <v>0</v>
      </c>
      <c r="Y470">
        <v>0</v>
      </c>
      <c r="Z470">
        <v>0</v>
      </c>
      <c r="AA470">
        <v>0</v>
      </c>
      <c r="AB470">
        <v>0</v>
      </c>
      <c r="AC470">
        <v>0</v>
      </c>
      <c r="AD470">
        <v>0</v>
      </c>
      <c r="AE470">
        <v>0</v>
      </c>
      <c r="AF470">
        <v>0</v>
      </c>
      <c r="AG470">
        <v>0</v>
      </c>
      <c r="AH470">
        <v>0</v>
      </c>
      <c r="AI470">
        <v>0</v>
      </c>
      <c r="AJ470">
        <v>0</v>
      </c>
      <c r="AK470">
        <v>0</v>
      </c>
      <c r="AL470">
        <v>0</v>
      </c>
      <c r="AM470">
        <v>4</v>
      </c>
      <c r="AN470">
        <v>1</v>
      </c>
    </row>
    <row r="471" spans="1:40" x14ac:dyDescent="0.25">
      <c r="A471" t="s">
        <v>3771</v>
      </c>
      <c r="B471" t="s">
        <v>3772</v>
      </c>
      <c r="F471" t="s">
        <v>2844</v>
      </c>
      <c r="G471" t="s">
        <v>3496</v>
      </c>
      <c r="H471">
        <v>2017</v>
      </c>
      <c r="I471">
        <v>21</v>
      </c>
      <c r="J471">
        <v>6</v>
      </c>
      <c r="N471">
        <v>914</v>
      </c>
      <c r="O471">
        <v>928</v>
      </c>
      <c r="Q471" t="s">
        <v>3773</v>
      </c>
      <c r="T471">
        <v>5</v>
      </c>
      <c r="U471">
        <v>1.67</v>
      </c>
      <c r="V471">
        <v>0</v>
      </c>
      <c r="W471">
        <v>0</v>
      </c>
      <c r="X471">
        <v>0</v>
      </c>
      <c r="Y471">
        <v>0</v>
      </c>
      <c r="Z471">
        <v>0</v>
      </c>
      <c r="AA471">
        <v>0</v>
      </c>
      <c r="AB471">
        <v>0</v>
      </c>
      <c r="AC471">
        <v>0</v>
      </c>
      <c r="AD471">
        <v>0</v>
      </c>
      <c r="AE471">
        <v>0</v>
      </c>
      <c r="AF471">
        <v>0</v>
      </c>
      <c r="AG471">
        <v>0</v>
      </c>
      <c r="AH471">
        <v>0</v>
      </c>
      <c r="AI471">
        <v>0</v>
      </c>
      <c r="AJ471">
        <v>0</v>
      </c>
      <c r="AK471">
        <v>0</v>
      </c>
      <c r="AL471">
        <v>1</v>
      </c>
      <c r="AM471">
        <v>3</v>
      </c>
      <c r="AN471">
        <v>1</v>
      </c>
    </row>
    <row r="472" spans="1:40" x14ac:dyDescent="0.25">
      <c r="A472" t="s">
        <v>3774</v>
      </c>
      <c r="B472" t="s">
        <v>3775</v>
      </c>
      <c r="F472" t="s">
        <v>297</v>
      </c>
      <c r="G472" t="s">
        <v>3776</v>
      </c>
      <c r="H472">
        <v>2017</v>
      </c>
      <c r="I472">
        <v>32</v>
      </c>
      <c r="N472">
        <v>263</v>
      </c>
      <c r="O472">
        <v>274</v>
      </c>
      <c r="Q472" t="s">
        <v>3777</v>
      </c>
      <c r="T472">
        <v>5</v>
      </c>
      <c r="U472">
        <v>1.67</v>
      </c>
      <c r="V472">
        <v>0</v>
      </c>
      <c r="W472">
        <v>0</v>
      </c>
      <c r="X472">
        <v>0</v>
      </c>
      <c r="Y472">
        <v>0</v>
      </c>
      <c r="Z472">
        <v>0</v>
      </c>
      <c r="AA472">
        <v>0</v>
      </c>
      <c r="AB472">
        <v>0</v>
      </c>
      <c r="AC472">
        <v>0</v>
      </c>
      <c r="AD472">
        <v>0</v>
      </c>
      <c r="AE472">
        <v>0</v>
      </c>
      <c r="AF472">
        <v>0</v>
      </c>
      <c r="AG472">
        <v>0</v>
      </c>
      <c r="AH472">
        <v>0</v>
      </c>
      <c r="AI472">
        <v>0</v>
      </c>
      <c r="AJ472">
        <v>0</v>
      </c>
      <c r="AK472">
        <v>0</v>
      </c>
      <c r="AL472">
        <v>2</v>
      </c>
      <c r="AM472">
        <v>3</v>
      </c>
      <c r="AN472">
        <v>0</v>
      </c>
    </row>
    <row r="473" spans="1:40" x14ac:dyDescent="0.25">
      <c r="A473" t="s">
        <v>3778</v>
      </c>
      <c r="B473" t="s">
        <v>3779</v>
      </c>
      <c r="F473" t="s">
        <v>298</v>
      </c>
      <c r="G473" t="s">
        <v>3126</v>
      </c>
      <c r="H473">
        <v>2016</v>
      </c>
      <c r="I473">
        <v>149</v>
      </c>
      <c r="N473">
        <v>209</v>
      </c>
      <c r="O473">
        <v>228</v>
      </c>
      <c r="Q473" t="s">
        <v>3780</v>
      </c>
      <c r="T473">
        <v>5</v>
      </c>
      <c r="U473">
        <v>1.25</v>
      </c>
      <c r="V473">
        <v>0</v>
      </c>
      <c r="W473">
        <v>0</v>
      </c>
      <c r="X473">
        <v>0</v>
      </c>
      <c r="Y473">
        <v>0</v>
      </c>
      <c r="Z473">
        <v>0</v>
      </c>
      <c r="AA473">
        <v>0</v>
      </c>
      <c r="AB473">
        <v>0</v>
      </c>
      <c r="AC473">
        <v>0</v>
      </c>
      <c r="AD473">
        <v>0</v>
      </c>
      <c r="AE473">
        <v>0</v>
      </c>
      <c r="AF473">
        <v>0</v>
      </c>
      <c r="AG473">
        <v>0</v>
      </c>
      <c r="AH473">
        <v>0</v>
      </c>
      <c r="AI473">
        <v>0</v>
      </c>
      <c r="AJ473">
        <v>0</v>
      </c>
      <c r="AK473">
        <v>1</v>
      </c>
      <c r="AL473">
        <v>3</v>
      </c>
      <c r="AM473">
        <v>0</v>
      </c>
      <c r="AN473">
        <v>1</v>
      </c>
    </row>
    <row r="474" spans="1:40" x14ac:dyDescent="0.25">
      <c r="A474" t="s">
        <v>3781</v>
      </c>
      <c r="B474" t="s">
        <v>3782</v>
      </c>
      <c r="F474" t="s">
        <v>3783</v>
      </c>
      <c r="G474" t="s">
        <v>3784</v>
      </c>
      <c r="H474">
        <v>2016</v>
      </c>
      <c r="I474">
        <v>45</v>
      </c>
      <c r="J474">
        <v>1</v>
      </c>
      <c r="N474">
        <v>1</v>
      </c>
      <c r="O474">
        <v>17</v>
      </c>
      <c r="Q474" t="s">
        <v>3785</v>
      </c>
      <c r="T474">
        <v>5</v>
      </c>
      <c r="U474">
        <v>1.25</v>
      </c>
      <c r="V474">
        <v>0</v>
      </c>
      <c r="W474">
        <v>0</v>
      </c>
      <c r="X474">
        <v>0</v>
      </c>
      <c r="Y474">
        <v>0</v>
      </c>
      <c r="Z474">
        <v>0</v>
      </c>
      <c r="AA474">
        <v>0</v>
      </c>
      <c r="AB474">
        <v>0</v>
      </c>
      <c r="AC474">
        <v>0</v>
      </c>
      <c r="AD474">
        <v>0</v>
      </c>
      <c r="AE474">
        <v>0</v>
      </c>
      <c r="AF474">
        <v>0</v>
      </c>
      <c r="AG474">
        <v>0</v>
      </c>
      <c r="AH474">
        <v>0</v>
      </c>
      <c r="AI474">
        <v>0</v>
      </c>
      <c r="AJ474">
        <v>0</v>
      </c>
      <c r="AK474">
        <v>0</v>
      </c>
      <c r="AL474">
        <v>2</v>
      </c>
      <c r="AM474">
        <v>3</v>
      </c>
      <c r="AN474">
        <v>0</v>
      </c>
    </row>
    <row r="475" spans="1:40" x14ac:dyDescent="0.25">
      <c r="A475" t="s">
        <v>3786</v>
      </c>
      <c r="B475" t="s">
        <v>3787</v>
      </c>
      <c r="F475" t="s">
        <v>328</v>
      </c>
      <c r="G475" t="s">
        <v>2528</v>
      </c>
      <c r="H475">
        <v>2016</v>
      </c>
      <c r="I475">
        <v>50</v>
      </c>
      <c r="N475">
        <v>142</v>
      </c>
      <c r="O475">
        <v>158</v>
      </c>
      <c r="Q475" t="s">
        <v>3788</v>
      </c>
      <c r="T475">
        <v>5</v>
      </c>
      <c r="U475">
        <v>1.25</v>
      </c>
      <c r="V475">
        <v>0</v>
      </c>
      <c r="W475">
        <v>0</v>
      </c>
      <c r="X475">
        <v>0</v>
      </c>
      <c r="Y475">
        <v>0</v>
      </c>
      <c r="Z475">
        <v>0</v>
      </c>
      <c r="AA475">
        <v>0</v>
      </c>
      <c r="AB475">
        <v>0</v>
      </c>
      <c r="AC475">
        <v>0</v>
      </c>
      <c r="AD475">
        <v>0</v>
      </c>
      <c r="AE475">
        <v>0</v>
      </c>
      <c r="AF475">
        <v>0</v>
      </c>
      <c r="AG475">
        <v>0</v>
      </c>
      <c r="AH475">
        <v>0</v>
      </c>
      <c r="AI475">
        <v>0</v>
      </c>
      <c r="AJ475">
        <v>0</v>
      </c>
      <c r="AK475">
        <v>0</v>
      </c>
      <c r="AL475">
        <v>4</v>
      </c>
      <c r="AM475">
        <v>1</v>
      </c>
      <c r="AN475">
        <v>0</v>
      </c>
    </row>
    <row r="476" spans="1:40" x14ac:dyDescent="0.25">
      <c r="A476" t="s">
        <v>3789</v>
      </c>
      <c r="B476" t="s">
        <v>3790</v>
      </c>
      <c r="F476" t="s">
        <v>311</v>
      </c>
      <c r="G476" t="s">
        <v>3049</v>
      </c>
      <c r="H476">
        <v>2015</v>
      </c>
      <c r="I476">
        <v>24</v>
      </c>
      <c r="J476">
        <v>7</v>
      </c>
      <c r="N476">
        <v>2110</v>
      </c>
      <c r="O476">
        <v>2123</v>
      </c>
      <c r="Q476" t="s">
        <v>3791</v>
      </c>
      <c r="T476">
        <v>5</v>
      </c>
      <c r="U476">
        <v>1</v>
      </c>
      <c r="V476">
        <v>0</v>
      </c>
      <c r="W476">
        <v>0</v>
      </c>
      <c r="X476">
        <v>0</v>
      </c>
      <c r="Y476">
        <v>0</v>
      </c>
      <c r="Z476">
        <v>0</v>
      </c>
      <c r="AA476">
        <v>0</v>
      </c>
      <c r="AB476">
        <v>0</v>
      </c>
      <c r="AC476">
        <v>0</v>
      </c>
      <c r="AD476">
        <v>0</v>
      </c>
      <c r="AE476">
        <v>0</v>
      </c>
      <c r="AF476">
        <v>0</v>
      </c>
      <c r="AG476">
        <v>0</v>
      </c>
      <c r="AH476">
        <v>0</v>
      </c>
      <c r="AI476">
        <v>0</v>
      </c>
      <c r="AJ476">
        <v>0</v>
      </c>
      <c r="AK476">
        <v>1</v>
      </c>
      <c r="AL476">
        <v>1</v>
      </c>
      <c r="AM476">
        <v>3</v>
      </c>
      <c r="AN476">
        <v>0</v>
      </c>
    </row>
    <row r="477" spans="1:40" x14ac:dyDescent="0.25">
      <c r="A477" t="s">
        <v>3792</v>
      </c>
      <c r="B477" t="s">
        <v>3793</v>
      </c>
      <c r="F477" t="s">
        <v>3794</v>
      </c>
      <c r="G477" t="s">
        <v>2412</v>
      </c>
      <c r="H477">
        <v>2015</v>
      </c>
      <c r="I477">
        <v>16</v>
      </c>
      <c r="J477">
        <v>1</v>
      </c>
      <c r="N477">
        <v>29</v>
      </c>
      <c r="O477">
        <v>35</v>
      </c>
      <c r="Q477" t="s">
        <v>3795</v>
      </c>
      <c r="T477">
        <v>5</v>
      </c>
      <c r="U477">
        <v>1</v>
      </c>
      <c r="V477">
        <v>0</v>
      </c>
      <c r="W477">
        <v>0</v>
      </c>
      <c r="X477">
        <v>0</v>
      </c>
      <c r="Y477">
        <v>0</v>
      </c>
      <c r="Z477">
        <v>0</v>
      </c>
      <c r="AA477">
        <v>0</v>
      </c>
      <c r="AB477">
        <v>0</v>
      </c>
      <c r="AC477">
        <v>0</v>
      </c>
      <c r="AD477">
        <v>0</v>
      </c>
      <c r="AE477">
        <v>0</v>
      </c>
      <c r="AF477">
        <v>0</v>
      </c>
      <c r="AG477">
        <v>0</v>
      </c>
      <c r="AH477">
        <v>0</v>
      </c>
      <c r="AI477">
        <v>0</v>
      </c>
      <c r="AJ477">
        <v>1</v>
      </c>
      <c r="AK477">
        <v>2</v>
      </c>
      <c r="AL477">
        <v>1</v>
      </c>
      <c r="AM477">
        <v>1</v>
      </c>
      <c r="AN477">
        <v>0</v>
      </c>
    </row>
    <row r="478" spans="1:40" x14ac:dyDescent="0.25">
      <c r="A478" t="s">
        <v>3796</v>
      </c>
      <c r="B478" t="s">
        <v>3797</v>
      </c>
      <c r="F478" t="s">
        <v>303</v>
      </c>
      <c r="G478" t="s">
        <v>2434</v>
      </c>
      <c r="H478">
        <v>2015</v>
      </c>
      <c r="I478">
        <v>111</v>
      </c>
      <c r="J478">
        <v>1</v>
      </c>
      <c r="N478">
        <v>69</v>
      </c>
      <c r="O478">
        <v>97</v>
      </c>
      <c r="Q478" t="s">
        <v>3798</v>
      </c>
      <c r="T478">
        <v>5</v>
      </c>
      <c r="U478">
        <v>1</v>
      </c>
      <c r="V478">
        <v>0</v>
      </c>
      <c r="W478">
        <v>0</v>
      </c>
      <c r="X478">
        <v>0</v>
      </c>
      <c r="Y478">
        <v>0</v>
      </c>
      <c r="Z478">
        <v>0</v>
      </c>
      <c r="AA478">
        <v>0</v>
      </c>
      <c r="AB478">
        <v>0</v>
      </c>
      <c r="AC478">
        <v>0</v>
      </c>
      <c r="AD478">
        <v>0</v>
      </c>
      <c r="AE478">
        <v>0</v>
      </c>
      <c r="AF478">
        <v>0</v>
      </c>
      <c r="AG478">
        <v>0</v>
      </c>
      <c r="AH478">
        <v>0</v>
      </c>
      <c r="AI478">
        <v>0</v>
      </c>
      <c r="AJ478">
        <v>1</v>
      </c>
      <c r="AK478">
        <v>0</v>
      </c>
      <c r="AL478">
        <v>3</v>
      </c>
      <c r="AM478">
        <v>0</v>
      </c>
      <c r="AN478">
        <v>1</v>
      </c>
    </row>
    <row r="479" spans="1:40" x14ac:dyDescent="0.25">
      <c r="A479" t="s">
        <v>3799</v>
      </c>
      <c r="B479" t="s">
        <v>3800</v>
      </c>
      <c r="F479" t="s">
        <v>305</v>
      </c>
      <c r="G479" t="s">
        <v>3801</v>
      </c>
      <c r="H479">
        <v>2014</v>
      </c>
      <c r="I479">
        <v>44</v>
      </c>
      <c r="N479">
        <v>80</v>
      </c>
      <c r="O479">
        <v>87</v>
      </c>
      <c r="Q479" t="s">
        <v>3802</v>
      </c>
      <c r="T479">
        <v>5</v>
      </c>
      <c r="U479">
        <v>0.83</v>
      </c>
      <c r="V479">
        <v>0</v>
      </c>
      <c r="W479">
        <v>0</v>
      </c>
      <c r="X479">
        <v>0</v>
      </c>
      <c r="Y479">
        <v>0</v>
      </c>
      <c r="Z479">
        <v>0</v>
      </c>
      <c r="AA479">
        <v>0</v>
      </c>
      <c r="AB479">
        <v>0</v>
      </c>
      <c r="AC479">
        <v>0</v>
      </c>
      <c r="AD479">
        <v>0</v>
      </c>
      <c r="AE479">
        <v>0</v>
      </c>
      <c r="AF479">
        <v>0</v>
      </c>
      <c r="AG479">
        <v>0</v>
      </c>
      <c r="AH479">
        <v>0</v>
      </c>
      <c r="AI479">
        <v>0</v>
      </c>
      <c r="AJ479">
        <v>0</v>
      </c>
      <c r="AK479">
        <v>2</v>
      </c>
      <c r="AL479">
        <v>1</v>
      </c>
      <c r="AM479">
        <v>2</v>
      </c>
      <c r="AN479">
        <v>0</v>
      </c>
    </row>
    <row r="480" spans="1:40" x14ac:dyDescent="0.25">
      <c r="A480" t="s">
        <v>1734</v>
      </c>
      <c r="B480" t="s">
        <v>1736</v>
      </c>
      <c r="F480" t="s">
        <v>305</v>
      </c>
      <c r="G480" t="s">
        <v>3618</v>
      </c>
      <c r="H480">
        <v>2013</v>
      </c>
      <c r="I480">
        <v>34</v>
      </c>
      <c r="J480">
        <v>15</v>
      </c>
      <c r="M480" t="s">
        <v>1948</v>
      </c>
      <c r="N480">
        <v>1771</v>
      </c>
      <c r="O480">
        <v>1779</v>
      </c>
      <c r="Q480" t="s">
        <v>3803</v>
      </c>
      <c r="T480">
        <v>5</v>
      </c>
      <c r="U480">
        <v>0.71</v>
      </c>
      <c r="V480">
        <v>0</v>
      </c>
      <c r="W480">
        <v>0</v>
      </c>
      <c r="X480">
        <v>0</v>
      </c>
      <c r="Y480">
        <v>0</v>
      </c>
      <c r="Z480">
        <v>0</v>
      </c>
      <c r="AA480">
        <v>0</v>
      </c>
      <c r="AB480">
        <v>0</v>
      </c>
      <c r="AC480">
        <v>0</v>
      </c>
      <c r="AD480">
        <v>0</v>
      </c>
      <c r="AE480">
        <v>0</v>
      </c>
      <c r="AF480">
        <v>0</v>
      </c>
      <c r="AG480">
        <v>0</v>
      </c>
      <c r="AH480">
        <v>0</v>
      </c>
      <c r="AI480">
        <v>0</v>
      </c>
      <c r="AJ480">
        <v>1</v>
      </c>
      <c r="AK480">
        <v>2</v>
      </c>
      <c r="AL480">
        <v>0</v>
      </c>
      <c r="AM480">
        <v>2</v>
      </c>
      <c r="AN480">
        <v>0</v>
      </c>
    </row>
    <row r="481" spans="1:40" x14ac:dyDescent="0.25">
      <c r="A481" t="s">
        <v>3804</v>
      </c>
      <c r="B481" t="s">
        <v>3805</v>
      </c>
      <c r="F481" t="s">
        <v>298</v>
      </c>
      <c r="G481" t="s">
        <v>3806</v>
      </c>
      <c r="H481">
        <v>2013</v>
      </c>
      <c r="I481">
        <v>117</v>
      </c>
      <c r="J481">
        <v>10</v>
      </c>
      <c r="N481">
        <v>1204</v>
      </c>
      <c r="O481">
        <v>1214</v>
      </c>
      <c r="Q481" t="s">
        <v>3807</v>
      </c>
      <c r="T481">
        <v>5</v>
      </c>
      <c r="U481">
        <v>0.71</v>
      </c>
      <c r="V481">
        <v>0</v>
      </c>
      <c r="W481">
        <v>0</v>
      </c>
      <c r="X481">
        <v>0</v>
      </c>
      <c r="Y481">
        <v>0</v>
      </c>
      <c r="Z481">
        <v>0</v>
      </c>
      <c r="AA481">
        <v>0</v>
      </c>
      <c r="AB481">
        <v>0</v>
      </c>
      <c r="AC481">
        <v>0</v>
      </c>
      <c r="AD481">
        <v>0</v>
      </c>
      <c r="AE481">
        <v>0</v>
      </c>
      <c r="AF481">
        <v>0</v>
      </c>
      <c r="AG481">
        <v>0</v>
      </c>
      <c r="AH481">
        <v>0</v>
      </c>
      <c r="AI481">
        <v>2</v>
      </c>
      <c r="AJ481">
        <v>1</v>
      </c>
      <c r="AK481">
        <v>1</v>
      </c>
      <c r="AL481">
        <v>1</v>
      </c>
      <c r="AM481">
        <v>0</v>
      </c>
      <c r="AN481">
        <v>0</v>
      </c>
    </row>
    <row r="482" spans="1:40" x14ac:dyDescent="0.25">
      <c r="A482" t="s">
        <v>3808</v>
      </c>
      <c r="B482" t="s">
        <v>3809</v>
      </c>
      <c r="F482" t="s">
        <v>316</v>
      </c>
      <c r="G482" t="s">
        <v>2526</v>
      </c>
      <c r="H482">
        <v>2013</v>
      </c>
      <c r="I482">
        <v>7</v>
      </c>
      <c r="J482">
        <v>6</v>
      </c>
      <c r="N482">
        <v>616</v>
      </c>
      <c r="O482">
        <v>623</v>
      </c>
      <c r="Q482" t="s">
        <v>3810</v>
      </c>
      <c r="T482">
        <v>5</v>
      </c>
      <c r="U482">
        <v>0.71</v>
      </c>
      <c r="V482">
        <v>0</v>
      </c>
      <c r="W482">
        <v>0</v>
      </c>
      <c r="X482">
        <v>0</v>
      </c>
      <c r="Y482">
        <v>0</v>
      </c>
      <c r="Z482">
        <v>0</v>
      </c>
      <c r="AA482">
        <v>0</v>
      </c>
      <c r="AB482">
        <v>0</v>
      </c>
      <c r="AC482">
        <v>0</v>
      </c>
      <c r="AD482">
        <v>0</v>
      </c>
      <c r="AE482">
        <v>0</v>
      </c>
      <c r="AF482">
        <v>0</v>
      </c>
      <c r="AG482">
        <v>0</v>
      </c>
      <c r="AH482">
        <v>0</v>
      </c>
      <c r="AI482">
        <v>0</v>
      </c>
      <c r="AJ482">
        <v>0</v>
      </c>
      <c r="AK482">
        <v>0</v>
      </c>
      <c r="AL482">
        <v>3</v>
      </c>
      <c r="AM482">
        <v>2</v>
      </c>
      <c r="AN482">
        <v>0</v>
      </c>
    </row>
    <row r="483" spans="1:40" x14ac:dyDescent="0.25">
      <c r="A483" t="s">
        <v>3811</v>
      </c>
      <c r="B483" t="s">
        <v>3812</v>
      </c>
      <c r="F483" t="s">
        <v>3813</v>
      </c>
      <c r="G483" t="s">
        <v>2758</v>
      </c>
      <c r="H483">
        <v>2013</v>
      </c>
      <c r="I483">
        <v>37</v>
      </c>
      <c r="J483">
        <v>1</v>
      </c>
      <c r="M483" t="s">
        <v>1948</v>
      </c>
      <c r="N483">
        <v>33</v>
      </c>
      <c r="O483">
        <v>46</v>
      </c>
      <c r="Q483" t="s">
        <v>3814</v>
      </c>
      <c r="T483">
        <v>5</v>
      </c>
      <c r="U483">
        <v>0.71</v>
      </c>
      <c r="V483">
        <v>0</v>
      </c>
      <c r="W483">
        <v>0</v>
      </c>
      <c r="X483">
        <v>0</v>
      </c>
      <c r="Y483">
        <v>0</v>
      </c>
      <c r="Z483">
        <v>0</v>
      </c>
      <c r="AA483">
        <v>0</v>
      </c>
      <c r="AB483">
        <v>0</v>
      </c>
      <c r="AC483">
        <v>0</v>
      </c>
      <c r="AD483">
        <v>0</v>
      </c>
      <c r="AE483">
        <v>0</v>
      </c>
      <c r="AF483">
        <v>0</v>
      </c>
      <c r="AG483">
        <v>0</v>
      </c>
      <c r="AH483">
        <v>0</v>
      </c>
      <c r="AI483">
        <v>2</v>
      </c>
      <c r="AJ483">
        <v>1</v>
      </c>
      <c r="AK483">
        <v>0</v>
      </c>
      <c r="AL483">
        <v>1</v>
      </c>
      <c r="AM483">
        <v>1</v>
      </c>
      <c r="AN483">
        <v>0</v>
      </c>
    </row>
    <row r="484" spans="1:40" x14ac:dyDescent="0.25">
      <c r="A484" t="s">
        <v>3815</v>
      </c>
      <c r="B484" t="s">
        <v>3816</v>
      </c>
      <c r="F484" t="s">
        <v>298</v>
      </c>
      <c r="G484" t="s">
        <v>2515</v>
      </c>
      <c r="H484">
        <v>2012</v>
      </c>
      <c r="I484">
        <v>116</v>
      </c>
      <c r="J484">
        <v>11</v>
      </c>
      <c r="N484">
        <v>1111</v>
      </c>
      <c r="O484">
        <v>1120</v>
      </c>
      <c r="Q484" t="s">
        <v>3817</v>
      </c>
      <c r="T484">
        <v>5</v>
      </c>
      <c r="U484">
        <v>0.63</v>
      </c>
      <c r="V484">
        <v>0</v>
      </c>
      <c r="W484">
        <v>0</v>
      </c>
      <c r="X484">
        <v>0</v>
      </c>
      <c r="Y484">
        <v>0</v>
      </c>
      <c r="Z484">
        <v>0</v>
      </c>
      <c r="AA484">
        <v>0</v>
      </c>
      <c r="AB484">
        <v>0</v>
      </c>
      <c r="AC484">
        <v>0</v>
      </c>
      <c r="AD484">
        <v>0</v>
      </c>
      <c r="AE484">
        <v>0</v>
      </c>
      <c r="AF484">
        <v>0</v>
      </c>
      <c r="AG484">
        <v>0</v>
      </c>
      <c r="AH484">
        <v>0</v>
      </c>
      <c r="AI484">
        <v>0</v>
      </c>
      <c r="AJ484">
        <v>1</v>
      </c>
      <c r="AK484">
        <v>3</v>
      </c>
      <c r="AL484">
        <v>1</v>
      </c>
      <c r="AM484">
        <v>0</v>
      </c>
      <c r="AN484">
        <v>0</v>
      </c>
    </row>
    <row r="485" spans="1:40" x14ac:dyDescent="0.25">
      <c r="A485" t="s">
        <v>3818</v>
      </c>
      <c r="B485" t="s">
        <v>3819</v>
      </c>
      <c r="F485" t="s">
        <v>3783</v>
      </c>
      <c r="G485" t="s">
        <v>2398</v>
      </c>
      <c r="H485">
        <v>2012</v>
      </c>
      <c r="I485">
        <v>36</v>
      </c>
      <c r="J485">
        <v>3</v>
      </c>
      <c r="N485">
        <v>638</v>
      </c>
      <c r="O485">
        <v>648</v>
      </c>
      <c r="Q485" t="s">
        <v>3820</v>
      </c>
      <c r="T485">
        <v>5</v>
      </c>
      <c r="U485">
        <v>0.63</v>
      </c>
      <c r="V485">
        <v>0</v>
      </c>
      <c r="W485">
        <v>0</v>
      </c>
      <c r="X485">
        <v>0</v>
      </c>
      <c r="Y485">
        <v>0</v>
      </c>
      <c r="Z485">
        <v>0</v>
      </c>
      <c r="AA485">
        <v>0</v>
      </c>
      <c r="AB485">
        <v>0</v>
      </c>
      <c r="AC485">
        <v>0</v>
      </c>
      <c r="AD485">
        <v>0</v>
      </c>
      <c r="AE485">
        <v>0</v>
      </c>
      <c r="AF485">
        <v>0</v>
      </c>
      <c r="AG485">
        <v>0</v>
      </c>
      <c r="AH485">
        <v>0</v>
      </c>
      <c r="AI485">
        <v>3</v>
      </c>
      <c r="AJ485">
        <v>0</v>
      </c>
      <c r="AK485">
        <v>2</v>
      </c>
      <c r="AL485">
        <v>0</v>
      </c>
      <c r="AM485">
        <v>0</v>
      </c>
      <c r="AN485">
        <v>0</v>
      </c>
    </row>
    <row r="486" spans="1:40" x14ac:dyDescent="0.25">
      <c r="A486" t="s">
        <v>1419</v>
      </c>
      <c r="B486" t="s">
        <v>1421</v>
      </c>
      <c r="F486" t="s">
        <v>310</v>
      </c>
      <c r="G486" t="s">
        <v>2483</v>
      </c>
      <c r="H486">
        <v>2012</v>
      </c>
      <c r="I486">
        <v>6</v>
      </c>
      <c r="J486">
        <v>1</v>
      </c>
      <c r="N486">
        <v>70</v>
      </c>
      <c r="O486">
        <v>78</v>
      </c>
      <c r="Q486" t="s">
        <v>3821</v>
      </c>
      <c r="T486">
        <v>5</v>
      </c>
      <c r="U486">
        <v>0.63</v>
      </c>
      <c r="V486">
        <v>0</v>
      </c>
      <c r="W486">
        <v>0</v>
      </c>
      <c r="X486">
        <v>0</v>
      </c>
      <c r="Y486">
        <v>0</v>
      </c>
      <c r="Z486">
        <v>0</v>
      </c>
      <c r="AA486">
        <v>0</v>
      </c>
      <c r="AB486">
        <v>0</v>
      </c>
      <c r="AC486">
        <v>0</v>
      </c>
      <c r="AD486">
        <v>0</v>
      </c>
      <c r="AE486">
        <v>0</v>
      </c>
      <c r="AF486">
        <v>0</v>
      </c>
      <c r="AG486">
        <v>1</v>
      </c>
      <c r="AH486">
        <v>1</v>
      </c>
      <c r="AI486">
        <v>1</v>
      </c>
      <c r="AJ486">
        <v>0</v>
      </c>
      <c r="AK486">
        <v>1</v>
      </c>
      <c r="AL486">
        <v>1</v>
      </c>
      <c r="AM486">
        <v>0</v>
      </c>
      <c r="AN486">
        <v>0</v>
      </c>
    </row>
    <row r="487" spans="1:40" x14ac:dyDescent="0.25">
      <c r="A487" t="s">
        <v>3822</v>
      </c>
      <c r="B487" t="s">
        <v>3823</v>
      </c>
      <c r="F487" t="s">
        <v>328</v>
      </c>
      <c r="G487" t="s">
        <v>2504</v>
      </c>
      <c r="H487">
        <v>2011</v>
      </c>
      <c r="I487">
        <v>24</v>
      </c>
      <c r="J487">
        <v>7</v>
      </c>
      <c r="N487">
        <v>1295</v>
      </c>
      <c r="O487">
        <v>1299</v>
      </c>
      <c r="Q487" t="s">
        <v>3824</v>
      </c>
      <c r="T487">
        <v>5</v>
      </c>
      <c r="U487">
        <v>0.56000000000000005</v>
      </c>
      <c r="V487">
        <v>0</v>
      </c>
      <c r="W487">
        <v>0</v>
      </c>
      <c r="X487">
        <v>0</v>
      </c>
      <c r="Y487">
        <v>0</v>
      </c>
      <c r="Z487">
        <v>0</v>
      </c>
      <c r="AA487">
        <v>0</v>
      </c>
      <c r="AB487">
        <v>0</v>
      </c>
      <c r="AC487">
        <v>0</v>
      </c>
      <c r="AD487">
        <v>0</v>
      </c>
      <c r="AE487">
        <v>0</v>
      </c>
      <c r="AF487">
        <v>0</v>
      </c>
      <c r="AG487">
        <v>1</v>
      </c>
      <c r="AH487">
        <v>2</v>
      </c>
      <c r="AI487">
        <v>1</v>
      </c>
      <c r="AJ487">
        <v>0</v>
      </c>
      <c r="AK487">
        <v>0</v>
      </c>
      <c r="AL487">
        <v>1</v>
      </c>
      <c r="AM487">
        <v>0</v>
      </c>
      <c r="AN487">
        <v>0</v>
      </c>
    </row>
    <row r="488" spans="1:40" x14ac:dyDescent="0.25">
      <c r="A488" t="s">
        <v>3825</v>
      </c>
      <c r="B488" t="s">
        <v>3826</v>
      </c>
      <c r="F488" t="s">
        <v>311</v>
      </c>
      <c r="G488" t="s">
        <v>2582</v>
      </c>
      <c r="H488">
        <v>2011</v>
      </c>
      <c r="I488">
        <v>20</v>
      </c>
      <c r="J488">
        <v>4</v>
      </c>
      <c r="N488">
        <v>935</v>
      </c>
      <c r="O488">
        <v>947</v>
      </c>
      <c r="Q488" t="s">
        <v>3827</v>
      </c>
      <c r="T488">
        <v>5</v>
      </c>
      <c r="U488">
        <v>0.56000000000000005</v>
      </c>
      <c r="V488">
        <v>0</v>
      </c>
      <c r="W488">
        <v>0</v>
      </c>
      <c r="X488">
        <v>0</v>
      </c>
      <c r="Y488">
        <v>0</v>
      </c>
      <c r="Z488">
        <v>0</v>
      </c>
      <c r="AA488">
        <v>0</v>
      </c>
      <c r="AB488">
        <v>0</v>
      </c>
      <c r="AC488">
        <v>0</v>
      </c>
      <c r="AD488">
        <v>0</v>
      </c>
      <c r="AE488">
        <v>0</v>
      </c>
      <c r="AF488">
        <v>0</v>
      </c>
      <c r="AG488">
        <v>2</v>
      </c>
      <c r="AH488">
        <v>0</v>
      </c>
      <c r="AI488">
        <v>1</v>
      </c>
      <c r="AJ488">
        <v>1</v>
      </c>
      <c r="AK488">
        <v>1</v>
      </c>
      <c r="AL488">
        <v>0</v>
      </c>
      <c r="AM488">
        <v>0</v>
      </c>
      <c r="AN488">
        <v>0</v>
      </c>
    </row>
    <row r="489" spans="1:40" x14ac:dyDescent="0.25">
      <c r="A489" t="s">
        <v>3828</v>
      </c>
      <c r="B489" t="s">
        <v>3829</v>
      </c>
      <c r="F489" t="s">
        <v>308</v>
      </c>
      <c r="G489" t="s">
        <v>2942</v>
      </c>
      <c r="H489">
        <v>2010</v>
      </c>
      <c r="I489">
        <v>43</v>
      </c>
      <c r="J489">
        <v>11</v>
      </c>
      <c r="N489">
        <v>3833</v>
      </c>
      <c r="O489">
        <v>3845</v>
      </c>
      <c r="Q489" t="s">
        <v>3830</v>
      </c>
      <c r="T489">
        <v>5</v>
      </c>
      <c r="U489">
        <v>0.5</v>
      </c>
      <c r="V489">
        <v>0</v>
      </c>
      <c r="W489">
        <v>0</v>
      </c>
      <c r="X489">
        <v>0</v>
      </c>
      <c r="Y489">
        <v>0</v>
      </c>
      <c r="Z489">
        <v>0</v>
      </c>
      <c r="AA489">
        <v>0</v>
      </c>
      <c r="AB489">
        <v>0</v>
      </c>
      <c r="AC489">
        <v>0</v>
      </c>
      <c r="AD489">
        <v>0</v>
      </c>
      <c r="AE489">
        <v>0</v>
      </c>
      <c r="AF489">
        <v>1</v>
      </c>
      <c r="AG489">
        <v>2</v>
      </c>
      <c r="AH489">
        <v>1</v>
      </c>
      <c r="AI489">
        <v>0</v>
      </c>
      <c r="AJ489">
        <v>0</v>
      </c>
      <c r="AK489">
        <v>0</v>
      </c>
      <c r="AL489">
        <v>0</v>
      </c>
      <c r="AM489">
        <v>1</v>
      </c>
      <c r="AN489">
        <v>0</v>
      </c>
    </row>
    <row r="490" spans="1:40" x14ac:dyDescent="0.25">
      <c r="A490" t="s">
        <v>3831</v>
      </c>
      <c r="B490" t="s">
        <v>3832</v>
      </c>
      <c r="F490" t="s">
        <v>298</v>
      </c>
      <c r="G490" t="s">
        <v>2422</v>
      </c>
      <c r="H490">
        <v>2009</v>
      </c>
      <c r="I490">
        <v>113</v>
      </c>
      <c r="J490">
        <v>12</v>
      </c>
      <c r="N490">
        <v>1222</v>
      </c>
      <c r="O490">
        <v>1234</v>
      </c>
      <c r="Q490" t="s">
        <v>3833</v>
      </c>
      <c r="T490">
        <v>5</v>
      </c>
      <c r="U490">
        <v>0.45</v>
      </c>
      <c r="V490">
        <v>0</v>
      </c>
      <c r="W490">
        <v>0</v>
      </c>
      <c r="X490">
        <v>0</v>
      </c>
      <c r="Y490">
        <v>0</v>
      </c>
      <c r="Z490">
        <v>0</v>
      </c>
      <c r="AA490">
        <v>0</v>
      </c>
      <c r="AB490">
        <v>0</v>
      </c>
      <c r="AC490">
        <v>0</v>
      </c>
      <c r="AD490">
        <v>0</v>
      </c>
      <c r="AE490">
        <v>0</v>
      </c>
      <c r="AF490">
        <v>2</v>
      </c>
      <c r="AG490">
        <v>1</v>
      </c>
      <c r="AH490">
        <v>0</v>
      </c>
      <c r="AI490">
        <v>1</v>
      </c>
      <c r="AJ490">
        <v>0</v>
      </c>
      <c r="AK490">
        <v>0</v>
      </c>
      <c r="AL490">
        <v>1</v>
      </c>
      <c r="AM490">
        <v>0</v>
      </c>
      <c r="AN490">
        <v>0</v>
      </c>
    </row>
    <row r="491" spans="1:40" x14ac:dyDescent="0.25">
      <c r="A491" t="s">
        <v>3834</v>
      </c>
      <c r="B491" t="s">
        <v>3835</v>
      </c>
      <c r="F491" t="s">
        <v>302</v>
      </c>
      <c r="G491" t="s">
        <v>3836</v>
      </c>
      <c r="H491">
        <v>2009</v>
      </c>
      <c r="I491">
        <v>27</v>
      </c>
      <c r="J491">
        <v>8</v>
      </c>
      <c r="N491">
        <v>1097</v>
      </c>
      <c r="O491">
        <v>1107</v>
      </c>
      <c r="Q491" t="s">
        <v>3837</v>
      </c>
      <c r="T491">
        <v>5</v>
      </c>
      <c r="U491">
        <v>0.45</v>
      </c>
      <c r="V491">
        <v>0</v>
      </c>
      <c r="W491">
        <v>0</v>
      </c>
      <c r="X491">
        <v>0</v>
      </c>
      <c r="Y491">
        <v>0</v>
      </c>
      <c r="Z491">
        <v>0</v>
      </c>
      <c r="AA491">
        <v>0</v>
      </c>
      <c r="AB491">
        <v>0</v>
      </c>
      <c r="AC491">
        <v>0</v>
      </c>
      <c r="AD491">
        <v>0</v>
      </c>
      <c r="AE491">
        <v>1</v>
      </c>
      <c r="AF491">
        <v>0</v>
      </c>
      <c r="AG491">
        <v>0</v>
      </c>
      <c r="AH491">
        <v>0</v>
      </c>
      <c r="AI491">
        <v>0</v>
      </c>
      <c r="AJ491">
        <v>1</v>
      </c>
      <c r="AK491">
        <v>1</v>
      </c>
      <c r="AL491">
        <v>1</v>
      </c>
      <c r="AM491">
        <v>1</v>
      </c>
      <c r="AN491">
        <v>0</v>
      </c>
    </row>
    <row r="492" spans="1:40" x14ac:dyDescent="0.25">
      <c r="A492" t="s">
        <v>1539</v>
      </c>
      <c r="B492" t="s">
        <v>1541</v>
      </c>
      <c r="F492" t="s">
        <v>330</v>
      </c>
      <c r="G492" t="s">
        <v>3838</v>
      </c>
      <c r="H492">
        <v>2009</v>
      </c>
      <c r="I492">
        <v>5</v>
      </c>
      <c r="J492">
        <v>3</v>
      </c>
      <c r="M492" t="s">
        <v>1948</v>
      </c>
      <c r="N492">
        <v>785</v>
      </c>
      <c r="O492">
        <v>800</v>
      </c>
      <c r="T492">
        <v>5</v>
      </c>
      <c r="U492">
        <v>0.45</v>
      </c>
      <c r="V492">
        <v>0</v>
      </c>
      <c r="W492">
        <v>0</v>
      </c>
      <c r="X492">
        <v>0</v>
      </c>
      <c r="Y492">
        <v>0</v>
      </c>
      <c r="Z492">
        <v>0</v>
      </c>
      <c r="AA492">
        <v>0</v>
      </c>
      <c r="AB492">
        <v>0</v>
      </c>
      <c r="AC492">
        <v>0</v>
      </c>
      <c r="AD492">
        <v>0</v>
      </c>
      <c r="AE492">
        <v>1</v>
      </c>
      <c r="AF492">
        <v>2</v>
      </c>
      <c r="AG492">
        <v>1</v>
      </c>
      <c r="AH492">
        <v>1</v>
      </c>
      <c r="AI492">
        <v>0</v>
      </c>
      <c r="AJ492">
        <v>0</v>
      </c>
      <c r="AK492">
        <v>0</v>
      </c>
      <c r="AL492">
        <v>0</v>
      </c>
      <c r="AM492">
        <v>0</v>
      </c>
      <c r="AN492">
        <v>0</v>
      </c>
    </row>
    <row r="493" spans="1:40" x14ac:dyDescent="0.25">
      <c r="A493" t="s">
        <v>3839</v>
      </c>
      <c r="B493" t="s">
        <v>3840</v>
      </c>
      <c r="F493" t="s">
        <v>306</v>
      </c>
      <c r="G493" t="s">
        <v>2463</v>
      </c>
      <c r="H493">
        <v>2008</v>
      </c>
      <c r="I493">
        <v>71</v>
      </c>
      <c r="J493" t="s">
        <v>3841</v>
      </c>
      <c r="N493">
        <v>704</v>
      </c>
      <c r="O493">
        <v>720</v>
      </c>
      <c r="Q493" t="s">
        <v>3842</v>
      </c>
      <c r="R493" t="s">
        <v>3843</v>
      </c>
      <c r="S493" t="s">
        <v>3844</v>
      </c>
      <c r="T493">
        <v>5</v>
      </c>
      <c r="U493">
        <v>0.42</v>
      </c>
      <c r="V493">
        <v>0</v>
      </c>
      <c r="W493">
        <v>0</v>
      </c>
      <c r="X493">
        <v>0</v>
      </c>
      <c r="Y493">
        <v>0</v>
      </c>
      <c r="Z493">
        <v>0</v>
      </c>
      <c r="AA493">
        <v>0</v>
      </c>
      <c r="AB493">
        <v>0</v>
      </c>
      <c r="AC493">
        <v>0</v>
      </c>
      <c r="AD493">
        <v>0</v>
      </c>
      <c r="AE493">
        <v>1</v>
      </c>
      <c r="AF493">
        <v>2</v>
      </c>
      <c r="AG493">
        <v>0</v>
      </c>
      <c r="AH493">
        <v>2</v>
      </c>
      <c r="AI493">
        <v>0</v>
      </c>
      <c r="AJ493">
        <v>0</v>
      </c>
      <c r="AK493">
        <v>0</v>
      </c>
      <c r="AL493">
        <v>0</v>
      </c>
      <c r="AM493">
        <v>0</v>
      </c>
      <c r="AN493">
        <v>0</v>
      </c>
    </row>
    <row r="494" spans="1:40" x14ac:dyDescent="0.25">
      <c r="A494" t="s">
        <v>3845</v>
      </c>
      <c r="B494" t="s">
        <v>3846</v>
      </c>
      <c r="F494" t="s">
        <v>302</v>
      </c>
      <c r="G494" t="s">
        <v>3094</v>
      </c>
      <c r="H494">
        <v>2007</v>
      </c>
      <c r="I494">
        <v>25</v>
      </c>
      <c r="J494">
        <v>8</v>
      </c>
      <c r="N494">
        <v>1301</v>
      </c>
      <c r="O494">
        <v>1314</v>
      </c>
      <c r="Q494" t="s">
        <v>3847</v>
      </c>
      <c r="T494">
        <v>5</v>
      </c>
      <c r="U494">
        <v>0.38</v>
      </c>
      <c r="V494">
        <v>0</v>
      </c>
      <c r="W494">
        <v>0</v>
      </c>
      <c r="X494">
        <v>0</v>
      </c>
      <c r="Y494">
        <v>0</v>
      </c>
      <c r="Z494">
        <v>0</v>
      </c>
      <c r="AA494">
        <v>0</v>
      </c>
      <c r="AB494">
        <v>0</v>
      </c>
      <c r="AC494">
        <v>1</v>
      </c>
      <c r="AD494">
        <v>0</v>
      </c>
      <c r="AE494">
        <v>1</v>
      </c>
      <c r="AF494">
        <v>0</v>
      </c>
      <c r="AG494">
        <v>0</v>
      </c>
      <c r="AH494">
        <v>1</v>
      </c>
      <c r="AI494">
        <v>1</v>
      </c>
      <c r="AJ494">
        <v>0</v>
      </c>
      <c r="AK494">
        <v>0</v>
      </c>
      <c r="AL494">
        <v>0</v>
      </c>
      <c r="AM494">
        <v>1</v>
      </c>
      <c r="AN494">
        <v>0</v>
      </c>
    </row>
    <row r="495" spans="1:40" x14ac:dyDescent="0.25">
      <c r="A495" t="s">
        <v>3848</v>
      </c>
      <c r="B495" t="s">
        <v>3849</v>
      </c>
      <c r="E495" t="s">
        <v>3274</v>
      </c>
      <c r="F495" t="s">
        <v>309</v>
      </c>
      <c r="G495">
        <v>2006</v>
      </c>
      <c r="H495">
        <v>2006</v>
      </c>
      <c r="I495">
        <v>3852</v>
      </c>
      <c r="N495">
        <v>254</v>
      </c>
      <c r="O495">
        <v>263</v>
      </c>
      <c r="R495" t="s">
        <v>3275</v>
      </c>
      <c r="S495" t="s">
        <v>3276</v>
      </c>
      <c r="T495">
        <v>5</v>
      </c>
      <c r="U495">
        <v>0.36</v>
      </c>
      <c r="V495">
        <v>0</v>
      </c>
      <c r="W495">
        <v>0</v>
      </c>
      <c r="X495">
        <v>0</v>
      </c>
      <c r="Y495">
        <v>0</v>
      </c>
      <c r="Z495">
        <v>0</v>
      </c>
      <c r="AA495">
        <v>0</v>
      </c>
      <c r="AB495">
        <v>0</v>
      </c>
      <c r="AC495">
        <v>1</v>
      </c>
      <c r="AD495">
        <v>0</v>
      </c>
      <c r="AE495">
        <v>0</v>
      </c>
      <c r="AF495">
        <v>2</v>
      </c>
      <c r="AG495">
        <v>1</v>
      </c>
      <c r="AH495">
        <v>0</v>
      </c>
      <c r="AI495">
        <v>1</v>
      </c>
      <c r="AJ495">
        <v>0</v>
      </c>
      <c r="AK495">
        <v>0</v>
      </c>
      <c r="AL495">
        <v>0</v>
      </c>
      <c r="AM495">
        <v>0</v>
      </c>
      <c r="AN495">
        <v>0</v>
      </c>
    </row>
    <row r="496" spans="1:40" x14ac:dyDescent="0.25">
      <c r="A496" t="s">
        <v>3850</v>
      </c>
      <c r="B496" t="s">
        <v>3851</v>
      </c>
      <c r="E496" t="s">
        <v>3852</v>
      </c>
      <c r="F496" t="s">
        <v>344</v>
      </c>
      <c r="G496">
        <v>2005</v>
      </c>
      <c r="H496">
        <v>2005</v>
      </c>
      <c r="I496">
        <v>3663</v>
      </c>
      <c r="N496">
        <v>318</v>
      </c>
      <c r="O496">
        <v>325</v>
      </c>
      <c r="R496" t="s">
        <v>3853</v>
      </c>
      <c r="S496" t="s">
        <v>3854</v>
      </c>
      <c r="T496">
        <v>5</v>
      </c>
      <c r="U496">
        <v>0.33</v>
      </c>
      <c r="V496">
        <v>0</v>
      </c>
      <c r="W496">
        <v>0</v>
      </c>
      <c r="X496">
        <v>0</v>
      </c>
      <c r="Y496">
        <v>0</v>
      </c>
      <c r="Z496">
        <v>0</v>
      </c>
      <c r="AA496">
        <v>3</v>
      </c>
      <c r="AB496">
        <v>1</v>
      </c>
      <c r="AC496">
        <v>0</v>
      </c>
      <c r="AD496">
        <v>0</v>
      </c>
      <c r="AE496">
        <v>1</v>
      </c>
      <c r="AF496">
        <v>0</v>
      </c>
      <c r="AG496">
        <v>0</v>
      </c>
      <c r="AH496">
        <v>0</v>
      </c>
      <c r="AI496">
        <v>0</v>
      </c>
      <c r="AJ496">
        <v>0</v>
      </c>
      <c r="AK496">
        <v>0</v>
      </c>
      <c r="AL496">
        <v>0</v>
      </c>
      <c r="AM496">
        <v>0</v>
      </c>
      <c r="AN496">
        <v>0</v>
      </c>
    </row>
    <row r="497" spans="1:40" x14ac:dyDescent="0.25">
      <c r="A497" t="s">
        <v>3855</v>
      </c>
      <c r="B497" t="s">
        <v>3856</v>
      </c>
      <c r="F497" t="s">
        <v>308</v>
      </c>
      <c r="G497" t="s">
        <v>2717</v>
      </c>
      <c r="H497">
        <v>2004</v>
      </c>
      <c r="I497">
        <v>37</v>
      </c>
      <c r="J497">
        <v>1</v>
      </c>
      <c r="N497">
        <v>145</v>
      </c>
      <c r="O497">
        <v>159</v>
      </c>
      <c r="Q497" t="s">
        <v>3857</v>
      </c>
      <c r="T497">
        <v>5</v>
      </c>
      <c r="U497">
        <v>0.31</v>
      </c>
      <c r="V497">
        <v>0</v>
      </c>
      <c r="W497">
        <v>0</v>
      </c>
      <c r="X497">
        <v>0</v>
      </c>
      <c r="Y497">
        <v>0</v>
      </c>
      <c r="Z497">
        <v>0</v>
      </c>
      <c r="AA497">
        <v>0</v>
      </c>
      <c r="AB497">
        <v>1</v>
      </c>
      <c r="AC497">
        <v>0</v>
      </c>
      <c r="AD497">
        <v>0</v>
      </c>
      <c r="AE497">
        <v>0</v>
      </c>
      <c r="AF497">
        <v>0</v>
      </c>
      <c r="AG497">
        <v>0</v>
      </c>
      <c r="AH497">
        <v>0</v>
      </c>
      <c r="AI497">
        <v>1</v>
      </c>
      <c r="AJ497">
        <v>1</v>
      </c>
      <c r="AK497">
        <v>1</v>
      </c>
      <c r="AL497">
        <v>1</v>
      </c>
      <c r="AM497">
        <v>0</v>
      </c>
      <c r="AN497">
        <v>0</v>
      </c>
    </row>
    <row r="498" spans="1:40" x14ac:dyDescent="0.25">
      <c r="A498" t="s">
        <v>3858</v>
      </c>
      <c r="B498" t="s">
        <v>3859</v>
      </c>
      <c r="F498" t="s">
        <v>300</v>
      </c>
      <c r="G498" t="s">
        <v>3860</v>
      </c>
      <c r="H498">
        <v>2003</v>
      </c>
      <c r="I498">
        <v>25</v>
      </c>
      <c r="J498">
        <v>7</v>
      </c>
      <c r="N498">
        <v>837</v>
      </c>
      <c r="O498">
        <v>851</v>
      </c>
      <c r="Q498" t="s">
        <v>3861</v>
      </c>
      <c r="T498">
        <v>5</v>
      </c>
      <c r="U498">
        <v>0.28999999999999998</v>
      </c>
      <c r="V498">
        <v>0</v>
      </c>
      <c r="W498">
        <v>0</v>
      </c>
      <c r="X498">
        <v>0</v>
      </c>
      <c r="Y498">
        <v>0</v>
      </c>
      <c r="Z498">
        <v>0</v>
      </c>
      <c r="AA498">
        <v>2</v>
      </c>
      <c r="AB498">
        <v>0</v>
      </c>
      <c r="AC498">
        <v>2</v>
      </c>
      <c r="AD498">
        <v>0</v>
      </c>
      <c r="AE498">
        <v>0</v>
      </c>
      <c r="AF498">
        <v>0</v>
      </c>
      <c r="AG498">
        <v>1</v>
      </c>
      <c r="AH498">
        <v>0</v>
      </c>
      <c r="AI498">
        <v>0</v>
      </c>
      <c r="AJ498">
        <v>0</v>
      </c>
      <c r="AK498">
        <v>0</v>
      </c>
      <c r="AL498">
        <v>0</v>
      </c>
      <c r="AM498">
        <v>0</v>
      </c>
      <c r="AN498">
        <v>0</v>
      </c>
    </row>
    <row r="499" spans="1:40" x14ac:dyDescent="0.25">
      <c r="A499" t="s">
        <v>3862</v>
      </c>
      <c r="B499" t="s">
        <v>3863</v>
      </c>
      <c r="F499" t="s">
        <v>306</v>
      </c>
      <c r="G499" t="s">
        <v>3864</v>
      </c>
      <c r="H499">
        <v>2017</v>
      </c>
      <c r="I499">
        <v>267</v>
      </c>
      <c r="N499">
        <v>475</v>
      </c>
      <c r="O499">
        <v>488</v>
      </c>
      <c r="Q499" t="s">
        <v>3865</v>
      </c>
      <c r="T499">
        <v>4</v>
      </c>
      <c r="U499">
        <v>1.33</v>
      </c>
      <c r="V499">
        <v>0</v>
      </c>
      <c r="W499">
        <v>0</v>
      </c>
      <c r="X499">
        <v>0</v>
      </c>
      <c r="Y499">
        <v>0</v>
      </c>
      <c r="Z499">
        <v>0</v>
      </c>
      <c r="AA499">
        <v>0</v>
      </c>
      <c r="AB499">
        <v>0</v>
      </c>
      <c r="AC499">
        <v>0</v>
      </c>
      <c r="AD499">
        <v>0</v>
      </c>
      <c r="AE499">
        <v>0</v>
      </c>
      <c r="AF499">
        <v>0</v>
      </c>
      <c r="AG499">
        <v>0</v>
      </c>
      <c r="AH499">
        <v>0</v>
      </c>
      <c r="AI499">
        <v>0</v>
      </c>
      <c r="AJ499">
        <v>0</v>
      </c>
      <c r="AK499">
        <v>0</v>
      </c>
      <c r="AL499">
        <v>0</v>
      </c>
      <c r="AM499">
        <v>4</v>
      </c>
      <c r="AN499">
        <v>0</v>
      </c>
    </row>
    <row r="500" spans="1:40" x14ac:dyDescent="0.25">
      <c r="A500" t="s">
        <v>3866</v>
      </c>
      <c r="B500" t="s">
        <v>3867</v>
      </c>
      <c r="F500" t="s">
        <v>313</v>
      </c>
      <c r="G500" t="s">
        <v>3868</v>
      </c>
      <c r="H500">
        <v>2017</v>
      </c>
      <c r="I500">
        <v>88</v>
      </c>
      <c r="N500">
        <v>290</v>
      </c>
      <c r="O500">
        <v>304</v>
      </c>
      <c r="Q500" t="s">
        <v>3869</v>
      </c>
      <c r="T500">
        <v>4</v>
      </c>
      <c r="U500">
        <v>1.33</v>
      </c>
      <c r="V500">
        <v>0</v>
      </c>
      <c r="W500">
        <v>0</v>
      </c>
      <c r="X500">
        <v>0</v>
      </c>
      <c r="Y500">
        <v>0</v>
      </c>
      <c r="Z500">
        <v>0</v>
      </c>
      <c r="AA500">
        <v>0</v>
      </c>
      <c r="AB500">
        <v>0</v>
      </c>
      <c r="AC500">
        <v>0</v>
      </c>
      <c r="AD500">
        <v>0</v>
      </c>
      <c r="AE500">
        <v>0</v>
      </c>
      <c r="AF500">
        <v>0</v>
      </c>
      <c r="AG500">
        <v>0</v>
      </c>
      <c r="AH500">
        <v>0</v>
      </c>
      <c r="AI500">
        <v>0</v>
      </c>
      <c r="AJ500">
        <v>0</v>
      </c>
      <c r="AK500">
        <v>0</v>
      </c>
      <c r="AL500">
        <v>0</v>
      </c>
      <c r="AM500">
        <v>3</v>
      </c>
      <c r="AN500">
        <v>1</v>
      </c>
    </row>
    <row r="501" spans="1:40" x14ac:dyDescent="0.25">
      <c r="A501" t="s">
        <v>3870</v>
      </c>
      <c r="B501" t="s">
        <v>3871</v>
      </c>
      <c r="F501" t="s">
        <v>305</v>
      </c>
      <c r="G501" t="s">
        <v>3572</v>
      </c>
      <c r="H501">
        <v>2017</v>
      </c>
      <c r="I501">
        <v>96</v>
      </c>
      <c r="M501" t="s">
        <v>1948</v>
      </c>
      <c r="N501">
        <v>96</v>
      </c>
      <c r="O501">
        <v>105</v>
      </c>
      <c r="Q501" t="s">
        <v>3872</v>
      </c>
      <c r="T501">
        <v>4</v>
      </c>
      <c r="U501">
        <v>1.33</v>
      </c>
      <c r="V501">
        <v>0</v>
      </c>
      <c r="W501">
        <v>0</v>
      </c>
      <c r="X501">
        <v>0</v>
      </c>
      <c r="Y501">
        <v>0</v>
      </c>
      <c r="Z501">
        <v>0</v>
      </c>
      <c r="AA501">
        <v>0</v>
      </c>
      <c r="AB501">
        <v>0</v>
      </c>
      <c r="AC501">
        <v>0</v>
      </c>
      <c r="AD501">
        <v>0</v>
      </c>
      <c r="AE501">
        <v>0</v>
      </c>
      <c r="AF501">
        <v>0</v>
      </c>
      <c r="AG501">
        <v>0</v>
      </c>
      <c r="AH501">
        <v>0</v>
      </c>
      <c r="AI501">
        <v>0</v>
      </c>
      <c r="AJ501">
        <v>0</v>
      </c>
      <c r="AK501">
        <v>0</v>
      </c>
      <c r="AL501">
        <v>1</v>
      </c>
      <c r="AM501">
        <v>3</v>
      </c>
      <c r="AN501">
        <v>0</v>
      </c>
    </row>
    <row r="502" spans="1:40" x14ac:dyDescent="0.25">
      <c r="A502" t="s">
        <v>3873</v>
      </c>
      <c r="B502" t="s">
        <v>3874</v>
      </c>
      <c r="F502" t="s">
        <v>305</v>
      </c>
      <c r="G502" t="s">
        <v>3875</v>
      </c>
      <c r="H502">
        <v>2017</v>
      </c>
      <c r="I502">
        <v>94</v>
      </c>
      <c r="N502">
        <v>55</v>
      </c>
      <c r="O502">
        <v>61</v>
      </c>
      <c r="Q502" t="s">
        <v>3876</v>
      </c>
      <c r="T502">
        <v>4</v>
      </c>
      <c r="U502">
        <v>1.33</v>
      </c>
      <c r="V502">
        <v>0</v>
      </c>
      <c r="W502">
        <v>0</v>
      </c>
      <c r="X502">
        <v>0</v>
      </c>
      <c r="Y502">
        <v>0</v>
      </c>
      <c r="Z502">
        <v>0</v>
      </c>
      <c r="AA502">
        <v>0</v>
      </c>
      <c r="AB502">
        <v>0</v>
      </c>
      <c r="AC502">
        <v>0</v>
      </c>
      <c r="AD502">
        <v>0</v>
      </c>
      <c r="AE502">
        <v>0</v>
      </c>
      <c r="AF502">
        <v>0</v>
      </c>
      <c r="AG502">
        <v>0</v>
      </c>
      <c r="AH502">
        <v>0</v>
      </c>
      <c r="AI502">
        <v>0</v>
      </c>
      <c r="AJ502">
        <v>0</v>
      </c>
      <c r="AK502">
        <v>0</v>
      </c>
      <c r="AL502">
        <v>1</v>
      </c>
      <c r="AM502">
        <v>2</v>
      </c>
      <c r="AN502">
        <v>1</v>
      </c>
    </row>
    <row r="503" spans="1:40" x14ac:dyDescent="0.25">
      <c r="A503" t="s">
        <v>3877</v>
      </c>
      <c r="B503" t="s">
        <v>3878</v>
      </c>
      <c r="F503" t="s">
        <v>306</v>
      </c>
      <c r="G503" t="s">
        <v>3879</v>
      </c>
      <c r="H503">
        <v>2017</v>
      </c>
      <c r="I503">
        <v>245</v>
      </c>
      <c r="N503">
        <v>31</v>
      </c>
      <c r="O503">
        <v>45</v>
      </c>
      <c r="Q503" t="s">
        <v>3880</v>
      </c>
      <c r="T503">
        <v>4</v>
      </c>
      <c r="U503">
        <v>1.33</v>
      </c>
      <c r="V503">
        <v>0</v>
      </c>
      <c r="W503">
        <v>0</v>
      </c>
      <c r="X503">
        <v>0</v>
      </c>
      <c r="Y503">
        <v>0</v>
      </c>
      <c r="Z503">
        <v>0</v>
      </c>
      <c r="AA503">
        <v>0</v>
      </c>
      <c r="AB503">
        <v>0</v>
      </c>
      <c r="AC503">
        <v>0</v>
      </c>
      <c r="AD503">
        <v>0</v>
      </c>
      <c r="AE503">
        <v>0</v>
      </c>
      <c r="AF503">
        <v>0</v>
      </c>
      <c r="AG503">
        <v>0</v>
      </c>
      <c r="AH503">
        <v>0</v>
      </c>
      <c r="AI503">
        <v>0</v>
      </c>
      <c r="AJ503">
        <v>0</v>
      </c>
      <c r="AK503">
        <v>0</v>
      </c>
      <c r="AL503">
        <v>0</v>
      </c>
      <c r="AM503">
        <v>4</v>
      </c>
      <c r="AN503">
        <v>0</v>
      </c>
    </row>
    <row r="504" spans="1:40" x14ac:dyDescent="0.25">
      <c r="A504" t="s">
        <v>3881</v>
      </c>
      <c r="B504" t="s">
        <v>3882</v>
      </c>
      <c r="F504" t="s">
        <v>308</v>
      </c>
      <c r="G504" t="s">
        <v>3883</v>
      </c>
      <c r="H504">
        <v>2017</v>
      </c>
      <c r="I504">
        <v>66</v>
      </c>
      <c r="M504" t="s">
        <v>1948</v>
      </c>
      <c r="N504">
        <v>253</v>
      </c>
      <c r="O504">
        <v>267</v>
      </c>
      <c r="Q504" t="s">
        <v>3884</v>
      </c>
      <c r="T504">
        <v>4</v>
      </c>
      <c r="U504">
        <v>1.33</v>
      </c>
      <c r="V504">
        <v>0</v>
      </c>
      <c r="W504">
        <v>0</v>
      </c>
      <c r="X504">
        <v>0</v>
      </c>
      <c r="Y504">
        <v>0</v>
      </c>
      <c r="Z504">
        <v>0</v>
      </c>
      <c r="AA504">
        <v>0</v>
      </c>
      <c r="AB504">
        <v>0</v>
      </c>
      <c r="AC504">
        <v>0</v>
      </c>
      <c r="AD504">
        <v>0</v>
      </c>
      <c r="AE504">
        <v>0</v>
      </c>
      <c r="AF504">
        <v>0</v>
      </c>
      <c r="AG504">
        <v>0</v>
      </c>
      <c r="AH504">
        <v>0</v>
      </c>
      <c r="AI504">
        <v>0</v>
      </c>
      <c r="AJ504">
        <v>0</v>
      </c>
      <c r="AK504">
        <v>0</v>
      </c>
      <c r="AL504">
        <v>1</v>
      </c>
      <c r="AM504">
        <v>3</v>
      </c>
      <c r="AN504">
        <v>0</v>
      </c>
    </row>
    <row r="505" spans="1:40" x14ac:dyDescent="0.25">
      <c r="A505" t="s">
        <v>3885</v>
      </c>
      <c r="B505" t="s">
        <v>3886</v>
      </c>
      <c r="F505" t="s">
        <v>308</v>
      </c>
      <c r="G505" t="s">
        <v>3883</v>
      </c>
      <c r="H505">
        <v>2017</v>
      </c>
      <c r="I505">
        <v>66</v>
      </c>
      <c r="M505" t="s">
        <v>1948</v>
      </c>
      <c r="N505">
        <v>375</v>
      </c>
      <c r="O505">
        <v>391</v>
      </c>
      <c r="Q505" t="s">
        <v>3887</v>
      </c>
      <c r="T505">
        <v>4</v>
      </c>
      <c r="U505">
        <v>1.33</v>
      </c>
      <c r="V505">
        <v>0</v>
      </c>
      <c r="W505">
        <v>0</v>
      </c>
      <c r="X505">
        <v>0</v>
      </c>
      <c r="Y505">
        <v>0</v>
      </c>
      <c r="Z505">
        <v>0</v>
      </c>
      <c r="AA505">
        <v>0</v>
      </c>
      <c r="AB505">
        <v>0</v>
      </c>
      <c r="AC505">
        <v>0</v>
      </c>
      <c r="AD505">
        <v>0</v>
      </c>
      <c r="AE505">
        <v>0</v>
      </c>
      <c r="AF505">
        <v>0</v>
      </c>
      <c r="AG505">
        <v>0</v>
      </c>
      <c r="AH505">
        <v>0</v>
      </c>
      <c r="AI505">
        <v>0</v>
      </c>
      <c r="AJ505">
        <v>0</v>
      </c>
      <c r="AK505">
        <v>0</v>
      </c>
      <c r="AL505">
        <v>0</v>
      </c>
      <c r="AM505">
        <v>3</v>
      </c>
      <c r="AN505">
        <v>1</v>
      </c>
    </row>
    <row r="506" spans="1:40" x14ac:dyDescent="0.25">
      <c r="A506" t="s">
        <v>3888</v>
      </c>
      <c r="B506" t="s">
        <v>3889</v>
      </c>
      <c r="F506" t="s">
        <v>306</v>
      </c>
      <c r="G506" t="s">
        <v>3890</v>
      </c>
      <c r="H506">
        <v>2017</v>
      </c>
      <c r="I506">
        <v>230</v>
      </c>
      <c r="N506">
        <v>417</v>
      </c>
      <c r="O506">
        <v>426</v>
      </c>
      <c r="Q506" t="s">
        <v>3891</v>
      </c>
      <c r="T506">
        <v>4</v>
      </c>
      <c r="U506">
        <v>1.33</v>
      </c>
      <c r="V506">
        <v>0</v>
      </c>
      <c r="W506">
        <v>0</v>
      </c>
      <c r="X506">
        <v>0</v>
      </c>
      <c r="Y506">
        <v>0</v>
      </c>
      <c r="Z506">
        <v>0</v>
      </c>
      <c r="AA506">
        <v>0</v>
      </c>
      <c r="AB506">
        <v>0</v>
      </c>
      <c r="AC506">
        <v>0</v>
      </c>
      <c r="AD506">
        <v>0</v>
      </c>
      <c r="AE506">
        <v>0</v>
      </c>
      <c r="AF506">
        <v>0</v>
      </c>
      <c r="AG506">
        <v>0</v>
      </c>
      <c r="AH506">
        <v>0</v>
      </c>
      <c r="AI506">
        <v>0</v>
      </c>
      <c r="AJ506">
        <v>0</v>
      </c>
      <c r="AK506">
        <v>0</v>
      </c>
      <c r="AL506">
        <v>1</v>
      </c>
      <c r="AM506">
        <v>3</v>
      </c>
      <c r="AN506">
        <v>0</v>
      </c>
    </row>
    <row r="507" spans="1:40" x14ac:dyDescent="0.25">
      <c r="A507" t="s">
        <v>3892</v>
      </c>
      <c r="B507" t="s">
        <v>3893</v>
      </c>
      <c r="F507" t="s">
        <v>311</v>
      </c>
      <c r="G507" t="s">
        <v>3500</v>
      </c>
      <c r="H507">
        <v>2017</v>
      </c>
      <c r="I507">
        <v>26</v>
      </c>
      <c r="J507">
        <v>3</v>
      </c>
      <c r="N507">
        <v>1253</v>
      </c>
      <c r="O507">
        <v>1263</v>
      </c>
      <c r="Q507" t="s">
        <v>3894</v>
      </c>
      <c r="T507">
        <v>4</v>
      </c>
      <c r="U507">
        <v>1.33</v>
      </c>
      <c r="V507">
        <v>0</v>
      </c>
      <c r="W507">
        <v>0</v>
      </c>
      <c r="X507">
        <v>0</v>
      </c>
      <c r="Y507">
        <v>0</v>
      </c>
      <c r="Z507">
        <v>0</v>
      </c>
      <c r="AA507">
        <v>0</v>
      </c>
      <c r="AB507">
        <v>0</v>
      </c>
      <c r="AC507">
        <v>0</v>
      </c>
      <c r="AD507">
        <v>0</v>
      </c>
      <c r="AE507">
        <v>0</v>
      </c>
      <c r="AF507">
        <v>0</v>
      </c>
      <c r="AG507">
        <v>0</v>
      </c>
      <c r="AH507">
        <v>0</v>
      </c>
      <c r="AI507">
        <v>0</v>
      </c>
      <c r="AJ507">
        <v>0</v>
      </c>
      <c r="AK507">
        <v>0</v>
      </c>
      <c r="AL507">
        <v>0</v>
      </c>
      <c r="AM507">
        <v>4</v>
      </c>
      <c r="AN507">
        <v>0</v>
      </c>
    </row>
    <row r="508" spans="1:40" x14ac:dyDescent="0.25">
      <c r="A508" t="s">
        <v>1460</v>
      </c>
      <c r="B508" t="s">
        <v>1462</v>
      </c>
      <c r="F508" t="s">
        <v>302</v>
      </c>
      <c r="G508" t="s">
        <v>3235</v>
      </c>
      <c r="H508">
        <v>2017</v>
      </c>
      <c r="I508">
        <v>58</v>
      </c>
      <c r="N508">
        <v>76</v>
      </c>
      <c r="O508">
        <v>85</v>
      </c>
      <c r="Q508" t="s">
        <v>3895</v>
      </c>
      <c r="T508">
        <v>4</v>
      </c>
      <c r="U508">
        <v>1.33</v>
      </c>
      <c r="V508">
        <v>0</v>
      </c>
      <c r="W508">
        <v>0</v>
      </c>
      <c r="X508">
        <v>0</v>
      </c>
      <c r="Y508">
        <v>0</v>
      </c>
      <c r="Z508">
        <v>0</v>
      </c>
      <c r="AA508">
        <v>0</v>
      </c>
      <c r="AB508">
        <v>0</v>
      </c>
      <c r="AC508">
        <v>0</v>
      </c>
      <c r="AD508">
        <v>0</v>
      </c>
      <c r="AE508">
        <v>0</v>
      </c>
      <c r="AF508">
        <v>0</v>
      </c>
      <c r="AG508">
        <v>0</v>
      </c>
      <c r="AH508">
        <v>0</v>
      </c>
      <c r="AI508">
        <v>0</v>
      </c>
      <c r="AJ508">
        <v>0</v>
      </c>
      <c r="AK508">
        <v>0</v>
      </c>
      <c r="AL508">
        <v>1</v>
      </c>
      <c r="AM508">
        <v>2</v>
      </c>
      <c r="AN508">
        <v>1</v>
      </c>
    </row>
    <row r="509" spans="1:40" x14ac:dyDescent="0.25">
      <c r="A509" t="s">
        <v>3896</v>
      </c>
      <c r="B509" t="s">
        <v>3897</v>
      </c>
      <c r="F509" t="s">
        <v>305</v>
      </c>
      <c r="G509" t="s">
        <v>3898</v>
      </c>
      <c r="H509">
        <v>2016</v>
      </c>
      <c r="I509">
        <v>84</v>
      </c>
      <c r="N509">
        <v>185</v>
      </c>
      <c r="O509">
        <v>191</v>
      </c>
      <c r="Q509" t="s">
        <v>3899</v>
      </c>
      <c r="T509">
        <v>4</v>
      </c>
      <c r="U509">
        <v>1</v>
      </c>
      <c r="V509">
        <v>0</v>
      </c>
      <c r="W509">
        <v>0</v>
      </c>
      <c r="X509">
        <v>0</v>
      </c>
      <c r="Y509">
        <v>0</v>
      </c>
      <c r="Z509">
        <v>0</v>
      </c>
      <c r="AA509">
        <v>0</v>
      </c>
      <c r="AB509">
        <v>0</v>
      </c>
      <c r="AC509">
        <v>0</v>
      </c>
      <c r="AD509">
        <v>0</v>
      </c>
      <c r="AE509">
        <v>0</v>
      </c>
      <c r="AF509">
        <v>0</v>
      </c>
      <c r="AG509">
        <v>0</v>
      </c>
      <c r="AH509">
        <v>0</v>
      </c>
      <c r="AI509">
        <v>0</v>
      </c>
      <c r="AJ509">
        <v>0</v>
      </c>
      <c r="AK509">
        <v>0</v>
      </c>
      <c r="AL509">
        <v>2</v>
      </c>
      <c r="AM509">
        <v>2</v>
      </c>
      <c r="AN509">
        <v>0</v>
      </c>
    </row>
    <row r="510" spans="1:40" x14ac:dyDescent="0.25">
      <c r="A510" t="s">
        <v>3900</v>
      </c>
      <c r="B510" t="s">
        <v>3901</v>
      </c>
      <c r="F510" t="s">
        <v>312</v>
      </c>
      <c r="G510" t="s">
        <v>3902</v>
      </c>
      <c r="H510">
        <v>2016</v>
      </c>
      <c r="I510">
        <v>12</v>
      </c>
      <c r="J510">
        <v>4</v>
      </c>
      <c r="M510" t="s">
        <v>1948</v>
      </c>
      <c r="N510">
        <v>649</v>
      </c>
      <c r="O510">
        <v>662</v>
      </c>
      <c r="Q510" t="s">
        <v>3903</v>
      </c>
      <c r="T510">
        <v>4</v>
      </c>
      <c r="U510">
        <v>1</v>
      </c>
      <c r="V510">
        <v>0</v>
      </c>
      <c r="W510">
        <v>0</v>
      </c>
      <c r="X510">
        <v>0</v>
      </c>
      <c r="Y510">
        <v>0</v>
      </c>
      <c r="Z510">
        <v>0</v>
      </c>
      <c r="AA510">
        <v>0</v>
      </c>
      <c r="AB510">
        <v>0</v>
      </c>
      <c r="AC510">
        <v>0</v>
      </c>
      <c r="AD510">
        <v>0</v>
      </c>
      <c r="AE510">
        <v>0</v>
      </c>
      <c r="AF510">
        <v>0</v>
      </c>
      <c r="AG510">
        <v>0</v>
      </c>
      <c r="AH510">
        <v>0</v>
      </c>
      <c r="AI510">
        <v>0</v>
      </c>
      <c r="AJ510">
        <v>0</v>
      </c>
      <c r="AK510">
        <v>0</v>
      </c>
      <c r="AL510">
        <v>0</v>
      </c>
      <c r="AM510">
        <v>4</v>
      </c>
      <c r="AN510">
        <v>0</v>
      </c>
    </row>
    <row r="511" spans="1:40" x14ac:dyDescent="0.25">
      <c r="A511" t="s">
        <v>3904</v>
      </c>
      <c r="B511" t="s">
        <v>3905</v>
      </c>
      <c r="F511" t="s">
        <v>306</v>
      </c>
      <c r="G511" t="s">
        <v>3906</v>
      </c>
      <c r="H511">
        <v>2016</v>
      </c>
      <c r="I511">
        <v>215</v>
      </c>
      <c r="M511" t="s">
        <v>1948</v>
      </c>
      <c r="N511">
        <v>138</v>
      </c>
      <c r="O511">
        <v>149</v>
      </c>
      <c r="Q511" t="s">
        <v>3907</v>
      </c>
      <c r="T511">
        <v>4</v>
      </c>
      <c r="U511">
        <v>1</v>
      </c>
      <c r="V511">
        <v>0</v>
      </c>
      <c r="W511">
        <v>0</v>
      </c>
      <c r="X511">
        <v>0</v>
      </c>
      <c r="Y511">
        <v>0</v>
      </c>
      <c r="Z511">
        <v>0</v>
      </c>
      <c r="AA511">
        <v>0</v>
      </c>
      <c r="AB511">
        <v>0</v>
      </c>
      <c r="AC511">
        <v>0</v>
      </c>
      <c r="AD511">
        <v>0</v>
      </c>
      <c r="AE511">
        <v>0</v>
      </c>
      <c r="AF511">
        <v>0</v>
      </c>
      <c r="AG511">
        <v>0</v>
      </c>
      <c r="AH511">
        <v>0</v>
      </c>
      <c r="AI511">
        <v>0</v>
      </c>
      <c r="AJ511">
        <v>0</v>
      </c>
      <c r="AK511">
        <v>0</v>
      </c>
      <c r="AL511">
        <v>3</v>
      </c>
      <c r="AM511">
        <v>0</v>
      </c>
      <c r="AN511">
        <v>1</v>
      </c>
    </row>
    <row r="512" spans="1:40" x14ac:dyDescent="0.25">
      <c r="A512" t="s">
        <v>1413</v>
      </c>
      <c r="B512" t="s">
        <v>1415</v>
      </c>
      <c r="F512" t="s">
        <v>310</v>
      </c>
      <c r="G512" t="s">
        <v>2778</v>
      </c>
      <c r="H512">
        <v>2016</v>
      </c>
      <c r="I512">
        <v>10</v>
      </c>
      <c r="J512">
        <v>4</v>
      </c>
      <c r="M512" t="s">
        <v>1948</v>
      </c>
      <c r="N512">
        <v>323</v>
      </c>
      <c r="O512">
        <v>330</v>
      </c>
      <c r="Q512" t="s">
        <v>3908</v>
      </c>
      <c r="T512">
        <v>4</v>
      </c>
      <c r="U512">
        <v>1</v>
      </c>
      <c r="V512">
        <v>0</v>
      </c>
      <c r="W512">
        <v>0</v>
      </c>
      <c r="X512">
        <v>0</v>
      </c>
      <c r="Y512">
        <v>0</v>
      </c>
      <c r="Z512">
        <v>0</v>
      </c>
      <c r="AA512">
        <v>0</v>
      </c>
      <c r="AB512">
        <v>0</v>
      </c>
      <c r="AC512">
        <v>0</v>
      </c>
      <c r="AD512">
        <v>0</v>
      </c>
      <c r="AE512">
        <v>0</v>
      </c>
      <c r="AF512">
        <v>0</v>
      </c>
      <c r="AG512">
        <v>0</v>
      </c>
      <c r="AH512">
        <v>0</v>
      </c>
      <c r="AI512">
        <v>0</v>
      </c>
      <c r="AJ512">
        <v>0</v>
      </c>
      <c r="AK512">
        <v>0</v>
      </c>
      <c r="AL512">
        <v>1</v>
      </c>
      <c r="AM512">
        <v>2</v>
      </c>
      <c r="AN512">
        <v>1</v>
      </c>
    </row>
    <row r="513" spans="1:40" x14ac:dyDescent="0.25">
      <c r="A513" t="s">
        <v>3909</v>
      </c>
      <c r="B513" t="s">
        <v>3910</v>
      </c>
      <c r="F513" t="s">
        <v>306</v>
      </c>
      <c r="G513" t="s">
        <v>3911</v>
      </c>
      <c r="H513">
        <v>2016</v>
      </c>
      <c r="I513">
        <v>184</v>
      </c>
      <c r="M513" t="s">
        <v>1948</v>
      </c>
      <c r="N513">
        <v>66</v>
      </c>
      <c r="O513">
        <v>77</v>
      </c>
      <c r="Q513" t="s">
        <v>3912</v>
      </c>
      <c r="T513">
        <v>4</v>
      </c>
      <c r="U513">
        <v>1</v>
      </c>
      <c r="V513">
        <v>0</v>
      </c>
      <c r="W513">
        <v>0</v>
      </c>
      <c r="X513">
        <v>0</v>
      </c>
      <c r="Y513">
        <v>0</v>
      </c>
      <c r="Z513">
        <v>0</v>
      </c>
      <c r="AA513">
        <v>0</v>
      </c>
      <c r="AB513">
        <v>0</v>
      </c>
      <c r="AC513">
        <v>0</v>
      </c>
      <c r="AD513">
        <v>0</v>
      </c>
      <c r="AE513">
        <v>0</v>
      </c>
      <c r="AF513">
        <v>0</v>
      </c>
      <c r="AG513">
        <v>0</v>
      </c>
      <c r="AH513">
        <v>0</v>
      </c>
      <c r="AI513">
        <v>0</v>
      </c>
      <c r="AJ513">
        <v>0</v>
      </c>
      <c r="AK513">
        <v>0</v>
      </c>
      <c r="AL513">
        <v>3</v>
      </c>
      <c r="AM513">
        <v>1</v>
      </c>
      <c r="AN513">
        <v>0</v>
      </c>
    </row>
    <row r="514" spans="1:40" x14ac:dyDescent="0.25">
      <c r="A514" t="s">
        <v>1716</v>
      </c>
      <c r="B514" t="s">
        <v>1718</v>
      </c>
      <c r="F514" t="s">
        <v>305</v>
      </c>
      <c r="G514" t="s">
        <v>3913</v>
      </c>
      <c r="H514">
        <v>2016</v>
      </c>
      <c r="I514">
        <v>72</v>
      </c>
      <c r="M514" t="s">
        <v>1948</v>
      </c>
      <c r="N514">
        <v>4</v>
      </c>
      <c r="O514">
        <v>14</v>
      </c>
      <c r="Q514" t="s">
        <v>3914</v>
      </c>
      <c r="R514" t="s">
        <v>3915</v>
      </c>
      <c r="S514" t="s">
        <v>3916</v>
      </c>
      <c r="T514">
        <v>4</v>
      </c>
      <c r="U514">
        <v>1</v>
      </c>
      <c r="V514">
        <v>0</v>
      </c>
      <c r="W514">
        <v>0</v>
      </c>
      <c r="X514">
        <v>0</v>
      </c>
      <c r="Y514">
        <v>0</v>
      </c>
      <c r="Z514">
        <v>0</v>
      </c>
      <c r="AA514">
        <v>0</v>
      </c>
      <c r="AB514">
        <v>0</v>
      </c>
      <c r="AC514">
        <v>0</v>
      </c>
      <c r="AD514">
        <v>0</v>
      </c>
      <c r="AE514">
        <v>0</v>
      </c>
      <c r="AF514">
        <v>0</v>
      </c>
      <c r="AG514">
        <v>0</v>
      </c>
      <c r="AH514">
        <v>0</v>
      </c>
      <c r="AI514">
        <v>0</v>
      </c>
      <c r="AJ514">
        <v>0</v>
      </c>
      <c r="AK514">
        <v>1</v>
      </c>
      <c r="AL514">
        <v>2</v>
      </c>
      <c r="AM514">
        <v>1</v>
      </c>
      <c r="AN514">
        <v>0</v>
      </c>
    </row>
    <row r="515" spans="1:40" x14ac:dyDescent="0.25">
      <c r="A515" t="s">
        <v>3917</v>
      </c>
      <c r="B515" t="s">
        <v>3918</v>
      </c>
      <c r="F515" t="s">
        <v>310</v>
      </c>
      <c r="G515" t="s">
        <v>3408</v>
      </c>
      <c r="H515">
        <v>2016</v>
      </c>
      <c r="I515">
        <v>10</v>
      </c>
      <c r="J515">
        <v>2</v>
      </c>
      <c r="N515">
        <v>153</v>
      </c>
      <c r="O515">
        <v>162</v>
      </c>
      <c r="Q515" t="s">
        <v>3919</v>
      </c>
      <c r="T515">
        <v>4</v>
      </c>
      <c r="U515">
        <v>1</v>
      </c>
      <c r="V515">
        <v>0</v>
      </c>
      <c r="W515">
        <v>0</v>
      </c>
      <c r="X515">
        <v>0</v>
      </c>
      <c r="Y515">
        <v>0</v>
      </c>
      <c r="Z515">
        <v>0</v>
      </c>
      <c r="AA515">
        <v>0</v>
      </c>
      <c r="AB515">
        <v>0</v>
      </c>
      <c r="AC515">
        <v>0</v>
      </c>
      <c r="AD515">
        <v>0</v>
      </c>
      <c r="AE515">
        <v>0</v>
      </c>
      <c r="AF515">
        <v>0</v>
      </c>
      <c r="AG515">
        <v>0</v>
      </c>
      <c r="AH515">
        <v>0</v>
      </c>
      <c r="AI515">
        <v>0</v>
      </c>
      <c r="AJ515">
        <v>0</v>
      </c>
      <c r="AK515">
        <v>0</v>
      </c>
      <c r="AL515">
        <v>1</v>
      </c>
      <c r="AM515">
        <v>2</v>
      </c>
      <c r="AN515">
        <v>1</v>
      </c>
    </row>
    <row r="516" spans="1:40" x14ac:dyDescent="0.25">
      <c r="A516" t="s">
        <v>3920</v>
      </c>
      <c r="B516" t="s">
        <v>3921</v>
      </c>
      <c r="F516" t="s">
        <v>311</v>
      </c>
      <c r="G516" t="s">
        <v>3508</v>
      </c>
      <c r="H516">
        <v>2016</v>
      </c>
      <c r="I516">
        <v>25</v>
      </c>
      <c r="J516">
        <v>1</v>
      </c>
      <c r="N516">
        <v>233</v>
      </c>
      <c r="O516">
        <v>248</v>
      </c>
      <c r="Q516" t="s">
        <v>3922</v>
      </c>
      <c r="T516">
        <v>4</v>
      </c>
      <c r="U516">
        <v>1</v>
      </c>
      <c r="V516">
        <v>0</v>
      </c>
      <c r="W516">
        <v>0</v>
      </c>
      <c r="X516">
        <v>0</v>
      </c>
      <c r="Y516">
        <v>0</v>
      </c>
      <c r="Z516">
        <v>0</v>
      </c>
      <c r="AA516">
        <v>0</v>
      </c>
      <c r="AB516">
        <v>0</v>
      </c>
      <c r="AC516">
        <v>0</v>
      </c>
      <c r="AD516">
        <v>0</v>
      </c>
      <c r="AE516">
        <v>0</v>
      </c>
      <c r="AF516">
        <v>0</v>
      </c>
      <c r="AG516">
        <v>0</v>
      </c>
      <c r="AH516">
        <v>0</v>
      </c>
      <c r="AI516">
        <v>0</v>
      </c>
      <c r="AJ516">
        <v>0</v>
      </c>
      <c r="AK516">
        <v>0</v>
      </c>
      <c r="AL516">
        <v>2</v>
      </c>
      <c r="AM516">
        <v>1</v>
      </c>
      <c r="AN516">
        <v>1</v>
      </c>
    </row>
    <row r="517" spans="1:40" x14ac:dyDescent="0.25">
      <c r="A517" t="s">
        <v>3923</v>
      </c>
      <c r="B517" t="s">
        <v>3924</v>
      </c>
      <c r="F517" t="s">
        <v>306</v>
      </c>
      <c r="G517" t="s">
        <v>3145</v>
      </c>
      <c r="H517">
        <v>2015</v>
      </c>
      <c r="I517">
        <v>167</v>
      </c>
      <c r="N517">
        <v>390</v>
      </c>
      <c r="O517">
        <v>405</v>
      </c>
      <c r="Q517" t="s">
        <v>3925</v>
      </c>
      <c r="T517">
        <v>4</v>
      </c>
      <c r="U517">
        <v>0.8</v>
      </c>
      <c r="V517">
        <v>0</v>
      </c>
      <c r="W517">
        <v>0</v>
      </c>
      <c r="X517">
        <v>0</v>
      </c>
      <c r="Y517">
        <v>0</v>
      </c>
      <c r="Z517">
        <v>0</v>
      </c>
      <c r="AA517">
        <v>0</v>
      </c>
      <c r="AB517">
        <v>0</v>
      </c>
      <c r="AC517">
        <v>0</v>
      </c>
      <c r="AD517">
        <v>0</v>
      </c>
      <c r="AE517">
        <v>0</v>
      </c>
      <c r="AF517">
        <v>0</v>
      </c>
      <c r="AG517">
        <v>0</v>
      </c>
      <c r="AH517">
        <v>0</v>
      </c>
      <c r="AI517">
        <v>0</v>
      </c>
      <c r="AJ517">
        <v>0</v>
      </c>
      <c r="AK517">
        <v>0</v>
      </c>
      <c r="AL517">
        <v>1</v>
      </c>
      <c r="AM517">
        <v>3</v>
      </c>
      <c r="AN517">
        <v>0</v>
      </c>
    </row>
    <row r="518" spans="1:40" x14ac:dyDescent="0.25">
      <c r="A518" t="s">
        <v>3926</v>
      </c>
      <c r="B518" t="s">
        <v>3927</v>
      </c>
      <c r="F518" t="s">
        <v>308</v>
      </c>
      <c r="G518" t="s">
        <v>2856</v>
      </c>
      <c r="H518">
        <v>2015</v>
      </c>
      <c r="I518">
        <v>48</v>
      </c>
      <c r="J518">
        <v>11</v>
      </c>
      <c r="M518" t="s">
        <v>1948</v>
      </c>
      <c r="N518">
        <v>3504</v>
      </c>
      <c r="O518">
        <v>3515</v>
      </c>
      <c r="Q518" t="s">
        <v>3928</v>
      </c>
      <c r="T518">
        <v>4</v>
      </c>
      <c r="U518">
        <v>0.8</v>
      </c>
      <c r="V518">
        <v>0</v>
      </c>
      <c r="W518">
        <v>0</v>
      </c>
      <c r="X518">
        <v>0</v>
      </c>
      <c r="Y518">
        <v>0</v>
      </c>
      <c r="Z518">
        <v>0</v>
      </c>
      <c r="AA518">
        <v>0</v>
      </c>
      <c r="AB518">
        <v>0</v>
      </c>
      <c r="AC518">
        <v>0</v>
      </c>
      <c r="AD518">
        <v>0</v>
      </c>
      <c r="AE518">
        <v>0</v>
      </c>
      <c r="AF518">
        <v>0</v>
      </c>
      <c r="AG518">
        <v>0</v>
      </c>
      <c r="AH518">
        <v>0</v>
      </c>
      <c r="AI518">
        <v>0</v>
      </c>
      <c r="AJ518">
        <v>0</v>
      </c>
      <c r="AK518">
        <v>0</v>
      </c>
      <c r="AL518">
        <v>2</v>
      </c>
      <c r="AM518">
        <v>2</v>
      </c>
      <c r="AN518">
        <v>0</v>
      </c>
    </row>
    <row r="519" spans="1:40" x14ac:dyDescent="0.25">
      <c r="A519" t="s">
        <v>3929</v>
      </c>
      <c r="B519" t="s">
        <v>3930</v>
      </c>
      <c r="F519" t="s">
        <v>315</v>
      </c>
      <c r="G519" t="s">
        <v>3241</v>
      </c>
      <c r="H519">
        <v>2015</v>
      </c>
      <c r="I519">
        <v>26</v>
      </c>
      <c r="J519">
        <v>6</v>
      </c>
      <c r="N519">
        <v>711</v>
      </c>
      <c r="O519">
        <v>721</v>
      </c>
      <c r="Q519" t="s">
        <v>3931</v>
      </c>
      <c r="T519">
        <v>4</v>
      </c>
      <c r="U519">
        <v>0.8</v>
      </c>
      <c r="V519">
        <v>0</v>
      </c>
      <c r="W519">
        <v>0</v>
      </c>
      <c r="X519">
        <v>0</v>
      </c>
      <c r="Y519">
        <v>0</v>
      </c>
      <c r="Z519">
        <v>0</v>
      </c>
      <c r="AA519">
        <v>0</v>
      </c>
      <c r="AB519">
        <v>0</v>
      </c>
      <c r="AC519">
        <v>0</v>
      </c>
      <c r="AD519">
        <v>0</v>
      </c>
      <c r="AE519">
        <v>0</v>
      </c>
      <c r="AF519">
        <v>0</v>
      </c>
      <c r="AG519">
        <v>0</v>
      </c>
      <c r="AH519">
        <v>0</v>
      </c>
      <c r="AI519">
        <v>0</v>
      </c>
      <c r="AJ519">
        <v>0</v>
      </c>
      <c r="AK519">
        <v>1</v>
      </c>
      <c r="AL519">
        <v>1</v>
      </c>
      <c r="AM519">
        <v>2</v>
      </c>
      <c r="AN519">
        <v>0</v>
      </c>
    </row>
    <row r="520" spans="1:40" x14ac:dyDescent="0.25">
      <c r="A520" t="s">
        <v>3932</v>
      </c>
      <c r="B520" t="s">
        <v>3933</v>
      </c>
      <c r="F520" t="s">
        <v>306</v>
      </c>
      <c r="G520" t="s">
        <v>3934</v>
      </c>
      <c r="H520">
        <v>2014</v>
      </c>
      <c r="I520">
        <v>144</v>
      </c>
      <c r="N520">
        <v>258</v>
      </c>
      <c r="O520">
        <v>270</v>
      </c>
      <c r="Q520" t="s">
        <v>3935</v>
      </c>
      <c r="T520">
        <v>4</v>
      </c>
      <c r="U520">
        <v>0.67</v>
      </c>
      <c r="V520">
        <v>0</v>
      </c>
      <c r="W520">
        <v>0</v>
      </c>
      <c r="X520">
        <v>0</v>
      </c>
      <c r="Y520">
        <v>0</v>
      </c>
      <c r="Z520">
        <v>0</v>
      </c>
      <c r="AA520">
        <v>0</v>
      </c>
      <c r="AB520">
        <v>0</v>
      </c>
      <c r="AC520">
        <v>0</v>
      </c>
      <c r="AD520">
        <v>0</v>
      </c>
      <c r="AE520">
        <v>0</v>
      </c>
      <c r="AF520">
        <v>0</v>
      </c>
      <c r="AG520">
        <v>0</v>
      </c>
      <c r="AH520">
        <v>0</v>
      </c>
      <c r="AI520">
        <v>0</v>
      </c>
      <c r="AJ520">
        <v>2</v>
      </c>
      <c r="AK520">
        <v>1</v>
      </c>
      <c r="AL520">
        <v>0</v>
      </c>
      <c r="AM520">
        <v>1</v>
      </c>
      <c r="AN520">
        <v>0</v>
      </c>
    </row>
    <row r="521" spans="1:40" x14ac:dyDescent="0.25">
      <c r="A521" t="s">
        <v>3936</v>
      </c>
      <c r="B521" t="s">
        <v>3937</v>
      </c>
      <c r="F521" t="s">
        <v>315</v>
      </c>
      <c r="G521" t="s">
        <v>3334</v>
      </c>
      <c r="H521">
        <v>2014</v>
      </c>
      <c r="I521">
        <v>25</v>
      </c>
      <c r="J521">
        <v>5</v>
      </c>
      <c r="M521" t="s">
        <v>1948</v>
      </c>
      <c r="N521">
        <v>1133</v>
      </c>
      <c r="O521">
        <v>1144</v>
      </c>
      <c r="Q521" t="s">
        <v>3938</v>
      </c>
      <c r="T521">
        <v>4</v>
      </c>
      <c r="U521">
        <v>0.67</v>
      </c>
      <c r="V521">
        <v>0</v>
      </c>
      <c r="W521">
        <v>0</v>
      </c>
      <c r="X521">
        <v>0</v>
      </c>
      <c r="Y521">
        <v>0</v>
      </c>
      <c r="Z521">
        <v>0</v>
      </c>
      <c r="AA521">
        <v>0</v>
      </c>
      <c r="AB521">
        <v>0</v>
      </c>
      <c r="AC521">
        <v>0</v>
      </c>
      <c r="AD521">
        <v>0</v>
      </c>
      <c r="AE521">
        <v>0</v>
      </c>
      <c r="AF521">
        <v>0</v>
      </c>
      <c r="AG521">
        <v>0</v>
      </c>
      <c r="AH521">
        <v>0</v>
      </c>
      <c r="AI521">
        <v>1</v>
      </c>
      <c r="AJ521">
        <v>2</v>
      </c>
      <c r="AK521">
        <v>1</v>
      </c>
      <c r="AL521">
        <v>0</v>
      </c>
      <c r="AM521">
        <v>0</v>
      </c>
      <c r="AN521">
        <v>0</v>
      </c>
    </row>
    <row r="522" spans="1:40" x14ac:dyDescent="0.25">
      <c r="A522" t="s">
        <v>3939</v>
      </c>
      <c r="B522" t="s">
        <v>3940</v>
      </c>
      <c r="F522" t="s">
        <v>311</v>
      </c>
      <c r="G522" t="s">
        <v>2932</v>
      </c>
      <c r="H522">
        <v>2014</v>
      </c>
      <c r="I522">
        <v>23</v>
      </c>
      <c r="J522">
        <v>4</v>
      </c>
      <c r="N522">
        <v>1765</v>
      </c>
      <c r="O522">
        <v>1778</v>
      </c>
      <c r="Q522" t="s">
        <v>3941</v>
      </c>
      <c r="T522">
        <v>4</v>
      </c>
      <c r="U522">
        <v>0.67</v>
      </c>
      <c r="V522">
        <v>0</v>
      </c>
      <c r="W522">
        <v>0</v>
      </c>
      <c r="X522">
        <v>0</v>
      </c>
      <c r="Y522">
        <v>0</v>
      </c>
      <c r="Z522">
        <v>0</v>
      </c>
      <c r="AA522">
        <v>0</v>
      </c>
      <c r="AB522">
        <v>0</v>
      </c>
      <c r="AC522">
        <v>0</v>
      </c>
      <c r="AD522">
        <v>0</v>
      </c>
      <c r="AE522">
        <v>0</v>
      </c>
      <c r="AF522">
        <v>0</v>
      </c>
      <c r="AG522">
        <v>0</v>
      </c>
      <c r="AH522">
        <v>0</v>
      </c>
      <c r="AI522">
        <v>0</v>
      </c>
      <c r="AJ522">
        <v>1</v>
      </c>
      <c r="AK522">
        <v>1</v>
      </c>
      <c r="AL522">
        <v>0</v>
      </c>
      <c r="AM522">
        <v>2</v>
      </c>
      <c r="AN522">
        <v>0</v>
      </c>
    </row>
    <row r="523" spans="1:40" x14ac:dyDescent="0.25">
      <c r="A523" t="s">
        <v>1683</v>
      </c>
      <c r="B523" t="s">
        <v>1685</v>
      </c>
      <c r="F523" t="s">
        <v>308</v>
      </c>
      <c r="G523" t="s">
        <v>2932</v>
      </c>
      <c r="H523">
        <v>2014</v>
      </c>
      <c r="I523">
        <v>47</v>
      </c>
      <c r="J523">
        <v>4</v>
      </c>
      <c r="N523">
        <v>1616</v>
      </c>
      <c r="O523">
        <v>1625</v>
      </c>
      <c r="Q523" t="s">
        <v>3942</v>
      </c>
      <c r="T523">
        <v>4</v>
      </c>
      <c r="U523">
        <v>0.67</v>
      </c>
      <c r="V523">
        <v>0</v>
      </c>
      <c r="W523">
        <v>0</v>
      </c>
      <c r="X523">
        <v>0</v>
      </c>
      <c r="Y523">
        <v>0</v>
      </c>
      <c r="Z523">
        <v>0</v>
      </c>
      <c r="AA523">
        <v>0</v>
      </c>
      <c r="AB523">
        <v>0</v>
      </c>
      <c r="AC523">
        <v>0</v>
      </c>
      <c r="AD523">
        <v>0</v>
      </c>
      <c r="AE523">
        <v>0</v>
      </c>
      <c r="AF523">
        <v>0</v>
      </c>
      <c r="AG523">
        <v>0</v>
      </c>
      <c r="AH523">
        <v>0</v>
      </c>
      <c r="AI523">
        <v>0</v>
      </c>
      <c r="AJ523">
        <v>1</v>
      </c>
      <c r="AK523">
        <v>1</v>
      </c>
      <c r="AL523">
        <v>0</v>
      </c>
      <c r="AM523">
        <v>2</v>
      </c>
      <c r="AN523">
        <v>0</v>
      </c>
    </row>
    <row r="524" spans="1:40" x14ac:dyDescent="0.25">
      <c r="A524" t="s">
        <v>3943</v>
      </c>
      <c r="B524" t="s">
        <v>3944</v>
      </c>
      <c r="F524" t="s">
        <v>3945</v>
      </c>
      <c r="G524" t="s">
        <v>2498</v>
      </c>
      <c r="H524">
        <v>2014</v>
      </c>
      <c r="I524">
        <v>29</v>
      </c>
      <c r="J524">
        <v>3</v>
      </c>
      <c r="M524" t="s">
        <v>1948</v>
      </c>
      <c r="N524">
        <v>253</v>
      </c>
      <c r="O524">
        <v>265</v>
      </c>
      <c r="Q524" t="s">
        <v>3946</v>
      </c>
      <c r="T524">
        <v>4</v>
      </c>
      <c r="U524">
        <v>0.67</v>
      </c>
      <c r="V524">
        <v>0</v>
      </c>
      <c r="W524">
        <v>0</v>
      </c>
      <c r="X524">
        <v>0</v>
      </c>
      <c r="Y524">
        <v>0</v>
      </c>
      <c r="Z524">
        <v>0</v>
      </c>
      <c r="AA524">
        <v>0</v>
      </c>
      <c r="AB524">
        <v>0</v>
      </c>
      <c r="AC524">
        <v>0</v>
      </c>
      <c r="AD524">
        <v>0</v>
      </c>
      <c r="AE524">
        <v>0</v>
      </c>
      <c r="AF524">
        <v>0</v>
      </c>
      <c r="AG524">
        <v>0</v>
      </c>
      <c r="AH524">
        <v>0</v>
      </c>
      <c r="AI524">
        <v>0</v>
      </c>
      <c r="AJ524">
        <v>0</v>
      </c>
      <c r="AK524">
        <v>3</v>
      </c>
      <c r="AL524">
        <v>1</v>
      </c>
      <c r="AM524">
        <v>0</v>
      </c>
      <c r="AN524">
        <v>0</v>
      </c>
    </row>
    <row r="525" spans="1:40" x14ac:dyDescent="0.25">
      <c r="A525" t="s">
        <v>3947</v>
      </c>
      <c r="B525" t="s">
        <v>3948</v>
      </c>
      <c r="F525" t="s">
        <v>305</v>
      </c>
      <c r="G525" t="s">
        <v>3949</v>
      </c>
      <c r="H525">
        <v>2012</v>
      </c>
      <c r="I525">
        <v>33</v>
      </c>
      <c r="J525">
        <v>12</v>
      </c>
      <c r="N525">
        <v>1587</v>
      </c>
      <c r="O525">
        <v>1593</v>
      </c>
      <c r="Q525" t="s">
        <v>3950</v>
      </c>
      <c r="T525">
        <v>4</v>
      </c>
      <c r="U525">
        <v>0.5</v>
      </c>
      <c r="V525">
        <v>0</v>
      </c>
      <c r="W525">
        <v>0</v>
      </c>
      <c r="X525">
        <v>0</v>
      </c>
      <c r="Y525">
        <v>0</v>
      </c>
      <c r="Z525">
        <v>0</v>
      </c>
      <c r="AA525">
        <v>0</v>
      </c>
      <c r="AB525">
        <v>0</v>
      </c>
      <c r="AC525">
        <v>0</v>
      </c>
      <c r="AD525">
        <v>0</v>
      </c>
      <c r="AE525">
        <v>0</v>
      </c>
      <c r="AF525">
        <v>0</v>
      </c>
      <c r="AG525">
        <v>0</v>
      </c>
      <c r="AH525">
        <v>1</v>
      </c>
      <c r="AI525">
        <v>1</v>
      </c>
      <c r="AJ525">
        <v>1</v>
      </c>
      <c r="AK525">
        <v>1</v>
      </c>
      <c r="AL525">
        <v>0</v>
      </c>
      <c r="AM525">
        <v>0</v>
      </c>
      <c r="AN525">
        <v>0</v>
      </c>
    </row>
    <row r="526" spans="1:40" x14ac:dyDescent="0.25">
      <c r="A526" t="s">
        <v>3951</v>
      </c>
      <c r="B526" t="s">
        <v>3952</v>
      </c>
      <c r="F526" t="s">
        <v>301</v>
      </c>
      <c r="G526" t="s">
        <v>2936</v>
      </c>
      <c r="H526">
        <v>2012</v>
      </c>
      <c r="I526">
        <v>12</v>
      </c>
      <c r="J526">
        <v>2</v>
      </c>
      <c r="N526">
        <v>961</v>
      </c>
      <c r="O526">
        <v>974</v>
      </c>
      <c r="Q526" t="s">
        <v>3953</v>
      </c>
      <c r="T526">
        <v>4</v>
      </c>
      <c r="U526">
        <v>0.5</v>
      </c>
      <c r="V526">
        <v>0</v>
      </c>
      <c r="W526">
        <v>0</v>
      </c>
      <c r="X526">
        <v>0</v>
      </c>
      <c r="Y526">
        <v>0</v>
      </c>
      <c r="Z526">
        <v>0</v>
      </c>
      <c r="AA526">
        <v>0</v>
      </c>
      <c r="AB526">
        <v>0</v>
      </c>
      <c r="AC526">
        <v>0</v>
      </c>
      <c r="AD526">
        <v>0</v>
      </c>
      <c r="AE526">
        <v>0</v>
      </c>
      <c r="AF526">
        <v>0</v>
      </c>
      <c r="AG526">
        <v>0</v>
      </c>
      <c r="AH526">
        <v>0</v>
      </c>
      <c r="AI526">
        <v>1</v>
      </c>
      <c r="AJ526">
        <v>0</v>
      </c>
      <c r="AK526">
        <v>1</v>
      </c>
      <c r="AL526">
        <v>2</v>
      </c>
      <c r="AM526">
        <v>0</v>
      </c>
      <c r="AN526">
        <v>0</v>
      </c>
    </row>
    <row r="527" spans="1:40" x14ac:dyDescent="0.25">
      <c r="A527" t="s">
        <v>1569</v>
      </c>
      <c r="B527" t="s">
        <v>1571</v>
      </c>
      <c r="F527" t="s">
        <v>338</v>
      </c>
      <c r="G527">
        <v>2011</v>
      </c>
      <c r="H527">
        <v>2011</v>
      </c>
      <c r="I527">
        <v>3</v>
      </c>
      <c r="J527">
        <v>3</v>
      </c>
      <c r="N527">
        <v>187</v>
      </c>
      <c r="O527">
        <v>191</v>
      </c>
      <c r="Q527" t="s">
        <v>3954</v>
      </c>
      <c r="T527">
        <v>4</v>
      </c>
      <c r="U527">
        <v>0.44</v>
      </c>
      <c r="V527">
        <v>0</v>
      </c>
      <c r="W527">
        <v>0</v>
      </c>
      <c r="X527">
        <v>0</v>
      </c>
      <c r="Y527">
        <v>0</v>
      </c>
      <c r="Z527">
        <v>0</v>
      </c>
      <c r="AA527">
        <v>0</v>
      </c>
      <c r="AB527">
        <v>0</v>
      </c>
      <c r="AC527">
        <v>0</v>
      </c>
      <c r="AD527">
        <v>0</v>
      </c>
      <c r="AE527">
        <v>0</v>
      </c>
      <c r="AF527">
        <v>0</v>
      </c>
      <c r="AG527">
        <v>3</v>
      </c>
      <c r="AH527">
        <v>0</v>
      </c>
      <c r="AI527">
        <v>1</v>
      </c>
      <c r="AJ527">
        <v>0</v>
      </c>
      <c r="AK527">
        <v>0</v>
      </c>
      <c r="AL527">
        <v>0</v>
      </c>
      <c r="AM527">
        <v>0</v>
      </c>
      <c r="AN527">
        <v>0</v>
      </c>
    </row>
    <row r="528" spans="1:40" x14ac:dyDescent="0.25">
      <c r="A528" t="s">
        <v>3955</v>
      </c>
      <c r="B528" t="s">
        <v>3956</v>
      </c>
      <c r="F528" t="s">
        <v>343</v>
      </c>
      <c r="G528" t="s">
        <v>3138</v>
      </c>
      <c r="H528">
        <v>2010</v>
      </c>
      <c r="I528">
        <v>13</v>
      </c>
      <c r="J528">
        <v>3</v>
      </c>
      <c r="N528">
        <v>333</v>
      </c>
      <c r="O528">
        <v>348</v>
      </c>
      <c r="Q528" t="s">
        <v>3957</v>
      </c>
      <c r="T528">
        <v>4</v>
      </c>
      <c r="U528">
        <v>0.4</v>
      </c>
      <c r="V528">
        <v>0</v>
      </c>
      <c r="W528">
        <v>0</v>
      </c>
      <c r="X528">
        <v>0</v>
      </c>
      <c r="Y528">
        <v>0</v>
      </c>
      <c r="Z528">
        <v>0</v>
      </c>
      <c r="AA528">
        <v>0</v>
      </c>
      <c r="AB528">
        <v>0</v>
      </c>
      <c r="AC528">
        <v>0</v>
      </c>
      <c r="AD528">
        <v>0</v>
      </c>
      <c r="AE528">
        <v>0</v>
      </c>
      <c r="AF528">
        <v>0</v>
      </c>
      <c r="AG528">
        <v>0</v>
      </c>
      <c r="AH528">
        <v>1</v>
      </c>
      <c r="AI528">
        <v>1</v>
      </c>
      <c r="AJ528">
        <v>1</v>
      </c>
      <c r="AK528">
        <v>1</v>
      </c>
      <c r="AL528">
        <v>0</v>
      </c>
      <c r="AM528">
        <v>0</v>
      </c>
      <c r="AN528">
        <v>0</v>
      </c>
    </row>
  </sheetData>
  <pageMargins left="0.75" right="0.75" top="1" bottom="1" header="0.51180555555555496" footer="0.51180555555555496"/>
  <pageSetup firstPageNumber="0" orientation="portrait" horizontalDpi="300" verticalDpi="300"/>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C55A11"/>
  </sheetPr>
  <dimension ref="A1:AN356"/>
  <sheetViews>
    <sheetView zoomScale="75" zoomScaleNormal="75" workbookViewId="0">
      <selection activeCell="G34" sqref="G34"/>
    </sheetView>
  </sheetViews>
  <sheetFormatPr baseColWidth="10" defaultColWidth="9.140625" defaultRowHeight="15" x14ac:dyDescent="0.25"/>
  <cols>
    <col min="1" max="1" width="147.85546875" customWidth="1"/>
    <col min="2" max="2" width="85.85546875" customWidth="1"/>
    <col min="3" max="256" width="9.140625" customWidth="1"/>
    <col min="257" max="1025" width="11.42578125"/>
  </cols>
  <sheetData>
    <row r="1" spans="1:12" x14ac:dyDescent="0.25">
      <c r="A1" t="s">
        <v>2363</v>
      </c>
    </row>
    <row r="2" spans="1:12" x14ac:dyDescent="0.25">
      <c r="A2" t="s">
        <v>2364</v>
      </c>
    </row>
    <row r="6" spans="1:12" x14ac:dyDescent="0.25">
      <c r="C6" t="s">
        <v>2365</v>
      </c>
      <c r="L6" t="s">
        <v>2366</v>
      </c>
    </row>
    <row r="23" spans="1:40" x14ac:dyDescent="0.25">
      <c r="A23" t="s">
        <v>2367</v>
      </c>
      <c r="B23">
        <v>828</v>
      </c>
    </row>
    <row r="24" spans="1:40" x14ac:dyDescent="0.25">
      <c r="A24" t="s">
        <v>2368</v>
      </c>
      <c r="B24">
        <v>34585</v>
      </c>
    </row>
    <row r="25" spans="1:40" x14ac:dyDescent="0.25">
      <c r="A25" t="s">
        <v>2369</v>
      </c>
      <c r="B25">
        <v>41.77</v>
      </c>
    </row>
    <row r="26" spans="1:40" x14ac:dyDescent="0.25">
      <c r="A26" t="s">
        <v>2370</v>
      </c>
      <c r="B26">
        <v>71</v>
      </c>
    </row>
    <row r="28" spans="1:40" x14ac:dyDescent="0.25">
      <c r="A28" s="172" t="s">
        <v>2371</v>
      </c>
      <c r="B28" s="172" t="s">
        <v>348</v>
      </c>
      <c r="C28" s="172" t="s">
        <v>2372</v>
      </c>
      <c r="D28" s="172" t="s">
        <v>2373</v>
      </c>
      <c r="E28" s="172" t="s">
        <v>2374</v>
      </c>
      <c r="F28" s="172" t="s">
        <v>2375</v>
      </c>
      <c r="G28" s="172" t="s">
        <v>2376</v>
      </c>
      <c r="H28" s="172" t="s">
        <v>2377</v>
      </c>
      <c r="I28" s="172" t="s">
        <v>2378</v>
      </c>
      <c r="J28" s="172" t="s">
        <v>2379</v>
      </c>
      <c r="K28" s="172" t="s">
        <v>2380</v>
      </c>
      <c r="L28" s="172" t="s">
        <v>2381</v>
      </c>
      <c r="M28" s="172" t="s">
        <v>2382</v>
      </c>
      <c r="N28" s="172" t="s">
        <v>2383</v>
      </c>
      <c r="O28" s="172" t="s">
        <v>2384</v>
      </c>
      <c r="P28" s="172" t="s">
        <v>2385</v>
      </c>
      <c r="Q28" s="172" t="s">
        <v>2386</v>
      </c>
      <c r="R28" s="172" t="s">
        <v>2387</v>
      </c>
      <c r="S28" s="172" t="s">
        <v>2388</v>
      </c>
      <c r="T28" s="172" t="s">
        <v>2389</v>
      </c>
      <c r="U28" s="172" t="s">
        <v>2390</v>
      </c>
      <c r="V28" s="172">
        <v>2001</v>
      </c>
      <c r="W28" s="172">
        <v>2002</v>
      </c>
      <c r="X28" s="172">
        <v>2003</v>
      </c>
      <c r="Y28" s="172">
        <v>2004</v>
      </c>
      <c r="Z28" s="172">
        <v>2005</v>
      </c>
      <c r="AA28" s="172">
        <v>2006</v>
      </c>
      <c r="AB28" s="172">
        <v>2007</v>
      </c>
      <c r="AC28" s="172">
        <v>2008</v>
      </c>
      <c r="AD28" s="172">
        <v>2009</v>
      </c>
      <c r="AE28" s="172">
        <v>2010</v>
      </c>
      <c r="AF28" s="172">
        <v>2011</v>
      </c>
      <c r="AG28" s="172">
        <v>2012</v>
      </c>
      <c r="AH28" s="172">
        <v>2013</v>
      </c>
      <c r="AI28" s="172">
        <v>2014</v>
      </c>
      <c r="AJ28" s="172">
        <v>2015</v>
      </c>
      <c r="AK28" s="172">
        <v>2016</v>
      </c>
      <c r="AL28" s="172">
        <v>2017</v>
      </c>
      <c r="AM28" s="172">
        <v>2018</v>
      </c>
      <c r="AN28" s="172">
        <v>2019</v>
      </c>
    </row>
    <row r="29" spans="1:40" x14ac:dyDescent="0.25">
      <c r="A29" t="s">
        <v>3958</v>
      </c>
      <c r="B29" t="s">
        <v>3959</v>
      </c>
      <c r="F29" t="s">
        <v>311</v>
      </c>
      <c r="G29" t="s">
        <v>3960</v>
      </c>
      <c r="H29">
        <v>2019</v>
      </c>
      <c r="I29">
        <v>28</v>
      </c>
      <c r="J29">
        <v>4</v>
      </c>
      <c r="N29">
        <v>2116</v>
      </c>
      <c r="O29">
        <v>2125</v>
      </c>
      <c r="Q29" t="s">
        <v>3961</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row>
    <row r="30" spans="1:40" x14ac:dyDescent="0.25">
      <c r="A30" t="s">
        <v>3962</v>
      </c>
      <c r="B30" t="s">
        <v>3963</v>
      </c>
      <c r="F30" t="s">
        <v>308</v>
      </c>
      <c r="G30" t="s">
        <v>3964</v>
      </c>
      <c r="H30">
        <v>2019</v>
      </c>
      <c r="I30">
        <v>87</v>
      </c>
      <c r="N30">
        <v>67</v>
      </c>
      <c r="O30">
        <v>79</v>
      </c>
      <c r="Q30" t="s">
        <v>3965</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row>
    <row r="31" spans="1:40" x14ac:dyDescent="0.25">
      <c r="A31" t="s">
        <v>1488</v>
      </c>
      <c r="B31" t="s">
        <v>1490</v>
      </c>
      <c r="F31" t="s">
        <v>327</v>
      </c>
      <c r="G31" t="s">
        <v>3964</v>
      </c>
      <c r="H31">
        <v>2019</v>
      </c>
      <c r="I31">
        <v>46</v>
      </c>
      <c r="N31">
        <v>206</v>
      </c>
      <c r="O31">
        <v>217</v>
      </c>
      <c r="Q31" t="s">
        <v>3966</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row>
    <row r="32" spans="1:40" x14ac:dyDescent="0.25">
      <c r="A32" t="s">
        <v>3967</v>
      </c>
      <c r="B32" t="s">
        <v>3968</v>
      </c>
      <c r="F32" t="s">
        <v>306</v>
      </c>
      <c r="G32" t="s">
        <v>3969</v>
      </c>
      <c r="H32">
        <v>2019</v>
      </c>
      <c r="I32">
        <v>331</v>
      </c>
      <c r="N32">
        <v>375</v>
      </c>
      <c r="O32">
        <v>387</v>
      </c>
      <c r="Q32" t="s">
        <v>3970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v>0</v>
      </c>
    </row>
    <row r="33" spans="1:40" x14ac:dyDescent="0.25">
      <c r="A33" t="s">
        <v>1647</v>
      </c>
      <c r="B33" t="s">
        <v>1649</v>
      </c>
      <c r="F33" t="s">
        <v>306</v>
      </c>
      <c r="G33" t="s">
        <v>3971</v>
      </c>
      <c r="H33">
        <v>2019</v>
      </c>
      <c r="I33">
        <v>330</v>
      </c>
      <c r="N33">
        <v>449</v>
      </c>
      <c r="O33">
        <v>464</v>
      </c>
      <c r="Q33" t="s">
        <v>3972</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row>
    <row r="34" spans="1:40" x14ac:dyDescent="0.25">
      <c r="A34" t="s">
        <v>3973</v>
      </c>
      <c r="B34" t="s">
        <v>3974</v>
      </c>
      <c r="F34" t="s">
        <v>306</v>
      </c>
      <c r="G34" t="s">
        <v>3975</v>
      </c>
      <c r="H34">
        <v>2019</v>
      </c>
      <c r="I34">
        <v>329</v>
      </c>
      <c r="N34">
        <v>359</v>
      </c>
      <c r="O34">
        <v>369</v>
      </c>
      <c r="Q34" t="s">
        <v>3976</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row>
    <row r="35" spans="1:40" x14ac:dyDescent="0.25">
      <c r="A35" t="s">
        <v>3977</v>
      </c>
      <c r="B35" t="s">
        <v>3978</v>
      </c>
      <c r="F35" t="s">
        <v>308</v>
      </c>
      <c r="G35" t="s">
        <v>3979</v>
      </c>
      <c r="H35">
        <v>2019</v>
      </c>
      <c r="I35">
        <v>86</v>
      </c>
      <c r="N35">
        <v>376</v>
      </c>
      <c r="O35">
        <v>385</v>
      </c>
      <c r="Q35" t="s">
        <v>3980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row>
    <row r="36" spans="1:40" x14ac:dyDescent="0.25">
      <c r="A36" t="s">
        <v>3981</v>
      </c>
      <c r="B36" t="s">
        <v>3982</v>
      </c>
      <c r="F36" t="s">
        <v>313</v>
      </c>
      <c r="G36" t="s">
        <v>3979</v>
      </c>
      <c r="H36">
        <v>2019</v>
      </c>
      <c r="I36">
        <v>116</v>
      </c>
      <c r="N36">
        <v>410</v>
      </c>
      <c r="O36">
        <v>429</v>
      </c>
      <c r="Q36" t="s">
        <v>3983</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row>
    <row r="37" spans="1:40" x14ac:dyDescent="0.25">
      <c r="A37" t="s">
        <v>3984</v>
      </c>
      <c r="B37" t="s">
        <v>3985</v>
      </c>
      <c r="F37" t="s">
        <v>311</v>
      </c>
      <c r="G37" t="s">
        <v>3979</v>
      </c>
      <c r="H37">
        <v>2019</v>
      </c>
      <c r="I37">
        <v>28</v>
      </c>
      <c r="J37">
        <v>2</v>
      </c>
      <c r="N37">
        <v>1007</v>
      </c>
      <c r="O37">
        <v>1022</v>
      </c>
      <c r="Q37" t="s">
        <v>3986</v>
      </c>
      <c r="T37">
        <v>0</v>
      </c>
      <c r="U37">
        <v>0</v>
      </c>
      <c r="V37">
        <v>0</v>
      </c>
      <c r="W37">
        <v>0</v>
      </c>
      <c r="X37">
        <v>0</v>
      </c>
      <c r="Y37">
        <v>0</v>
      </c>
      <c r="Z37">
        <v>0</v>
      </c>
      <c r="AA37">
        <v>0</v>
      </c>
      <c r="AB37">
        <v>0</v>
      </c>
      <c r="AC37">
        <v>0</v>
      </c>
      <c r="AD37">
        <v>0</v>
      </c>
      <c r="AE37">
        <v>0</v>
      </c>
      <c r="AF37">
        <v>0</v>
      </c>
      <c r="AG37">
        <v>0</v>
      </c>
      <c r="AH37">
        <v>0</v>
      </c>
      <c r="AI37">
        <v>0</v>
      </c>
      <c r="AJ37">
        <v>0</v>
      </c>
      <c r="AK37">
        <v>0</v>
      </c>
      <c r="AL37">
        <v>0</v>
      </c>
      <c r="AM37">
        <v>0</v>
      </c>
      <c r="AN37">
        <v>0</v>
      </c>
    </row>
    <row r="38" spans="1:40" x14ac:dyDescent="0.25">
      <c r="A38" t="s">
        <v>3987</v>
      </c>
      <c r="B38" t="s">
        <v>3988</v>
      </c>
      <c r="F38" t="s">
        <v>311</v>
      </c>
      <c r="G38" t="s">
        <v>3979</v>
      </c>
      <c r="H38">
        <v>2019</v>
      </c>
      <c r="I38">
        <v>28</v>
      </c>
      <c r="J38">
        <v>2</v>
      </c>
      <c r="N38">
        <v>589</v>
      </c>
      <c r="O38">
        <v>600</v>
      </c>
      <c r="Q38" t="s">
        <v>3989</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row>
    <row r="39" spans="1:40" x14ac:dyDescent="0.25">
      <c r="A39" t="s">
        <v>3990</v>
      </c>
      <c r="B39" t="s">
        <v>3991</v>
      </c>
      <c r="F39" t="s">
        <v>306</v>
      </c>
      <c r="G39" t="s">
        <v>3992</v>
      </c>
      <c r="H39">
        <v>2019</v>
      </c>
      <c r="I39">
        <v>323</v>
      </c>
      <c r="N39">
        <v>188</v>
      </c>
      <c r="O39">
        <v>202</v>
      </c>
      <c r="Q39" t="s">
        <v>3993</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row>
    <row r="40" spans="1:40" x14ac:dyDescent="0.25">
      <c r="A40" t="s">
        <v>3994</v>
      </c>
      <c r="B40" t="s">
        <v>3995</v>
      </c>
      <c r="F40" t="s">
        <v>306</v>
      </c>
      <c r="G40" t="s">
        <v>3992</v>
      </c>
      <c r="H40">
        <v>2019</v>
      </c>
      <c r="I40">
        <v>323</v>
      </c>
      <c r="N40">
        <v>265</v>
      </c>
      <c r="O40">
        <v>276</v>
      </c>
      <c r="Q40" t="s">
        <v>3996</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row>
    <row r="41" spans="1:40" x14ac:dyDescent="0.25">
      <c r="A41" t="s">
        <v>1116</v>
      </c>
      <c r="B41" t="s">
        <v>1118</v>
      </c>
      <c r="F41" t="s">
        <v>313</v>
      </c>
      <c r="G41" t="s">
        <v>3997</v>
      </c>
      <c r="H41">
        <v>2019</v>
      </c>
      <c r="I41">
        <v>115</v>
      </c>
      <c r="N41">
        <v>524</v>
      </c>
      <c r="O41">
        <v>534</v>
      </c>
      <c r="Q41" t="s">
        <v>3998</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row>
    <row r="42" spans="1:40" x14ac:dyDescent="0.25">
      <c r="A42" t="s">
        <v>3999</v>
      </c>
      <c r="B42" t="s">
        <v>4000</v>
      </c>
      <c r="F42" t="s">
        <v>311</v>
      </c>
      <c r="G42" t="s">
        <v>3997</v>
      </c>
      <c r="H42">
        <v>2019</v>
      </c>
      <c r="I42">
        <v>28</v>
      </c>
      <c r="J42">
        <v>1</v>
      </c>
      <c r="N42">
        <v>6</v>
      </c>
      <c r="O42">
        <v>16</v>
      </c>
      <c r="Q42" t="s">
        <v>4001</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row>
    <row r="43" spans="1:40" x14ac:dyDescent="0.25">
      <c r="A43" t="s">
        <v>4002</v>
      </c>
      <c r="B43" t="s">
        <v>4003</v>
      </c>
      <c r="F43" t="s">
        <v>313</v>
      </c>
      <c r="G43" t="s">
        <v>4004</v>
      </c>
      <c r="H43">
        <v>2018</v>
      </c>
      <c r="I43">
        <v>114</v>
      </c>
      <c r="N43">
        <v>107</v>
      </c>
      <c r="O43">
        <v>118</v>
      </c>
      <c r="Q43" t="s">
        <v>4005</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row>
    <row r="44" spans="1:40" x14ac:dyDescent="0.25">
      <c r="A44" t="s">
        <v>4006</v>
      </c>
      <c r="B44" t="s">
        <v>4007</v>
      </c>
      <c r="F44" t="s">
        <v>306</v>
      </c>
      <c r="G44" t="s">
        <v>4008</v>
      </c>
      <c r="H44">
        <v>2018</v>
      </c>
      <c r="I44">
        <v>321</v>
      </c>
      <c r="N44">
        <v>36</v>
      </c>
      <c r="O44">
        <v>48</v>
      </c>
      <c r="Q44" t="s">
        <v>4009</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row>
    <row r="45" spans="1:40" x14ac:dyDescent="0.25">
      <c r="A45" t="s">
        <v>4010</v>
      </c>
      <c r="B45" t="s">
        <v>4011</v>
      </c>
      <c r="F45" t="s">
        <v>4012</v>
      </c>
      <c r="G45" t="s">
        <v>4013</v>
      </c>
      <c r="H45">
        <v>2018</v>
      </c>
      <c r="I45">
        <v>18</v>
      </c>
      <c r="J45">
        <v>3</v>
      </c>
      <c r="N45">
        <v>248</v>
      </c>
      <c r="O45">
        <v>257</v>
      </c>
      <c r="Q45" t="s">
        <v>4014</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row>
    <row r="46" spans="1:40" x14ac:dyDescent="0.25">
      <c r="A46" t="s">
        <v>4015</v>
      </c>
      <c r="B46" t="s">
        <v>4016</v>
      </c>
      <c r="F46" t="s">
        <v>310</v>
      </c>
      <c r="G46" t="s">
        <v>4013</v>
      </c>
      <c r="H46">
        <v>2018</v>
      </c>
      <c r="I46">
        <v>12</v>
      </c>
      <c r="J46">
        <v>8</v>
      </c>
      <c r="M46" t="s">
        <v>1948</v>
      </c>
      <c r="N46">
        <v>1060</v>
      </c>
      <c r="O46">
        <v>1066</v>
      </c>
      <c r="Q46" t="s">
        <v>4017</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0</v>
      </c>
    </row>
    <row r="47" spans="1:40" x14ac:dyDescent="0.25">
      <c r="A47" t="s">
        <v>4018</v>
      </c>
      <c r="B47" t="s">
        <v>4019</v>
      </c>
      <c r="F47" t="s">
        <v>310</v>
      </c>
      <c r="G47" t="s">
        <v>4013</v>
      </c>
      <c r="H47">
        <v>2018</v>
      </c>
      <c r="I47">
        <v>12</v>
      </c>
      <c r="J47">
        <v>8</v>
      </c>
      <c r="M47" t="s">
        <v>1948</v>
      </c>
      <c r="N47">
        <v>1088</v>
      </c>
      <c r="O47">
        <v>1095</v>
      </c>
      <c r="Q47" t="s">
        <v>4020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0</v>
      </c>
    </row>
    <row r="48" spans="1:40" x14ac:dyDescent="0.25">
      <c r="A48" t="s">
        <v>4021</v>
      </c>
      <c r="B48" t="s">
        <v>4022</v>
      </c>
      <c r="F48" t="s">
        <v>310</v>
      </c>
      <c r="G48" t="s">
        <v>4013</v>
      </c>
      <c r="H48">
        <v>2018</v>
      </c>
      <c r="I48">
        <v>12</v>
      </c>
      <c r="J48">
        <v>8</v>
      </c>
      <c r="M48" t="s">
        <v>1948</v>
      </c>
      <c r="N48">
        <v>1121</v>
      </c>
      <c r="O48">
        <v>1132</v>
      </c>
      <c r="Q48" t="s">
        <v>4023</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row>
    <row r="49" spans="1:40" x14ac:dyDescent="0.25">
      <c r="A49" t="s">
        <v>4024</v>
      </c>
      <c r="B49" t="s">
        <v>4025</v>
      </c>
      <c r="F49" t="s">
        <v>316</v>
      </c>
      <c r="G49" t="s">
        <v>4013</v>
      </c>
      <c r="H49">
        <v>2018</v>
      </c>
      <c r="I49">
        <v>12</v>
      </c>
      <c r="J49">
        <v>12</v>
      </c>
      <c r="N49">
        <v>2319</v>
      </c>
      <c r="O49">
        <v>2329</v>
      </c>
      <c r="Q49" t="s">
        <v>4026</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row>
    <row r="50" spans="1:40" x14ac:dyDescent="0.25">
      <c r="A50" t="s">
        <v>1043</v>
      </c>
      <c r="B50" t="s">
        <v>1045</v>
      </c>
      <c r="F50" t="s">
        <v>307</v>
      </c>
      <c r="G50" t="s">
        <v>4013</v>
      </c>
      <c r="H50">
        <v>2018</v>
      </c>
      <c r="I50">
        <v>52</v>
      </c>
      <c r="N50">
        <v>985</v>
      </c>
      <c r="O50">
        <v>994</v>
      </c>
      <c r="Q50" t="s">
        <v>4027</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row>
    <row r="51" spans="1:40" x14ac:dyDescent="0.25">
      <c r="A51" t="s">
        <v>4028</v>
      </c>
      <c r="B51" t="s">
        <v>4029</v>
      </c>
      <c r="F51" t="s">
        <v>305</v>
      </c>
      <c r="G51" t="s">
        <v>4030</v>
      </c>
      <c r="H51">
        <v>2018</v>
      </c>
      <c r="I51">
        <v>116</v>
      </c>
      <c r="N51">
        <v>157</v>
      </c>
      <c r="O51">
        <v>163</v>
      </c>
      <c r="Q51" t="s">
        <v>4031</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row>
    <row r="52" spans="1:40" x14ac:dyDescent="0.25">
      <c r="A52" t="s">
        <v>4032</v>
      </c>
      <c r="B52" t="s">
        <v>4033</v>
      </c>
      <c r="F52" t="s">
        <v>306</v>
      </c>
      <c r="G52" t="s">
        <v>4034</v>
      </c>
      <c r="H52">
        <v>2018</v>
      </c>
      <c r="I52">
        <v>318</v>
      </c>
      <c r="N52">
        <v>182</v>
      </c>
      <c r="O52">
        <v>195</v>
      </c>
      <c r="Q52" t="s">
        <v>4035</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row>
    <row r="53" spans="1:40" x14ac:dyDescent="0.25">
      <c r="A53" t="s">
        <v>4036</v>
      </c>
      <c r="B53" t="s">
        <v>4037</v>
      </c>
      <c r="F53" t="s">
        <v>306</v>
      </c>
      <c r="G53" t="s">
        <v>4038</v>
      </c>
      <c r="H53">
        <v>2018</v>
      </c>
      <c r="I53">
        <v>314</v>
      </c>
      <c r="N53">
        <v>215</v>
      </c>
      <c r="O53">
        <v>223</v>
      </c>
      <c r="Q53" t="s">
        <v>4039</v>
      </c>
      <c r="T53">
        <v>0</v>
      </c>
      <c r="U53">
        <v>0</v>
      </c>
      <c r="V53">
        <v>0</v>
      </c>
      <c r="W53">
        <v>0</v>
      </c>
      <c r="X53">
        <v>0</v>
      </c>
      <c r="Y53">
        <v>0</v>
      </c>
      <c r="Z53">
        <v>0</v>
      </c>
      <c r="AA53">
        <v>0</v>
      </c>
      <c r="AB53">
        <v>0</v>
      </c>
      <c r="AC53">
        <v>0</v>
      </c>
      <c r="AD53">
        <v>0</v>
      </c>
      <c r="AE53">
        <v>0</v>
      </c>
      <c r="AF53">
        <v>0</v>
      </c>
      <c r="AG53">
        <v>0</v>
      </c>
      <c r="AH53">
        <v>0</v>
      </c>
      <c r="AI53">
        <v>0</v>
      </c>
      <c r="AJ53">
        <v>0</v>
      </c>
      <c r="AK53">
        <v>0</v>
      </c>
      <c r="AL53">
        <v>0</v>
      </c>
      <c r="AM53">
        <v>0</v>
      </c>
      <c r="AN53">
        <v>0</v>
      </c>
    </row>
    <row r="54" spans="1:40" x14ac:dyDescent="0.25">
      <c r="A54" t="s">
        <v>1430</v>
      </c>
      <c r="B54" t="s">
        <v>1432</v>
      </c>
      <c r="F54" t="s">
        <v>316</v>
      </c>
      <c r="G54" t="s">
        <v>4040</v>
      </c>
      <c r="H54">
        <v>2018</v>
      </c>
      <c r="I54">
        <v>12</v>
      </c>
      <c r="J54">
        <v>11</v>
      </c>
      <c r="N54">
        <v>2036</v>
      </c>
      <c r="O54">
        <v>2041</v>
      </c>
      <c r="Q54" t="s">
        <v>4041</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row>
    <row r="55" spans="1:40" x14ac:dyDescent="0.25">
      <c r="A55" t="s">
        <v>4042</v>
      </c>
      <c r="B55" t="s">
        <v>4043</v>
      </c>
      <c r="F55" t="s">
        <v>298</v>
      </c>
      <c r="G55" t="s">
        <v>4044</v>
      </c>
      <c r="H55">
        <v>2018</v>
      </c>
      <c r="I55">
        <v>176</v>
      </c>
      <c r="N55">
        <v>70</v>
      </c>
      <c r="O55">
        <v>77</v>
      </c>
      <c r="Q55" t="s">
        <v>4045</v>
      </c>
      <c r="T55">
        <v>0</v>
      </c>
      <c r="U55">
        <v>0</v>
      </c>
      <c r="V55">
        <v>0</v>
      </c>
      <c r="W55">
        <v>0</v>
      </c>
      <c r="X55">
        <v>0</v>
      </c>
      <c r="Y55">
        <v>0</v>
      </c>
      <c r="Z55">
        <v>0</v>
      </c>
      <c r="AA55">
        <v>0</v>
      </c>
      <c r="AB55">
        <v>0</v>
      </c>
      <c r="AC55">
        <v>0</v>
      </c>
      <c r="AD55">
        <v>0</v>
      </c>
      <c r="AE55">
        <v>0</v>
      </c>
      <c r="AF55">
        <v>0</v>
      </c>
      <c r="AG55">
        <v>0</v>
      </c>
      <c r="AH55">
        <v>0</v>
      </c>
      <c r="AI55">
        <v>0</v>
      </c>
      <c r="AJ55">
        <v>0</v>
      </c>
      <c r="AK55">
        <v>0</v>
      </c>
      <c r="AL55">
        <v>0</v>
      </c>
      <c r="AM55">
        <v>0</v>
      </c>
      <c r="AN55">
        <v>0</v>
      </c>
    </row>
    <row r="56" spans="1:40" x14ac:dyDescent="0.25">
      <c r="A56" t="s">
        <v>4046</v>
      </c>
      <c r="B56" t="s">
        <v>4047</v>
      </c>
      <c r="F56" t="s">
        <v>336</v>
      </c>
      <c r="G56" t="s">
        <v>4040</v>
      </c>
      <c r="H56">
        <v>2018</v>
      </c>
      <c r="I56">
        <v>22</v>
      </c>
      <c r="J56">
        <v>7</v>
      </c>
      <c r="N56">
        <v>1056</v>
      </c>
      <c r="O56">
        <v>1064</v>
      </c>
      <c r="Q56" t="s">
        <v>4048</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row>
    <row r="57" spans="1:40" x14ac:dyDescent="0.25">
      <c r="A57" t="s">
        <v>1454</v>
      </c>
      <c r="B57" t="s">
        <v>1456</v>
      </c>
      <c r="F57" t="s">
        <v>302</v>
      </c>
      <c r="G57" t="s">
        <v>4040</v>
      </c>
      <c r="H57">
        <v>2018</v>
      </c>
      <c r="I57">
        <v>79</v>
      </c>
      <c r="N57">
        <v>109</v>
      </c>
      <c r="O57">
        <v>122</v>
      </c>
      <c r="Q57" t="s">
        <v>4049</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row>
    <row r="58" spans="1:40" x14ac:dyDescent="0.25">
      <c r="A58" t="s">
        <v>4050</v>
      </c>
      <c r="B58" t="s">
        <v>4051</v>
      </c>
      <c r="F58" t="s">
        <v>320</v>
      </c>
      <c r="G58" t="s">
        <v>4040</v>
      </c>
      <c r="H58">
        <v>2018</v>
      </c>
      <c r="I58">
        <v>30</v>
      </c>
      <c r="J58">
        <v>11</v>
      </c>
      <c r="N58">
        <v>3128</v>
      </c>
      <c r="O58">
        <v>3149</v>
      </c>
      <c r="Q58" t="s">
        <v>4052</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row>
    <row r="59" spans="1:40" x14ac:dyDescent="0.25">
      <c r="A59" t="s">
        <v>4053</v>
      </c>
      <c r="B59" t="s">
        <v>4054</v>
      </c>
      <c r="F59" t="s">
        <v>343</v>
      </c>
      <c r="G59" t="s">
        <v>4040</v>
      </c>
      <c r="H59">
        <v>2018</v>
      </c>
      <c r="I59">
        <v>21</v>
      </c>
      <c r="J59">
        <v>4</v>
      </c>
      <c r="N59">
        <v>1167</v>
      </c>
      <c r="O59">
        <v>1183</v>
      </c>
      <c r="Q59" t="s">
        <v>4055</v>
      </c>
      <c r="T59">
        <v>0</v>
      </c>
      <c r="U59">
        <v>0</v>
      </c>
      <c r="V59">
        <v>0</v>
      </c>
      <c r="W59">
        <v>0</v>
      </c>
      <c r="X59">
        <v>0</v>
      </c>
      <c r="Y59">
        <v>0</v>
      </c>
      <c r="Z59">
        <v>0</v>
      </c>
      <c r="AA59">
        <v>0</v>
      </c>
      <c r="AB59">
        <v>0</v>
      </c>
      <c r="AC59">
        <v>0</v>
      </c>
      <c r="AD59">
        <v>0</v>
      </c>
      <c r="AE59">
        <v>0</v>
      </c>
      <c r="AF59">
        <v>0</v>
      </c>
      <c r="AG59">
        <v>0</v>
      </c>
      <c r="AH59">
        <v>0</v>
      </c>
      <c r="AI59">
        <v>0</v>
      </c>
      <c r="AJ59">
        <v>0</v>
      </c>
      <c r="AK59">
        <v>0</v>
      </c>
      <c r="AL59">
        <v>0</v>
      </c>
      <c r="AM59">
        <v>0</v>
      </c>
      <c r="AN59">
        <v>0</v>
      </c>
    </row>
    <row r="60" spans="1:40" x14ac:dyDescent="0.25">
      <c r="A60" t="s">
        <v>1656</v>
      </c>
      <c r="B60" t="s">
        <v>1658</v>
      </c>
      <c r="F60" t="s">
        <v>306</v>
      </c>
      <c r="G60" t="s">
        <v>4056</v>
      </c>
      <c r="H60">
        <v>2018</v>
      </c>
      <c r="I60">
        <v>312</v>
      </c>
      <c r="N60">
        <v>135</v>
      </c>
      <c r="O60">
        <v>153</v>
      </c>
      <c r="Q60" t="s">
        <v>4057</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row>
    <row r="61" spans="1:40" x14ac:dyDescent="0.25">
      <c r="A61" t="s">
        <v>4058</v>
      </c>
      <c r="B61" t="s">
        <v>4059</v>
      </c>
      <c r="F61" t="s">
        <v>306</v>
      </c>
      <c r="G61" t="s">
        <v>4060</v>
      </c>
      <c r="H61">
        <v>2018</v>
      </c>
      <c r="I61">
        <v>309</v>
      </c>
      <c r="N61">
        <v>192</v>
      </c>
      <c r="O61">
        <v>200</v>
      </c>
      <c r="Q61" t="s">
        <v>4061</v>
      </c>
      <c r="T61">
        <v>0</v>
      </c>
      <c r="U61">
        <v>0</v>
      </c>
      <c r="V61">
        <v>0</v>
      </c>
      <c r="W61">
        <v>0</v>
      </c>
      <c r="X61">
        <v>0</v>
      </c>
      <c r="Y61">
        <v>0</v>
      </c>
      <c r="Z61">
        <v>0</v>
      </c>
      <c r="AA61">
        <v>0</v>
      </c>
      <c r="AB61">
        <v>0</v>
      </c>
      <c r="AC61">
        <v>0</v>
      </c>
      <c r="AD61">
        <v>0</v>
      </c>
      <c r="AE61">
        <v>0</v>
      </c>
      <c r="AF61">
        <v>0</v>
      </c>
      <c r="AG61">
        <v>0</v>
      </c>
      <c r="AH61">
        <v>0</v>
      </c>
      <c r="AI61">
        <v>0</v>
      </c>
      <c r="AJ61">
        <v>0</v>
      </c>
      <c r="AK61">
        <v>0</v>
      </c>
      <c r="AL61">
        <v>0</v>
      </c>
      <c r="AM61">
        <v>0</v>
      </c>
      <c r="AN61">
        <v>0</v>
      </c>
    </row>
    <row r="62" spans="1:40" x14ac:dyDescent="0.25">
      <c r="A62" t="s">
        <v>4062</v>
      </c>
      <c r="B62" t="s">
        <v>4063</v>
      </c>
      <c r="F62" t="s">
        <v>4064</v>
      </c>
      <c r="G62" t="s">
        <v>4065</v>
      </c>
      <c r="H62">
        <v>2018</v>
      </c>
      <c r="I62">
        <v>26</v>
      </c>
      <c r="N62">
        <v>55</v>
      </c>
      <c r="O62">
        <v>79</v>
      </c>
      <c r="Q62" t="s">
        <v>4066</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row>
    <row r="63" spans="1:40" x14ac:dyDescent="0.25">
      <c r="A63" t="s">
        <v>4067</v>
      </c>
      <c r="B63" t="s">
        <v>4068</v>
      </c>
      <c r="F63" t="s">
        <v>315</v>
      </c>
      <c r="G63" t="s">
        <v>4065</v>
      </c>
      <c r="H63">
        <v>2018</v>
      </c>
      <c r="I63">
        <v>29</v>
      </c>
      <c r="J63">
        <v>7</v>
      </c>
      <c r="N63">
        <v>1143</v>
      </c>
      <c r="O63">
        <v>1155</v>
      </c>
      <c r="Q63" t="s">
        <v>4069</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row>
    <row r="64" spans="1:40" x14ac:dyDescent="0.25">
      <c r="A64" t="s">
        <v>4070</v>
      </c>
      <c r="B64" t="s">
        <v>4071</v>
      </c>
      <c r="F64" t="s">
        <v>306</v>
      </c>
      <c r="G64" t="s">
        <v>4072</v>
      </c>
      <c r="H64">
        <v>2018</v>
      </c>
      <c r="I64">
        <v>307</v>
      </c>
      <c r="N64">
        <v>172</v>
      </c>
      <c r="O64">
        <v>183</v>
      </c>
      <c r="Q64" t="s">
        <v>4073</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v>0</v>
      </c>
    </row>
    <row r="65" spans="1:40" x14ac:dyDescent="0.25">
      <c r="A65" t="s">
        <v>4074</v>
      </c>
      <c r="B65" t="s">
        <v>4075</v>
      </c>
      <c r="F65" t="s">
        <v>298</v>
      </c>
      <c r="G65" t="s">
        <v>4076</v>
      </c>
      <c r="H65">
        <v>2018</v>
      </c>
      <c r="I65">
        <v>174</v>
      </c>
      <c r="N65">
        <v>57</v>
      </c>
      <c r="O65">
        <v>69</v>
      </c>
      <c r="Q65" t="s">
        <v>4077</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row>
    <row r="66" spans="1:40" x14ac:dyDescent="0.25">
      <c r="A66" t="s">
        <v>4078</v>
      </c>
      <c r="B66" t="s">
        <v>4079</v>
      </c>
      <c r="F66" t="s">
        <v>316</v>
      </c>
      <c r="G66" t="s">
        <v>4076</v>
      </c>
      <c r="H66">
        <v>2018</v>
      </c>
      <c r="I66">
        <v>12</v>
      </c>
      <c r="J66">
        <v>9</v>
      </c>
      <c r="N66">
        <v>1595</v>
      </c>
      <c r="O66">
        <v>1605</v>
      </c>
      <c r="Q66" t="s">
        <v>4080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row>
    <row r="67" spans="1:40" x14ac:dyDescent="0.25">
      <c r="A67" t="s">
        <v>4081</v>
      </c>
      <c r="B67" t="s">
        <v>4082</v>
      </c>
      <c r="F67" t="s">
        <v>316</v>
      </c>
      <c r="G67" t="s">
        <v>4076</v>
      </c>
      <c r="H67">
        <v>2018</v>
      </c>
      <c r="I67">
        <v>12</v>
      </c>
      <c r="J67">
        <v>9</v>
      </c>
      <c r="N67">
        <v>1646</v>
      </c>
      <c r="O67">
        <v>1654</v>
      </c>
      <c r="Q67" t="s">
        <v>4083</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row>
    <row r="68" spans="1:40" x14ac:dyDescent="0.25">
      <c r="A68" t="s">
        <v>4084</v>
      </c>
      <c r="B68" t="s">
        <v>4085</v>
      </c>
      <c r="F68" t="s">
        <v>316</v>
      </c>
      <c r="G68" t="s">
        <v>4076</v>
      </c>
      <c r="H68">
        <v>2018</v>
      </c>
      <c r="I68">
        <v>12</v>
      </c>
      <c r="J68">
        <v>9</v>
      </c>
      <c r="N68">
        <v>1673</v>
      </c>
      <c r="O68">
        <v>1682</v>
      </c>
      <c r="Q68" t="s">
        <v>4086</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row>
    <row r="69" spans="1:40" x14ac:dyDescent="0.25">
      <c r="A69" t="s">
        <v>1719</v>
      </c>
      <c r="B69" t="s">
        <v>1721</v>
      </c>
      <c r="F69" t="s">
        <v>305</v>
      </c>
      <c r="G69" t="s">
        <v>4087</v>
      </c>
      <c r="H69">
        <v>2018</v>
      </c>
      <c r="I69">
        <v>112</v>
      </c>
      <c r="N69">
        <v>303</v>
      </c>
      <c r="O69">
        <v>309</v>
      </c>
      <c r="Q69" t="s">
        <v>4088</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row>
    <row r="70" spans="1:40" x14ac:dyDescent="0.25">
      <c r="A70" t="s">
        <v>4089</v>
      </c>
      <c r="B70" t="s">
        <v>4090</v>
      </c>
      <c r="F70" t="s">
        <v>303</v>
      </c>
      <c r="G70" t="s">
        <v>4076</v>
      </c>
      <c r="H70">
        <v>2018</v>
      </c>
      <c r="I70">
        <v>126</v>
      </c>
      <c r="J70">
        <v>9</v>
      </c>
      <c r="M70" t="s">
        <v>1948</v>
      </c>
      <c r="N70">
        <v>961</v>
      </c>
      <c r="O70">
        <v>972</v>
      </c>
      <c r="Q70" t="s">
        <v>4091</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row>
    <row r="71" spans="1:40" x14ac:dyDescent="0.25">
      <c r="A71" t="s">
        <v>4092</v>
      </c>
      <c r="B71" t="s">
        <v>4093</v>
      </c>
      <c r="F71" t="s">
        <v>310</v>
      </c>
      <c r="G71" t="s">
        <v>4076</v>
      </c>
      <c r="H71">
        <v>2018</v>
      </c>
      <c r="I71">
        <v>12</v>
      </c>
      <c r="J71">
        <v>6</v>
      </c>
      <c r="N71">
        <v>787</v>
      </c>
      <c r="O71">
        <v>795</v>
      </c>
      <c r="Q71" t="s">
        <v>4094</v>
      </c>
      <c r="T71">
        <v>0</v>
      </c>
      <c r="U71">
        <v>0</v>
      </c>
      <c r="V71">
        <v>0</v>
      </c>
      <c r="W71">
        <v>0</v>
      </c>
      <c r="X71">
        <v>0</v>
      </c>
      <c r="Y71">
        <v>0</v>
      </c>
      <c r="Z71">
        <v>0</v>
      </c>
      <c r="AA71">
        <v>0</v>
      </c>
      <c r="AB71">
        <v>0</v>
      </c>
      <c r="AC71">
        <v>0</v>
      </c>
      <c r="AD71">
        <v>0</v>
      </c>
      <c r="AE71">
        <v>0</v>
      </c>
      <c r="AF71">
        <v>0</v>
      </c>
      <c r="AG71">
        <v>0</v>
      </c>
      <c r="AH71">
        <v>0</v>
      </c>
      <c r="AI71">
        <v>0</v>
      </c>
      <c r="AJ71">
        <v>0</v>
      </c>
      <c r="AK71">
        <v>0</v>
      </c>
      <c r="AL71">
        <v>0</v>
      </c>
      <c r="AM71">
        <v>0</v>
      </c>
      <c r="AN71">
        <v>0</v>
      </c>
    </row>
    <row r="72" spans="1:40" x14ac:dyDescent="0.25">
      <c r="A72" t="s">
        <v>4095</v>
      </c>
      <c r="B72" t="s">
        <v>4096</v>
      </c>
      <c r="F72" t="s">
        <v>310</v>
      </c>
      <c r="G72" t="s">
        <v>4076</v>
      </c>
      <c r="H72">
        <v>2018</v>
      </c>
      <c r="I72">
        <v>12</v>
      </c>
      <c r="J72">
        <v>6</v>
      </c>
      <c r="N72">
        <v>834</v>
      </c>
      <c r="O72">
        <v>843</v>
      </c>
      <c r="Q72" t="s">
        <v>4097</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row>
    <row r="73" spans="1:40" x14ac:dyDescent="0.25">
      <c r="A73" t="s">
        <v>4098</v>
      </c>
      <c r="B73" t="s">
        <v>4099</v>
      </c>
      <c r="F73" t="s">
        <v>3783</v>
      </c>
      <c r="G73" t="s">
        <v>4100</v>
      </c>
      <c r="H73">
        <v>2018</v>
      </c>
      <c r="I73">
        <v>48</v>
      </c>
      <c r="J73">
        <v>8</v>
      </c>
      <c r="N73">
        <v>2047</v>
      </c>
      <c r="O73">
        <v>2066</v>
      </c>
      <c r="Q73" t="s">
        <v>4101</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row>
    <row r="74" spans="1:40" x14ac:dyDescent="0.25">
      <c r="A74" t="s">
        <v>1302</v>
      </c>
      <c r="B74" t="s">
        <v>1304</v>
      </c>
      <c r="F74" t="s">
        <v>324</v>
      </c>
      <c r="G74" t="s">
        <v>4102</v>
      </c>
      <c r="H74">
        <v>2018</v>
      </c>
      <c r="I74">
        <v>9</v>
      </c>
      <c r="J74">
        <v>3</v>
      </c>
      <c r="N74">
        <v>343</v>
      </c>
      <c r="O74">
        <v>350</v>
      </c>
      <c r="Q74" t="s">
        <v>4103</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row>
    <row r="75" spans="1:40" x14ac:dyDescent="0.25">
      <c r="A75" t="s">
        <v>4104</v>
      </c>
      <c r="B75" t="s">
        <v>4105</v>
      </c>
      <c r="F75" t="s">
        <v>300</v>
      </c>
      <c r="G75" t="s">
        <v>3757</v>
      </c>
      <c r="H75">
        <v>2018</v>
      </c>
      <c r="I75">
        <v>40</v>
      </c>
      <c r="J75">
        <v>7</v>
      </c>
      <c r="N75">
        <v>1741</v>
      </c>
      <c r="O75">
        <v>1754</v>
      </c>
      <c r="Q75" t="s">
        <v>4106</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row>
    <row r="76" spans="1:40" x14ac:dyDescent="0.25">
      <c r="A76" t="s">
        <v>4107</v>
      </c>
      <c r="B76" t="s">
        <v>4108</v>
      </c>
      <c r="F76" t="s">
        <v>311</v>
      </c>
      <c r="G76" t="s">
        <v>3757</v>
      </c>
      <c r="H76">
        <v>2018</v>
      </c>
      <c r="I76">
        <v>27</v>
      </c>
      <c r="J76">
        <v>7</v>
      </c>
      <c r="N76">
        <v>3332</v>
      </c>
      <c r="O76">
        <v>3344</v>
      </c>
      <c r="Q76" t="s">
        <v>4109</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row>
    <row r="77" spans="1:40" x14ac:dyDescent="0.25">
      <c r="A77" t="s">
        <v>4110</v>
      </c>
      <c r="B77" t="s">
        <v>4111</v>
      </c>
      <c r="F77" t="s">
        <v>316</v>
      </c>
      <c r="G77" t="s">
        <v>4112</v>
      </c>
      <c r="H77">
        <v>2018</v>
      </c>
      <c r="I77">
        <v>12</v>
      </c>
      <c r="J77">
        <v>6</v>
      </c>
      <c r="N77">
        <v>896</v>
      </c>
      <c r="O77">
        <v>908</v>
      </c>
      <c r="Q77" t="s">
        <v>4113</v>
      </c>
      <c r="T77">
        <v>0</v>
      </c>
      <c r="U77">
        <v>0</v>
      </c>
      <c r="V77">
        <v>0</v>
      </c>
      <c r="W77">
        <v>0</v>
      </c>
      <c r="X77">
        <v>0</v>
      </c>
      <c r="Y77">
        <v>0</v>
      </c>
      <c r="Z77">
        <v>0</v>
      </c>
      <c r="AA77">
        <v>0</v>
      </c>
      <c r="AB77">
        <v>0</v>
      </c>
      <c r="AC77">
        <v>0</v>
      </c>
      <c r="AD77">
        <v>0</v>
      </c>
      <c r="AE77">
        <v>0</v>
      </c>
      <c r="AF77">
        <v>0</v>
      </c>
      <c r="AG77">
        <v>0</v>
      </c>
      <c r="AH77">
        <v>0</v>
      </c>
      <c r="AI77">
        <v>0</v>
      </c>
      <c r="AJ77">
        <v>0</v>
      </c>
      <c r="AK77">
        <v>0</v>
      </c>
      <c r="AL77">
        <v>0</v>
      </c>
      <c r="AM77">
        <v>0</v>
      </c>
      <c r="AN77">
        <v>0</v>
      </c>
    </row>
    <row r="78" spans="1:40" x14ac:dyDescent="0.25">
      <c r="A78" t="s">
        <v>4114</v>
      </c>
      <c r="B78" t="s">
        <v>4115</v>
      </c>
      <c r="F78" t="s">
        <v>316</v>
      </c>
      <c r="G78" t="s">
        <v>4112</v>
      </c>
      <c r="H78">
        <v>2018</v>
      </c>
      <c r="I78">
        <v>12</v>
      </c>
      <c r="J78">
        <v>6</v>
      </c>
      <c r="N78">
        <v>919</v>
      </c>
      <c r="O78">
        <v>927</v>
      </c>
      <c r="Q78" t="s">
        <v>4116</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row>
    <row r="79" spans="1:40" x14ac:dyDescent="0.25">
      <c r="A79" t="s">
        <v>1626</v>
      </c>
      <c r="B79" t="s">
        <v>1628</v>
      </c>
      <c r="F79" t="s">
        <v>317</v>
      </c>
      <c r="G79" t="s">
        <v>4112</v>
      </c>
      <c r="H79">
        <v>2018</v>
      </c>
      <c r="I79">
        <v>29</v>
      </c>
      <c r="J79">
        <v>12</v>
      </c>
      <c r="N79">
        <v>1485</v>
      </c>
      <c r="O79">
        <v>1494</v>
      </c>
      <c r="Q79" t="s">
        <v>4117</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v>0</v>
      </c>
    </row>
    <row r="80" spans="1:40" x14ac:dyDescent="0.25">
      <c r="A80" t="s">
        <v>4118</v>
      </c>
      <c r="B80" t="s">
        <v>4119</v>
      </c>
      <c r="F80" t="s">
        <v>4120</v>
      </c>
      <c r="G80" t="s">
        <v>4112</v>
      </c>
      <c r="H80">
        <v>2018</v>
      </c>
      <c r="I80">
        <v>7</v>
      </c>
      <c r="J80">
        <v>2</v>
      </c>
      <c r="N80">
        <v>119</v>
      </c>
      <c r="O80">
        <v>127</v>
      </c>
      <c r="Q80" t="s">
        <v>4121</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row>
    <row r="81" spans="1:40" x14ac:dyDescent="0.25">
      <c r="A81" t="s">
        <v>4122</v>
      </c>
      <c r="B81" t="s">
        <v>4123</v>
      </c>
      <c r="F81" t="s">
        <v>311</v>
      </c>
      <c r="G81" t="s">
        <v>4112</v>
      </c>
      <c r="H81">
        <v>2018</v>
      </c>
      <c r="I81">
        <v>27</v>
      </c>
      <c r="J81">
        <v>6</v>
      </c>
      <c r="N81">
        <v>2869</v>
      </c>
      <c r="O81">
        <v>2882</v>
      </c>
      <c r="Q81" t="s">
        <v>4124</v>
      </c>
      <c r="T81">
        <v>0</v>
      </c>
      <c r="U81">
        <v>0</v>
      </c>
      <c r="V81">
        <v>0</v>
      </c>
      <c r="W81">
        <v>0</v>
      </c>
      <c r="X81">
        <v>0</v>
      </c>
      <c r="Y81">
        <v>0</v>
      </c>
      <c r="Z81">
        <v>0</v>
      </c>
      <c r="AA81">
        <v>0</v>
      </c>
      <c r="AB81">
        <v>0</v>
      </c>
      <c r="AC81">
        <v>0</v>
      </c>
      <c r="AD81">
        <v>0</v>
      </c>
      <c r="AE81">
        <v>0</v>
      </c>
      <c r="AF81">
        <v>0</v>
      </c>
      <c r="AG81">
        <v>0</v>
      </c>
      <c r="AH81">
        <v>0</v>
      </c>
      <c r="AI81">
        <v>0</v>
      </c>
      <c r="AJ81">
        <v>0</v>
      </c>
      <c r="AK81">
        <v>0</v>
      </c>
      <c r="AL81">
        <v>0</v>
      </c>
      <c r="AM81">
        <v>0</v>
      </c>
      <c r="AN81">
        <v>0</v>
      </c>
    </row>
    <row r="82" spans="1:40" x14ac:dyDescent="0.25">
      <c r="A82" t="s">
        <v>4125</v>
      </c>
      <c r="B82" t="s">
        <v>4126</v>
      </c>
      <c r="F82" t="s">
        <v>306</v>
      </c>
      <c r="G82" t="s">
        <v>4127</v>
      </c>
      <c r="H82">
        <v>2018</v>
      </c>
      <c r="I82">
        <v>291</v>
      </c>
      <c r="N82">
        <v>84</v>
      </c>
      <c r="O82">
        <v>96</v>
      </c>
      <c r="Q82" t="s">
        <v>4128</v>
      </c>
      <c r="T82">
        <v>0</v>
      </c>
      <c r="U82">
        <v>0</v>
      </c>
      <c r="V82">
        <v>0</v>
      </c>
      <c r="W82">
        <v>0</v>
      </c>
      <c r="X82">
        <v>0</v>
      </c>
      <c r="Y82">
        <v>0</v>
      </c>
      <c r="Z82">
        <v>0</v>
      </c>
      <c r="AA82">
        <v>0</v>
      </c>
      <c r="AB82">
        <v>0</v>
      </c>
      <c r="AC82">
        <v>0</v>
      </c>
      <c r="AD82">
        <v>0</v>
      </c>
      <c r="AE82">
        <v>0</v>
      </c>
      <c r="AF82">
        <v>0</v>
      </c>
      <c r="AG82">
        <v>0</v>
      </c>
      <c r="AH82">
        <v>0</v>
      </c>
      <c r="AI82">
        <v>0</v>
      </c>
      <c r="AJ82">
        <v>0</v>
      </c>
      <c r="AK82">
        <v>0</v>
      </c>
      <c r="AL82">
        <v>0</v>
      </c>
      <c r="AM82">
        <v>0</v>
      </c>
      <c r="AN82">
        <v>0</v>
      </c>
    </row>
    <row r="83" spans="1:40" x14ac:dyDescent="0.25">
      <c r="A83" t="s">
        <v>4129</v>
      </c>
      <c r="B83" t="s">
        <v>4130</v>
      </c>
      <c r="F83" t="s">
        <v>2787</v>
      </c>
      <c r="G83" t="s">
        <v>4131</v>
      </c>
      <c r="H83">
        <v>2018</v>
      </c>
      <c r="I83">
        <v>22</v>
      </c>
      <c r="J83">
        <v>10</v>
      </c>
      <c r="M83" t="s">
        <v>1948</v>
      </c>
      <c r="N83">
        <v>3187</v>
      </c>
      <c r="O83">
        <v>3201</v>
      </c>
      <c r="Q83" t="s">
        <v>4132</v>
      </c>
      <c r="T83">
        <v>0</v>
      </c>
      <c r="U83">
        <v>0</v>
      </c>
      <c r="V83">
        <v>0</v>
      </c>
      <c r="W83">
        <v>0</v>
      </c>
      <c r="X83">
        <v>0</v>
      </c>
      <c r="Y83">
        <v>0</v>
      </c>
      <c r="Z83">
        <v>0</v>
      </c>
      <c r="AA83">
        <v>0</v>
      </c>
      <c r="AB83">
        <v>0</v>
      </c>
      <c r="AC83">
        <v>0</v>
      </c>
      <c r="AD83">
        <v>0</v>
      </c>
      <c r="AE83">
        <v>0</v>
      </c>
      <c r="AF83">
        <v>0</v>
      </c>
      <c r="AG83">
        <v>0</v>
      </c>
      <c r="AH83">
        <v>0</v>
      </c>
      <c r="AI83">
        <v>0</v>
      </c>
      <c r="AJ83">
        <v>0</v>
      </c>
      <c r="AK83">
        <v>0</v>
      </c>
      <c r="AL83">
        <v>0</v>
      </c>
      <c r="AM83">
        <v>0</v>
      </c>
      <c r="AN83">
        <v>0</v>
      </c>
    </row>
    <row r="84" spans="1:40" x14ac:dyDescent="0.25">
      <c r="A84" t="s">
        <v>1427</v>
      </c>
      <c r="B84" t="s">
        <v>1429</v>
      </c>
      <c r="F84" t="s">
        <v>316</v>
      </c>
      <c r="G84" t="s">
        <v>4131</v>
      </c>
      <c r="H84">
        <v>2018</v>
      </c>
      <c r="I84">
        <v>12</v>
      </c>
      <c r="J84">
        <v>5</v>
      </c>
      <c r="N84">
        <v>801</v>
      </c>
      <c r="O84">
        <v>809</v>
      </c>
      <c r="Q84" t="s">
        <v>4133</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row>
    <row r="85" spans="1:40" x14ac:dyDescent="0.25">
      <c r="A85" t="s">
        <v>4134</v>
      </c>
      <c r="B85" t="s">
        <v>4135</v>
      </c>
      <c r="F85" t="s">
        <v>308</v>
      </c>
      <c r="G85" t="s">
        <v>4131</v>
      </c>
      <c r="H85">
        <v>2018</v>
      </c>
      <c r="I85">
        <v>77</v>
      </c>
      <c r="N85">
        <v>87</v>
      </c>
      <c r="O85">
        <v>98</v>
      </c>
      <c r="Q85" t="s">
        <v>4136</v>
      </c>
      <c r="T85">
        <v>0</v>
      </c>
      <c r="U85">
        <v>0</v>
      </c>
      <c r="V85">
        <v>0</v>
      </c>
      <c r="W85">
        <v>0</v>
      </c>
      <c r="X85">
        <v>0</v>
      </c>
      <c r="Y85">
        <v>0</v>
      </c>
      <c r="Z85">
        <v>0</v>
      </c>
      <c r="AA85">
        <v>0</v>
      </c>
      <c r="AB85">
        <v>0</v>
      </c>
      <c r="AC85">
        <v>0</v>
      </c>
      <c r="AD85">
        <v>0</v>
      </c>
      <c r="AE85">
        <v>0</v>
      </c>
      <c r="AF85">
        <v>0</v>
      </c>
      <c r="AG85">
        <v>0</v>
      </c>
      <c r="AH85">
        <v>0</v>
      </c>
      <c r="AI85">
        <v>0</v>
      </c>
      <c r="AJ85">
        <v>0</v>
      </c>
      <c r="AK85">
        <v>0</v>
      </c>
      <c r="AL85">
        <v>0</v>
      </c>
      <c r="AM85">
        <v>0</v>
      </c>
      <c r="AN85">
        <v>0</v>
      </c>
    </row>
    <row r="86" spans="1:40" x14ac:dyDescent="0.25">
      <c r="A86" t="s">
        <v>4137</v>
      </c>
      <c r="B86" t="s">
        <v>4138</v>
      </c>
      <c r="F86" t="s">
        <v>310</v>
      </c>
      <c r="G86" t="s">
        <v>2867</v>
      </c>
      <c r="H86">
        <v>2018</v>
      </c>
      <c r="I86">
        <v>12</v>
      </c>
      <c r="J86">
        <v>3</v>
      </c>
      <c r="N86">
        <v>341</v>
      </c>
      <c r="O86">
        <v>349</v>
      </c>
      <c r="Q86" t="s">
        <v>4139</v>
      </c>
      <c r="T86">
        <v>0</v>
      </c>
      <c r="U86">
        <v>0</v>
      </c>
      <c r="V86">
        <v>0</v>
      </c>
      <c r="W86">
        <v>0</v>
      </c>
      <c r="X86">
        <v>0</v>
      </c>
      <c r="Y86">
        <v>0</v>
      </c>
      <c r="Z86">
        <v>0</v>
      </c>
      <c r="AA86">
        <v>0</v>
      </c>
      <c r="AB86">
        <v>0</v>
      </c>
      <c r="AC86">
        <v>0</v>
      </c>
      <c r="AD86">
        <v>0</v>
      </c>
      <c r="AE86">
        <v>0</v>
      </c>
      <c r="AF86">
        <v>0</v>
      </c>
      <c r="AG86">
        <v>0</v>
      </c>
      <c r="AH86">
        <v>0</v>
      </c>
      <c r="AI86">
        <v>0</v>
      </c>
      <c r="AJ86">
        <v>0</v>
      </c>
      <c r="AK86">
        <v>0</v>
      </c>
      <c r="AL86">
        <v>0</v>
      </c>
      <c r="AM86">
        <v>0</v>
      </c>
      <c r="AN86">
        <v>0</v>
      </c>
    </row>
    <row r="87" spans="1:40" x14ac:dyDescent="0.25">
      <c r="A87" t="s">
        <v>4140</v>
      </c>
      <c r="B87" t="s">
        <v>4141</v>
      </c>
      <c r="F87" t="s">
        <v>315</v>
      </c>
      <c r="G87" t="s">
        <v>2867</v>
      </c>
      <c r="H87">
        <v>2018</v>
      </c>
      <c r="I87">
        <v>29</v>
      </c>
      <c r="J87">
        <v>3</v>
      </c>
      <c r="N87">
        <v>525</v>
      </c>
      <c r="O87">
        <v>541</v>
      </c>
      <c r="Q87" t="s">
        <v>4142</v>
      </c>
      <c r="T87">
        <v>0</v>
      </c>
      <c r="U87">
        <v>0</v>
      </c>
      <c r="V87">
        <v>0</v>
      </c>
      <c r="W87">
        <v>0</v>
      </c>
      <c r="X87">
        <v>0</v>
      </c>
      <c r="Y87">
        <v>0</v>
      </c>
      <c r="Z87">
        <v>0</v>
      </c>
      <c r="AA87">
        <v>0</v>
      </c>
      <c r="AB87">
        <v>0</v>
      </c>
      <c r="AC87">
        <v>0</v>
      </c>
      <c r="AD87">
        <v>0</v>
      </c>
      <c r="AE87">
        <v>0</v>
      </c>
      <c r="AF87">
        <v>0</v>
      </c>
      <c r="AG87">
        <v>0</v>
      </c>
      <c r="AH87">
        <v>0</v>
      </c>
      <c r="AI87">
        <v>0</v>
      </c>
      <c r="AJ87">
        <v>0</v>
      </c>
      <c r="AK87">
        <v>0</v>
      </c>
      <c r="AL87">
        <v>0</v>
      </c>
      <c r="AM87">
        <v>0</v>
      </c>
      <c r="AN87">
        <v>0</v>
      </c>
    </row>
    <row r="88" spans="1:40" x14ac:dyDescent="0.25">
      <c r="A88" t="s">
        <v>4143</v>
      </c>
      <c r="B88" t="s">
        <v>4144</v>
      </c>
      <c r="F88" t="s">
        <v>308</v>
      </c>
      <c r="G88" t="s">
        <v>2867</v>
      </c>
      <c r="H88">
        <v>2018</v>
      </c>
      <c r="I88">
        <v>76</v>
      </c>
      <c r="N88">
        <v>522</v>
      </c>
      <c r="O88">
        <v>536</v>
      </c>
      <c r="Q88" t="s">
        <v>4145</v>
      </c>
      <c r="T88">
        <v>0</v>
      </c>
      <c r="U88">
        <v>0</v>
      </c>
      <c r="V88">
        <v>0</v>
      </c>
      <c r="W88">
        <v>0</v>
      </c>
      <c r="X88">
        <v>0</v>
      </c>
      <c r="Y88">
        <v>0</v>
      </c>
      <c r="Z88">
        <v>0</v>
      </c>
      <c r="AA88">
        <v>0</v>
      </c>
      <c r="AB88">
        <v>0</v>
      </c>
      <c r="AC88">
        <v>0</v>
      </c>
      <c r="AD88">
        <v>0</v>
      </c>
      <c r="AE88">
        <v>0</v>
      </c>
      <c r="AF88">
        <v>0</v>
      </c>
      <c r="AG88">
        <v>0</v>
      </c>
      <c r="AH88">
        <v>0</v>
      </c>
      <c r="AI88">
        <v>0</v>
      </c>
      <c r="AJ88">
        <v>0</v>
      </c>
      <c r="AK88">
        <v>0</v>
      </c>
      <c r="AL88">
        <v>0</v>
      </c>
      <c r="AM88">
        <v>0</v>
      </c>
      <c r="AN88">
        <v>0</v>
      </c>
    </row>
    <row r="89" spans="1:40" x14ac:dyDescent="0.25">
      <c r="A89" t="s">
        <v>4146</v>
      </c>
      <c r="B89" t="s">
        <v>4147</v>
      </c>
      <c r="F89" t="s">
        <v>333</v>
      </c>
      <c r="G89" t="s">
        <v>2867</v>
      </c>
      <c r="H89">
        <v>2018</v>
      </c>
      <c r="I89">
        <v>32</v>
      </c>
      <c r="J89">
        <v>4</v>
      </c>
      <c r="P89">
        <v>1855004</v>
      </c>
      <c r="Q89" t="s">
        <v>4148</v>
      </c>
      <c r="T89">
        <v>0</v>
      </c>
      <c r="U89">
        <v>0</v>
      </c>
      <c r="V89">
        <v>0</v>
      </c>
      <c r="W89">
        <v>0</v>
      </c>
      <c r="X89">
        <v>0</v>
      </c>
      <c r="Y89">
        <v>0</v>
      </c>
      <c r="Z89">
        <v>0</v>
      </c>
      <c r="AA89">
        <v>0</v>
      </c>
      <c r="AB89">
        <v>0</v>
      </c>
      <c r="AC89">
        <v>0</v>
      </c>
      <c r="AD89">
        <v>0</v>
      </c>
      <c r="AE89">
        <v>0</v>
      </c>
      <c r="AF89">
        <v>0</v>
      </c>
      <c r="AG89">
        <v>0</v>
      </c>
      <c r="AH89">
        <v>0</v>
      </c>
      <c r="AI89">
        <v>0</v>
      </c>
      <c r="AJ89">
        <v>0</v>
      </c>
      <c r="AK89">
        <v>0</v>
      </c>
      <c r="AL89">
        <v>0</v>
      </c>
      <c r="AM89">
        <v>0</v>
      </c>
      <c r="AN89">
        <v>0</v>
      </c>
    </row>
    <row r="90" spans="1:40" x14ac:dyDescent="0.25">
      <c r="A90" t="s">
        <v>4149</v>
      </c>
      <c r="B90" t="s">
        <v>4150</v>
      </c>
      <c r="F90" t="s">
        <v>314</v>
      </c>
      <c r="G90" t="s">
        <v>4151</v>
      </c>
      <c r="H90">
        <v>2018</v>
      </c>
      <c r="I90">
        <v>48</v>
      </c>
      <c r="J90">
        <v>3</v>
      </c>
      <c r="N90">
        <v>862</v>
      </c>
      <c r="O90">
        <v>875</v>
      </c>
      <c r="Q90" t="s">
        <v>4152</v>
      </c>
      <c r="T90">
        <v>0</v>
      </c>
      <c r="U90">
        <v>0</v>
      </c>
      <c r="V90">
        <v>0</v>
      </c>
      <c r="W90">
        <v>0</v>
      </c>
      <c r="X90">
        <v>0</v>
      </c>
      <c r="Y90">
        <v>0</v>
      </c>
      <c r="Z90">
        <v>0</v>
      </c>
      <c r="AA90">
        <v>0</v>
      </c>
      <c r="AB90">
        <v>0</v>
      </c>
      <c r="AC90">
        <v>0</v>
      </c>
      <c r="AD90">
        <v>0</v>
      </c>
      <c r="AE90">
        <v>0</v>
      </c>
      <c r="AF90">
        <v>0</v>
      </c>
      <c r="AG90">
        <v>0</v>
      </c>
      <c r="AH90">
        <v>0</v>
      </c>
      <c r="AI90">
        <v>0</v>
      </c>
      <c r="AJ90">
        <v>0</v>
      </c>
      <c r="AK90">
        <v>0</v>
      </c>
      <c r="AL90">
        <v>0</v>
      </c>
      <c r="AM90">
        <v>0</v>
      </c>
      <c r="AN90">
        <v>0</v>
      </c>
    </row>
    <row r="91" spans="1:40" x14ac:dyDescent="0.25">
      <c r="A91" t="s">
        <v>4153</v>
      </c>
      <c r="B91" t="s">
        <v>4154</v>
      </c>
      <c r="F91" t="s">
        <v>4155</v>
      </c>
      <c r="G91" t="s">
        <v>4151</v>
      </c>
      <c r="H91">
        <v>2018</v>
      </c>
      <c r="I91">
        <v>9</v>
      </c>
      <c r="J91">
        <v>1</v>
      </c>
      <c r="N91">
        <v>71</v>
      </c>
      <c r="O91">
        <v>80</v>
      </c>
      <c r="Q91" t="s">
        <v>4156</v>
      </c>
      <c r="T91">
        <v>0</v>
      </c>
      <c r="U91">
        <v>0</v>
      </c>
      <c r="V91">
        <v>0</v>
      </c>
      <c r="W91">
        <v>0</v>
      </c>
      <c r="X91">
        <v>0</v>
      </c>
      <c r="Y91">
        <v>0</v>
      </c>
      <c r="Z91">
        <v>0</v>
      </c>
      <c r="AA91">
        <v>0</v>
      </c>
      <c r="AB91">
        <v>0</v>
      </c>
      <c r="AC91">
        <v>0</v>
      </c>
      <c r="AD91">
        <v>0</v>
      </c>
      <c r="AE91">
        <v>0</v>
      </c>
      <c r="AF91">
        <v>0</v>
      </c>
      <c r="AG91">
        <v>0</v>
      </c>
      <c r="AH91">
        <v>0</v>
      </c>
      <c r="AI91">
        <v>0</v>
      </c>
      <c r="AJ91">
        <v>0</v>
      </c>
      <c r="AK91">
        <v>0</v>
      </c>
      <c r="AL91">
        <v>0</v>
      </c>
      <c r="AM91">
        <v>0</v>
      </c>
      <c r="AN91">
        <v>0</v>
      </c>
    </row>
    <row r="92" spans="1:40" x14ac:dyDescent="0.25">
      <c r="A92" t="s">
        <v>4157</v>
      </c>
      <c r="B92" t="s">
        <v>4158</v>
      </c>
      <c r="F92" t="s">
        <v>312</v>
      </c>
      <c r="G92" t="s">
        <v>3325</v>
      </c>
      <c r="H92">
        <v>2018</v>
      </c>
      <c r="I92">
        <v>14</v>
      </c>
      <c r="J92">
        <v>2</v>
      </c>
      <c r="N92">
        <v>379</v>
      </c>
      <c r="O92">
        <v>394</v>
      </c>
      <c r="Q92" t="s">
        <v>4159</v>
      </c>
      <c r="T92">
        <v>0</v>
      </c>
      <c r="U92">
        <v>0</v>
      </c>
      <c r="V92">
        <v>0</v>
      </c>
      <c r="W92">
        <v>0</v>
      </c>
      <c r="X92">
        <v>0</v>
      </c>
      <c r="Y92">
        <v>0</v>
      </c>
      <c r="Z92">
        <v>0</v>
      </c>
      <c r="AA92">
        <v>0</v>
      </c>
      <c r="AB92">
        <v>0</v>
      </c>
      <c r="AC92">
        <v>0</v>
      </c>
      <c r="AD92">
        <v>0</v>
      </c>
      <c r="AE92">
        <v>0</v>
      </c>
      <c r="AF92">
        <v>0</v>
      </c>
      <c r="AG92">
        <v>0</v>
      </c>
      <c r="AH92">
        <v>0</v>
      </c>
      <c r="AI92">
        <v>0</v>
      </c>
      <c r="AJ92">
        <v>0</v>
      </c>
      <c r="AK92">
        <v>0</v>
      </c>
      <c r="AL92">
        <v>0</v>
      </c>
      <c r="AM92">
        <v>0</v>
      </c>
      <c r="AN92">
        <v>0</v>
      </c>
    </row>
    <row r="93" spans="1:40" x14ac:dyDescent="0.25">
      <c r="A93" t="s">
        <v>4160</v>
      </c>
      <c r="B93" t="s">
        <v>4161</v>
      </c>
      <c r="F93" t="s">
        <v>298</v>
      </c>
      <c r="G93" t="s">
        <v>3325</v>
      </c>
      <c r="H93">
        <v>2018</v>
      </c>
      <c r="I93">
        <v>167</v>
      </c>
      <c r="N93">
        <v>74</v>
      </c>
      <c r="O93">
        <v>88</v>
      </c>
      <c r="Q93" t="s">
        <v>4162</v>
      </c>
      <c r="T93">
        <v>0</v>
      </c>
      <c r="U93">
        <v>0</v>
      </c>
      <c r="V93">
        <v>0</v>
      </c>
      <c r="W93">
        <v>0</v>
      </c>
      <c r="X93">
        <v>0</v>
      </c>
      <c r="Y93">
        <v>0</v>
      </c>
      <c r="Z93">
        <v>0</v>
      </c>
      <c r="AA93">
        <v>0</v>
      </c>
      <c r="AB93">
        <v>0</v>
      </c>
      <c r="AC93">
        <v>0</v>
      </c>
      <c r="AD93">
        <v>0</v>
      </c>
      <c r="AE93">
        <v>0</v>
      </c>
      <c r="AF93">
        <v>0</v>
      </c>
      <c r="AG93">
        <v>0</v>
      </c>
      <c r="AH93">
        <v>0</v>
      </c>
      <c r="AI93">
        <v>0</v>
      </c>
      <c r="AJ93">
        <v>0</v>
      </c>
      <c r="AK93">
        <v>0</v>
      </c>
      <c r="AL93">
        <v>0</v>
      </c>
      <c r="AM93">
        <v>0</v>
      </c>
      <c r="AN93">
        <v>0</v>
      </c>
    </row>
    <row r="94" spans="1:40" x14ac:dyDescent="0.25">
      <c r="A94" t="s">
        <v>4163</v>
      </c>
      <c r="B94" t="s">
        <v>4164</v>
      </c>
      <c r="F94" t="s">
        <v>311</v>
      </c>
      <c r="G94" t="s">
        <v>3325</v>
      </c>
      <c r="H94">
        <v>2018</v>
      </c>
      <c r="I94">
        <v>27</v>
      </c>
      <c r="J94">
        <v>2</v>
      </c>
      <c r="N94">
        <v>764</v>
      </c>
      <c r="O94">
        <v>777</v>
      </c>
      <c r="Q94" t="s">
        <v>4165</v>
      </c>
      <c r="T94">
        <v>0</v>
      </c>
      <c r="U94">
        <v>0</v>
      </c>
      <c r="V94">
        <v>0</v>
      </c>
      <c r="W94">
        <v>0</v>
      </c>
      <c r="X94">
        <v>0</v>
      </c>
      <c r="Y94">
        <v>0</v>
      </c>
      <c r="Z94">
        <v>0</v>
      </c>
      <c r="AA94">
        <v>0</v>
      </c>
      <c r="AB94">
        <v>0</v>
      </c>
      <c r="AC94">
        <v>0</v>
      </c>
      <c r="AD94">
        <v>0</v>
      </c>
      <c r="AE94">
        <v>0</v>
      </c>
      <c r="AF94">
        <v>0</v>
      </c>
      <c r="AG94">
        <v>0</v>
      </c>
      <c r="AH94">
        <v>0</v>
      </c>
      <c r="AI94">
        <v>0</v>
      </c>
      <c r="AJ94">
        <v>0</v>
      </c>
      <c r="AK94">
        <v>0</v>
      </c>
      <c r="AL94">
        <v>0</v>
      </c>
      <c r="AM94">
        <v>0</v>
      </c>
      <c r="AN94">
        <v>0</v>
      </c>
    </row>
    <row r="95" spans="1:40" x14ac:dyDescent="0.25">
      <c r="A95" t="s">
        <v>4166</v>
      </c>
      <c r="B95" t="s">
        <v>4167</v>
      </c>
      <c r="F95" t="s">
        <v>333</v>
      </c>
      <c r="G95" t="s">
        <v>3325</v>
      </c>
      <c r="H95">
        <v>2018</v>
      </c>
      <c r="I95">
        <v>32</v>
      </c>
      <c r="J95">
        <v>2</v>
      </c>
      <c r="P95">
        <v>1855001</v>
      </c>
      <c r="Q95" t="s">
        <v>4168</v>
      </c>
      <c r="T95">
        <v>0</v>
      </c>
      <c r="U95">
        <v>0</v>
      </c>
      <c r="V95">
        <v>0</v>
      </c>
      <c r="W95">
        <v>0</v>
      </c>
      <c r="X95">
        <v>0</v>
      </c>
      <c r="Y95">
        <v>0</v>
      </c>
      <c r="Z95">
        <v>0</v>
      </c>
      <c r="AA95">
        <v>0</v>
      </c>
      <c r="AB95">
        <v>0</v>
      </c>
      <c r="AC95">
        <v>0</v>
      </c>
      <c r="AD95">
        <v>0</v>
      </c>
      <c r="AE95">
        <v>0</v>
      </c>
      <c r="AF95">
        <v>0</v>
      </c>
      <c r="AG95">
        <v>0</v>
      </c>
      <c r="AH95">
        <v>0</v>
      </c>
      <c r="AI95">
        <v>0</v>
      </c>
      <c r="AJ95">
        <v>0</v>
      </c>
      <c r="AK95">
        <v>0</v>
      </c>
      <c r="AL95">
        <v>0</v>
      </c>
      <c r="AM95">
        <v>0</v>
      </c>
      <c r="AN95">
        <v>0</v>
      </c>
    </row>
    <row r="96" spans="1:40" x14ac:dyDescent="0.25">
      <c r="A96" t="s">
        <v>4169</v>
      </c>
      <c r="B96" t="s">
        <v>4170</v>
      </c>
      <c r="F96" t="s">
        <v>306</v>
      </c>
      <c r="G96" t="s">
        <v>4171</v>
      </c>
      <c r="H96">
        <v>2018</v>
      </c>
      <c r="I96">
        <v>275</v>
      </c>
      <c r="N96">
        <v>897</v>
      </c>
      <c r="O96">
        <v>908</v>
      </c>
      <c r="Q96" t="s">
        <v>4172</v>
      </c>
      <c r="T96">
        <v>0</v>
      </c>
      <c r="U96">
        <v>0</v>
      </c>
      <c r="V96">
        <v>0</v>
      </c>
      <c r="W96">
        <v>0</v>
      </c>
      <c r="X96">
        <v>0</v>
      </c>
      <c r="Y96">
        <v>0</v>
      </c>
      <c r="Z96">
        <v>0</v>
      </c>
      <c r="AA96">
        <v>0</v>
      </c>
      <c r="AB96">
        <v>0</v>
      </c>
      <c r="AC96">
        <v>0</v>
      </c>
      <c r="AD96">
        <v>0</v>
      </c>
      <c r="AE96">
        <v>0</v>
      </c>
      <c r="AF96">
        <v>0</v>
      </c>
      <c r="AG96">
        <v>0</v>
      </c>
      <c r="AH96">
        <v>0</v>
      </c>
      <c r="AI96">
        <v>0</v>
      </c>
      <c r="AJ96">
        <v>0</v>
      </c>
      <c r="AK96">
        <v>0</v>
      </c>
      <c r="AL96">
        <v>0</v>
      </c>
      <c r="AM96">
        <v>0</v>
      </c>
      <c r="AN96">
        <v>0</v>
      </c>
    </row>
    <row r="97" spans="1:40" x14ac:dyDescent="0.25">
      <c r="A97" t="s">
        <v>4173</v>
      </c>
      <c r="B97" t="s">
        <v>4174</v>
      </c>
      <c r="F97" t="s">
        <v>4175</v>
      </c>
      <c r="G97">
        <v>2018</v>
      </c>
      <c r="H97">
        <v>2018</v>
      </c>
      <c r="I97">
        <v>35</v>
      </c>
      <c r="J97">
        <v>3</v>
      </c>
      <c r="N97">
        <v>3233</v>
      </c>
      <c r="O97">
        <v>3242</v>
      </c>
      <c r="Q97" t="s">
        <v>4176</v>
      </c>
      <c r="T97">
        <v>0</v>
      </c>
      <c r="U97">
        <v>0</v>
      </c>
      <c r="V97">
        <v>0</v>
      </c>
      <c r="W97">
        <v>0</v>
      </c>
      <c r="X97">
        <v>0</v>
      </c>
      <c r="Y97">
        <v>0</v>
      </c>
      <c r="Z97">
        <v>0</v>
      </c>
      <c r="AA97">
        <v>0</v>
      </c>
      <c r="AB97">
        <v>0</v>
      </c>
      <c r="AC97">
        <v>0</v>
      </c>
      <c r="AD97">
        <v>0</v>
      </c>
      <c r="AE97">
        <v>0</v>
      </c>
      <c r="AF97">
        <v>0</v>
      </c>
      <c r="AG97">
        <v>0</v>
      </c>
      <c r="AH97">
        <v>0</v>
      </c>
      <c r="AI97">
        <v>0</v>
      </c>
      <c r="AJ97">
        <v>0</v>
      </c>
      <c r="AK97">
        <v>0</v>
      </c>
      <c r="AL97">
        <v>0</v>
      </c>
      <c r="AM97">
        <v>0</v>
      </c>
      <c r="AN97">
        <v>0</v>
      </c>
    </row>
    <row r="98" spans="1:40" x14ac:dyDescent="0.25">
      <c r="A98" t="s">
        <v>4177</v>
      </c>
      <c r="B98" t="s">
        <v>4178</v>
      </c>
      <c r="F98" t="s">
        <v>4179</v>
      </c>
      <c r="G98">
        <v>2018</v>
      </c>
      <c r="H98">
        <v>2018</v>
      </c>
      <c r="I98">
        <v>18</v>
      </c>
      <c r="J98">
        <v>3</v>
      </c>
      <c r="N98">
        <v>67</v>
      </c>
      <c r="O98">
        <v>78</v>
      </c>
      <c r="Q98" t="s">
        <v>4180</v>
      </c>
      <c r="T98">
        <v>0</v>
      </c>
      <c r="U98">
        <v>0</v>
      </c>
      <c r="V98">
        <v>0</v>
      </c>
      <c r="W98">
        <v>0</v>
      </c>
      <c r="X98">
        <v>0</v>
      </c>
      <c r="Y98">
        <v>0</v>
      </c>
      <c r="Z98">
        <v>0</v>
      </c>
      <c r="AA98">
        <v>0</v>
      </c>
      <c r="AB98">
        <v>0</v>
      </c>
      <c r="AC98">
        <v>0</v>
      </c>
      <c r="AD98">
        <v>0</v>
      </c>
      <c r="AE98">
        <v>0</v>
      </c>
      <c r="AF98">
        <v>0</v>
      </c>
      <c r="AG98">
        <v>0</v>
      </c>
      <c r="AH98">
        <v>0</v>
      </c>
      <c r="AI98">
        <v>0</v>
      </c>
      <c r="AJ98">
        <v>0</v>
      </c>
      <c r="AK98">
        <v>0</v>
      </c>
      <c r="AL98">
        <v>0</v>
      </c>
      <c r="AM98">
        <v>0</v>
      </c>
      <c r="AN98">
        <v>0</v>
      </c>
    </row>
    <row r="99" spans="1:40" x14ac:dyDescent="0.25">
      <c r="A99" t="s">
        <v>4181</v>
      </c>
      <c r="B99" t="s">
        <v>4182</v>
      </c>
      <c r="F99" t="s">
        <v>4183</v>
      </c>
      <c r="G99">
        <v>2018</v>
      </c>
      <c r="H99">
        <v>2018</v>
      </c>
      <c r="I99">
        <v>26</v>
      </c>
      <c r="J99">
        <v>2</v>
      </c>
      <c r="N99">
        <v>987</v>
      </c>
      <c r="O99">
        <v>998</v>
      </c>
      <c r="Q99" t="s">
        <v>4184</v>
      </c>
      <c r="T99">
        <v>0</v>
      </c>
      <c r="U99">
        <v>0</v>
      </c>
      <c r="V99">
        <v>0</v>
      </c>
      <c r="W99">
        <v>0</v>
      </c>
      <c r="X99">
        <v>0</v>
      </c>
      <c r="Y99">
        <v>0</v>
      </c>
      <c r="Z99">
        <v>0</v>
      </c>
      <c r="AA99">
        <v>0</v>
      </c>
      <c r="AB99">
        <v>0</v>
      </c>
      <c r="AC99">
        <v>0</v>
      </c>
      <c r="AD99">
        <v>0</v>
      </c>
      <c r="AE99">
        <v>0</v>
      </c>
      <c r="AF99">
        <v>0</v>
      </c>
      <c r="AG99">
        <v>0</v>
      </c>
      <c r="AH99">
        <v>0</v>
      </c>
      <c r="AI99">
        <v>0</v>
      </c>
      <c r="AJ99">
        <v>0</v>
      </c>
      <c r="AK99">
        <v>0</v>
      </c>
      <c r="AL99">
        <v>0</v>
      </c>
      <c r="AM99">
        <v>0</v>
      </c>
      <c r="AN99">
        <v>0</v>
      </c>
    </row>
    <row r="100" spans="1:40" x14ac:dyDescent="0.25">
      <c r="A100" t="s">
        <v>4185</v>
      </c>
      <c r="B100" t="s">
        <v>4186</v>
      </c>
      <c r="F100" t="s">
        <v>4179</v>
      </c>
      <c r="G100">
        <v>2018</v>
      </c>
      <c r="H100">
        <v>2018</v>
      </c>
      <c r="I100">
        <v>18</v>
      </c>
      <c r="J100">
        <v>1</v>
      </c>
      <c r="N100">
        <v>11</v>
      </c>
      <c r="O100">
        <v>20</v>
      </c>
      <c r="Q100" t="s">
        <v>4187</v>
      </c>
      <c r="T100">
        <v>0</v>
      </c>
      <c r="U100">
        <v>0</v>
      </c>
      <c r="V100">
        <v>0</v>
      </c>
      <c r="W100">
        <v>0</v>
      </c>
      <c r="X100">
        <v>0</v>
      </c>
      <c r="Y100">
        <v>0</v>
      </c>
      <c r="Z100">
        <v>0</v>
      </c>
      <c r="AA100">
        <v>0</v>
      </c>
      <c r="AB100">
        <v>0</v>
      </c>
      <c r="AC100">
        <v>0</v>
      </c>
      <c r="AD100">
        <v>0</v>
      </c>
      <c r="AE100">
        <v>0</v>
      </c>
      <c r="AF100">
        <v>0</v>
      </c>
      <c r="AG100">
        <v>0</v>
      </c>
      <c r="AH100">
        <v>0</v>
      </c>
      <c r="AI100">
        <v>0</v>
      </c>
      <c r="AJ100">
        <v>0</v>
      </c>
      <c r="AK100">
        <v>0</v>
      </c>
      <c r="AL100">
        <v>0</v>
      </c>
      <c r="AM100">
        <v>0</v>
      </c>
      <c r="AN100">
        <v>0</v>
      </c>
    </row>
    <row r="101" spans="1:40" x14ac:dyDescent="0.25">
      <c r="A101" t="s">
        <v>4188</v>
      </c>
      <c r="B101" t="s">
        <v>4189</v>
      </c>
      <c r="F101" t="s">
        <v>303</v>
      </c>
      <c r="G101" t="s">
        <v>3675</v>
      </c>
      <c r="H101">
        <v>2018</v>
      </c>
      <c r="I101">
        <v>126</v>
      </c>
      <c r="J101">
        <v>1</v>
      </c>
      <c r="N101">
        <v>86</v>
      </c>
      <c r="O101">
        <v>110</v>
      </c>
      <c r="Q101" t="s">
        <v>4190</v>
      </c>
      <c r="T101">
        <v>0</v>
      </c>
      <c r="U101">
        <v>0</v>
      </c>
      <c r="V101">
        <v>0</v>
      </c>
      <c r="W101">
        <v>0</v>
      </c>
      <c r="X101">
        <v>0</v>
      </c>
      <c r="Y101">
        <v>0</v>
      </c>
      <c r="Z101">
        <v>0</v>
      </c>
      <c r="AA101">
        <v>0</v>
      </c>
      <c r="AB101">
        <v>0</v>
      </c>
      <c r="AC101">
        <v>0</v>
      </c>
      <c r="AD101">
        <v>0</v>
      </c>
      <c r="AE101">
        <v>0</v>
      </c>
      <c r="AF101">
        <v>0</v>
      </c>
      <c r="AG101">
        <v>0</v>
      </c>
      <c r="AH101">
        <v>0</v>
      </c>
      <c r="AI101">
        <v>0</v>
      </c>
      <c r="AJ101">
        <v>0</v>
      </c>
      <c r="AK101">
        <v>0</v>
      </c>
      <c r="AL101">
        <v>0</v>
      </c>
      <c r="AM101">
        <v>0</v>
      </c>
      <c r="AN101">
        <v>0</v>
      </c>
    </row>
    <row r="102" spans="1:40" x14ac:dyDescent="0.25">
      <c r="A102" t="s">
        <v>4191</v>
      </c>
      <c r="B102" t="s">
        <v>4192</v>
      </c>
      <c r="F102" t="s">
        <v>316</v>
      </c>
      <c r="G102" t="s">
        <v>3675</v>
      </c>
      <c r="H102">
        <v>2018</v>
      </c>
      <c r="I102">
        <v>12</v>
      </c>
      <c r="J102">
        <v>1</v>
      </c>
      <c r="N102">
        <v>121</v>
      </c>
      <c r="O102">
        <v>125</v>
      </c>
      <c r="Q102" t="s">
        <v>4193</v>
      </c>
      <c r="T102">
        <v>0</v>
      </c>
      <c r="U102">
        <v>0</v>
      </c>
      <c r="V102">
        <v>0</v>
      </c>
      <c r="W102">
        <v>0</v>
      </c>
      <c r="X102">
        <v>0</v>
      </c>
      <c r="Y102">
        <v>0</v>
      </c>
      <c r="Z102">
        <v>0</v>
      </c>
      <c r="AA102">
        <v>0</v>
      </c>
      <c r="AB102">
        <v>0</v>
      </c>
      <c r="AC102">
        <v>0</v>
      </c>
      <c r="AD102">
        <v>0</v>
      </c>
      <c r="AE102">
        <v>0</v>
      </c>
      <c r="AF102">
        <v>0</v>
      </c>
      <c r="AG102">
        <v>0</v>
      </c>
      <c r="AH102">
        <v>0</v>
      </c>
      <c r="AI102">
        <v>0</v>
      </c>
      <c r="AJ102">
        <v>0</v>
      </c>
      <c r="AK102">
        <v>0</v>
      </c>
      <c r="AL102">
        <v>0</v>
      </c>
      <c r="AM102">
        <v>0</v>
      </c>
      <c r="AN102">
        <v>0</v>
      </c>
    </row>
    <row r="103" spans="1:40" x14ac:dyDescent="0.25">
      <c r="A103" t="s">
        <v>1140</v>
      </c>
      <c r="B103" t="s">
        <v>1142</v>
      </c>
      <c r="F103" t="s">
        <v>316</v>
      </c>
      <c r="G103" t="s">
        <v>3675</v>
      </c>
      <c r="H103">
        <v>2018</v>
      </c>
      <c r="I103">
        <v>12</v>
      </c>
      <c r="J103">
        <v>1</v>
      </c>
      <c r="N103">
        <v>133</v>
      </c>
      <c r="O103">
        <v>137</v>
      </c>
      <c r="Q103" t="s">
        <v>4194</v>
      </c>
      <c r="T103">
        <v>0</v>
      </c>
      <c r="U103">
        <v>0</v>
      </c>
      <c r="V103">
        <v>0</v>
      </c>
      <c r="W103">
        <v>0</v>
      </c>
      <c r="X103">
        <v>0</v>
      </c>
      <c r="Y103">
        <v>0</v>
      </c>
      <c r="Z103">
        <v>0</v>
      </c>
      <c r="AA103">
        <v>0</v>
      </c>
      <c r="AB103">
        <v>0</v>
      </c>
      <c r="AC103">
        <v>0</v>
      </c>
      <c r="AD103">
        <v>0</v>
      </c>
      <c r="AE103">
        <v>0</v>
      </c>
      <c r="AF103">
        <v>0</v>
      </c>
      <c r="AG103">
        <v>0</v>
      </c>
      <c r="AH103">
        <v>0</v>
      </c>
      <c r="AI103">
        <v>0</v>
      </c>
      <c r="AJ103">
        <v>0</v>
      </c>
      <c r="AK103">
        <v>0</v>
      </c>
      <c r="AL103">
        <v>0</v>
      </c>
      <c r="AM103">
        <v>0</v>
      </c>
      <c r="AN103">
        <v>0</v>
      </c>
    </row>
    <row r="104" spans="1:40" x14ac:dyDescent="0.25">
      <c r="A104" t="s">
        <v>4195</v>
      </c>
      <c r="B104" t="s">
        <v>4196</v>
      </c>
      <c r="F104" t="s">
        <v>301</v>
      </c>
      <c r="G104" t="s">
        <v>3675</v>
      </c>
      <c r="H104">
        <v>2018</v>
      </c>
      <c r="I104">
        <v>62</v>
      </c>
      <c r="N104">
        <v>667</v>
      </c>
      <c r="O104">
        <v>701</v>
      </c>
      <c r="Q104" t="s">
        <v>4197</v>
      </c>
      <c r="T104">
        <v>0</v>
      </c>
      <c r="U104">
        <v>0</v>
      </c>
      <c r="V104">
        <v>0</v>
      </c>
      <c r="W104">
        <v>0</v>
      </c>
      <c r="X104">
        <v>0</v>
      </c>
      <c r="Y104">
        <v>0</v>
      </c>
      <c r="Z104">
        <v>0</v>
      </c>
      <c r="AA104">
        <v>0</v>
      </c>
      <c r="AB104">
        <v>0</v>
      </c>
      <c r="AC104">
        <v>0</v>
      </c>
      <c r="AD104">
        <v>0</v>
      </c>
      <c r="AE104">
        <v>0</v>
      </c>
      <c r="AF104">
        <v>0</v>
      </c>
      <c r="AG104">
        <v>0</v>
      </c>
      <c r="AH104">
        <v>0</v>
      </c>
      <c r="AI104">
        <v>0</v>
      </c>
      <c r="AJ104">
        <v>0</v>
      </c>
      <c r="AK104">
        <v>0</v>
      </c>
      <c r="AL104">
        <v>0</v>
      </c>
      <c r="AM104">
        <v>0</v>
      </c>
      <c r="AN104">
        <v>0</v>
      </c>
    </row>
    <row r="105" spans="1:40" x14ac:dyDescent="0.25">
      <c r="A105" t="s">
        <v>4198</v>
      </c>
      <c r="B105" t="s">
        <v>4199</v>
      </c>
      <c r="F105" t="s">
        <v>302</v>
      </c>
      <c r="G105" t="s">
        <v>3496</v>
      </c>
      <c r="H105">
        <v>2017</v>
      </c>
      <c r="I105">
        <v>68</v>
      </c>
      <c r="M105" t="s">
        <v>1948</v>
      </c>
      <c r="N105">
        <v>102</v>
      </c>
      <c r="O105">
        <v>118</v>
      </c>
      <c r="Q105" t="s">
        <v>4200</v>
      </c>
      <c r="T105">
        <v>0</v>
      </c>
      <c r="U105">
        <v>0</v>
      </c>
      <c r="V105">
        <v>0</v>
      </c>
      <c r="W105">
        <v>0</v>
      </c>
      <c r="X105">
        <v>0</v>
      </c>
      <c r="Y105">
        <v>0</v>
      </c>
      <c r="Z105">
        <v>0</v>
      </c>
      <c r="AA105">
        <v>0</v>
      </c>
      <c r="AB105">
        <v>0</v>
      </c>
      <c r="AC105">
        <v>0</v>
      </c>
      <c r="AD105">
        <v>0</v>
      </c>
      <c r="AE105">
        <v>0</v>
      </c>
      <c r="AF105">
        <v>0</v>
      </c>
      <c r="AG105">
        <v>0</v>
      </c>
      <c r="AH105">
        <v>0</v>
      </c>
      <c r="AI105">
        <v>0</v>
      </c>
      <c r="AJ105">
        <v>0</v>
      </c>
      <c r="AK105">
        <v>0</v>
      </c>
      <c r="AL105">
        <v>0</v>
      </c>
      <c r="AM105">
        <v>0</v>
      </c>
      <c r="AN105">
        <v>0</v>
      </c>
    </row>
    <row r="106" spans="1:40" x14ac:dyDescent="0.25">
      <c r="A106" t="s">
        <v>4201</v>
      </c>
      <c r="B106" t="s">
        <v>4202</v>
      </c>
      <c r="F106" t="s">
        <v>301</v>
      </c>
      <c r="G106" t="s">
        <v>3496</v>
      </c>
      <c r="H106">
        <v>2017</v>
      </c>
      <c r="I106">
        <v>61</v>
      </c>
      <c r="N106">
        <v>30</v>
      </c>
      <c r="O106">
        <v>41</v>
      </c>
      <c r="Q106" t="s">
        <v>4203</v>
      </c>
      <c r="T106">
        <v>0</v>
      </c>
      <c r="U106">
        <v>0</v>
      </c>
      <c r="V106">
        <v>0</v>
      </c>
      <c r="W106">
        <v>0</v>
      </c>
      <c r="X106">
        <v>0</v>
      </c>
      <c r="Y106">
        <v>0</v>
      </c>
      <c r="Z106">
        <v>0</v>
      </c>
      <c r="AA106">
        <v>0</v>
      </c>
      <c r="AB106">
        <v>0</v>
      </c>
      <c r="AC106">
        <v>0</v>
      </c>
      <c r="AD106">
        <v>0</v>
      </c>
      <c r="AE106">
        <v>0</v>
      </c>
      <c r="AF106">
        <v>0</v>
      </c>
      <c r="AG106">
        <v>0</v>
      </c>
      <c r="AH106">
        <v>0</v>
      </c>
      <c r="AI106">
        <v>0</v>
      </c>
      <c r="AJ106">
        <v>0</v>
      </c>
      <c r="AK106">
        <v>0</v>
      </c>
      <c r="AL106">
        <v>0</v>
      </c>
      <c r="AM106">
        <v>0</v>
      </c>
      <c r="AN106">
        <v>0</v>
      </c>
    </row>
    <row r="107" spans="1:40" x14ac:dyDescent="0.25">
      <c r="A107" t="s">
        <v>1104</v>
      </c>
      <c r="B107" t="s">
        <v>1106</v>
      </c>
      <c r="F107" t="s">
        <v>313</v>
      </c>
      <c r="G107" t="s">
        <v>4204</v>
      </c>
      <c r="H107">
        <v>2017</v>
      </c>
      <c r="I107">
        <v>87</v>
      </c>
      <c r="N107">
        <v>41</v>
      </c>
      <c r="O107">
        <v>55</v>
      </c>
      <c r="Q107" t="s">
        <v>4205</v>
      </c>
      <c r="T107">
        <v>0</v>
      </c>
      <c r="U107">
        <v>0</v>
      </c>
      <c r="V107">
        <v>0</v>
      </c>
      <c r="W107">
        <v>0</v>
      </c>
      <c r="X107">
        <v>0</v>
      </c>
      <c r="Y107">
        <v>0</v>
      </c>
      <c r="Z107">
        <v>0</v>
      </c>
      <c r="AA107">
        <v>0</v>
      </c>
      <c r="AB107">
        <v>0</v>
      </c>
      <c r="AC107">
        <v>0</v>
      </c>
      <c r="AD107">
        <v>0</v>
      </c>
      <c r="AE107">
        <v>0</v>
      </c>
      <c r="AF107">
        <v>0</v>
      </c>
      <c r="AG107">
        <v>0</v>
      </c>
      <c r="AH107">
        <v>0</v>
      </c>
      <c r="AI107">
        <v>0</v>
      </c>
      <c r="AJ107">
        <v>0</v>
      </c>
      <c r="AK107">
        <v>0</v>
      </c>
      <c r="AL107">
        <v>0</v>
      </c>
      <c r="AM107">
        <v>0</v>
      </c>
      <c r="AN107">
        <v>0</v>
      </c>
    </row>
    <row r="108" spans="1:40" x14ac:dyDescent="0.25">
      <c r="A108" t="s">
        <v>4206</v>
      </c>
      <c r="B108" t="s">
        <v>4207</v>
      </c>
      <c r="F108" t="s">
        <v>4208</v>
      </c>
      <c r="G108" t="s">
        <v>4209</v>
      </c>
      <c r="H108">
        <v>2017</v>
      </c>
      <c r="I108">
        <v>31</v>
      </c>
      <c r="J108">
        <v>4</v>
      </c>
      <c r="N108">
        <v>317</v>
      </c>
      <c r="O108">
        <v>320</v>
      </c>
      <c r="Q108" t="s">
        <v>4210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row>
    <row r="109" spans="1:40" x14ac:dyDescent="0.25">
      <c r="A109" t="s">
        <v>4211</v>
      </c>
      <c r="B109" t="s">
        <v>4212</v>
      </c>
      <c r="F109" t="s">
        <v>343</v>
      </c>
      <c r="G109" t="s">
        <v>4209</v>
      </c>
      <c r="H109">
        <v>2017</v>
      </c>
      <c r="I109">
        <v>20</v>
      </c>
      <c r="J109">
        <v>4</v>
      </c>
      <c r="N109">
        <v>1245</v>
      </c>
      <c r="O109">
        <v>1259</v>
      </c>
      <c r="Q109" t="s">
        <v>4213</v>
      </c>
      <c r="T109">
        <v>0</v>
      </c>
      <c r="U109">
        <v>0</v>
      </c>
      <c r="V109">
        <v>0</v>
      </c>
      <c r="W109">
        <v>0</v>
      </c>
      <c r="X109">
        <v>0</v>
      </c>
      <c r="Y109">
        <v>0</v>
      </c>
      <c r="Z109">
        <v>0</v>
      </c>
      <c r="AA109">
        <v>0</v>
      </c>
      <c r="AB109">
        <v>0</v>
      </c>
      <c r="AC109">
        <v>0</v>
      </c>
      <c r="AD109">
        <v>0</v>
      </c>
      <c r="AE109">
        <v>0</v>
      </c>
      <c r="AF109">
        <v>0</v>
      </c>
      <c r="AG109">
        <v>0</v>
      </c>
      <c r="AH109">
        <v>0</v>
      </c>
      <c r="AI109">
        <v>0</v>
      </c>
      <c r="AJ109">
        <v>0</v>
      </c>
      <c r="AK109">
        <v>0</v>
      </c>
      <c r="AL109">
        <v>0</v>
      </c>
      <c r="AM109">
        <v>0</v>
      </c>
      <c r="AN109">
        <v>0</v>
      </c>
    </row>
    <row r="110" spans="1:40" x14ac:dyDescent="0.25">
      <c r="A110" t="s">
        <v>4214</v>
      </c>
      <c r="B110" t="s">
        <v>4215</v>
      </c>
      <c r="F110" t="s">
        <v>324</v>
      </c>
      <c r="G110" t="s">
        <v>4216</v>
      </c>
      <c r="H110">
        <v>2017</v>
      </c>
      <c r="I110">
        <v>8</v>
      </c>
      <c r="J110">
        <v>4</v>
      </c>
      <c r="N110">
        <v>522</v>
      </c>
      <c r="O110">
        <v>533</v>
      </c>
      <c r="Q110" t="s">
        <v>4217</v>
      </c>
      <c r="T110">
        <v>0</v>
      </c>
      <c r="U110">
        <v>0</v>
      </c>
      <c r="V110">
        <v>0</v>
      </c>
      <c r="W110">
        <v>0</v>
      </c>
      <c r="X110">
        <v>0</v>
      </c>
      <c r="Y110">
        <v>0</v>
      </c>
      <c r="Z110">
        <v>0</v>
      </c>
      <c r="AA110">
        <v>0</v>
      </c>
      <c r="AB110">
        <v>0</v>
      </c>
      <c r="AC110">
        <v>0</v>
      </c>
      <c r="AD110">
        <v>0</v>
      </c>
      <c r="AE110">
        <v>0</v>
      </c>
      <c r="AF110">
        <v>0</v>
      </c>
      <c r="AG110">
        <v>0</v>
      </c>
      <c r="AH110">
        <v>0</v>
      </c>
      <c r="AI110">
        <v>0</v>
      </c>
      <c r="AJ110">
        <v>0</v>
      </c>
      <c r="AK110">
        <v>0</v>
      </c>
      <c r="AL110">
        <v>0</v>
      </c>
      <c r="AM110">
        <v>0</v>
      </c>
      <c r="AN110">
        <v>0</v>
      </c>
    </row>
    <row r="111" spans="1:40" x14ac:dyDescent="0.25">
      <c r="A111" t="s">
        <v>4218</v>
      </c>
      <c r="B111" t="s">
        <v>4219</v>
      </c>
      <c r="F111" t="s">
        <v>305</v>
      </c>
      <c r="G111" t="s">
        <v>3280</v>
      </c>
      <c r="H111">
        <v>2017</v>
      </c>
      <c r="I111">
        <v>98</v>
      </c>
      <c r="N111">
        <v>16</v>
      </c>
      <c r="O111">
        <v>25</v>
      </c>
      <c r="Q111" t="s">
        <v>4220</v>
      </c>
      <c r="T111">
        <v>0</v>
      </c>
      <c r="U111">
        <v>0</v>
      </c>
      <c r="V111">
        <v>0</v>
      </c>
      <c r="W111">
        <v>0</v>
      </c>
      <c r="X111">
        <v>0</v>
      </c>
      <c r="Y111">
        <v>0</v>
      </c>
      <c r="Z111">
        <v>0</v>
      </c>
      <c r="AA111">
        <v>0</v>
      </c>
      <c r="AB111">
        <v>0</v>
      </c>
      <c r="AC111">
        <v>0</v>
      </c>
      <c r="AD111">
        <v>0</v>
      </c>
      <c r="AE111">
        <v>0</v>
      </c>
      <c r="AF111">
        <v>0</v>
      </c>
      <c r="AG111">
        <v>0</v>
      </c>
      <c r="AH111">
        <v>0</v>
      </c>
      <c r="AI111">
        <v>0</v>
      </c>
      <c r="AJ111">
        <v>0</v>
      </c>
      <c r="AK111">
        <v>0</v>
      </c>
      <c r="AL111">
        <v>0</v>
      </c>
      <c r="AM111">
        <v>0</v>
      </c>
      <c r="AN111">
        <v>0</v>
      </c>
    </row>
    <row r="112" spans="1:40" x14ac:dyDescent="0.25">
      <c r="A112" t="s">
        <v>4221</v>
      </c>
      <c r="B112" t="s">
        <v>4222</v>
      </c>
      <c r="F112" t="s">
        <v>313</v>
      </c>
      <c r="G112" t="s">
        <v>4223</v>
      </c>
      <c r="H112">
        <v>2017</v>
      </c>
      <c r="I112">
        <v>81</v>
      </c>
      <c r="N112">
        <v>88</v>
      </c>
      <c r="O112">
        <v>107</v>
      </c>
      <c r="Q112" t="s">
        <v>4224</v>
      </c>
      <c r="T112">
        <v>0</v>
      </c>
      <c r="U112">
        <v>0</v>
      </c>
      <c r="V112">
        <v>0</v>
      </c>
      <c r="W112">
        <v>0</v>
      </c>
      <c r="X112">
        <v>0</v>
      </c>
      <c r="Y112">
        <v>0</v>
      </c>
      <c r="Z112">
        <v>0</v>
      </c>
      <c r="AA112">
        <v>0</v>
      </c>
      <c r="AB112">
        <v>0</v>
      </c>
      <c r="AC112">
        <v>0</v>
      </c>
      <c r="AD112">
        <v>0</v>
      </c>
      <c r="AE112">
        <v>0</v>
      </c>
      <c r="AF112">
        <v>0</v>
      </c>
      <c r="AG112">
        <v>0</v>
      </c>
      <c r="AH112">
        <v>0</v>
      </c>
      <c r="AI112">
        <v>0</v>
      </c>
      <c r="AJ112">
        <v>0</v>
      </c>
      <c r="AK112">
        <v>0</v>
      </c>
      <c r="AL112">
        <v>0</v>
      </c>
      <c r="AM112">
        <v>0</v>
      </c>
      <c r="AN112">
        <v>0</v>
      </c>
    </row>
    <row r="113" spans="1:40" x14ac:dyDescent="0.25">
      <c r="A113" t="s">
        <v>4225</v>
      </c>
      <c r="B113" t="s">
        <v>4226</v>
      </c>
      <c r="F113" t="s">
        <v>298</v>
      </c>
      <c r="G113" t="s">
        <v>2806</v>
      </c>
      <c r="H113">
        <v>2017</v>
      </c>
      <c r="I113">
        <v>160</v>
      </c>
      <c r="N113">
        <v>100</v>
      </c>
      <c r="O113">
        <v>113</v>
      </c>
      <c r="Q113" t="s">
        <v>4227</v>
      </c>
      <c r="T113">
        <v>0</v>
      </c>
      <c r="U113">
        <v>0</v>
      </c>
      <c r="V113">
        <v>0</v>
      </c>
      <c r="W113">
        <v>0</v>
      </c>
      <c r="X113">
        <v>0</v>
      </c>
      <c r="Y113">
        <v>0</v>
      </c>
      <c r="Z113">
        <v>0</v>
      </c>
      <c r="AA113">
        <v>0</v>
      </c>
      <c r="AB113">
        <v>0</v>
      </c>
      <c r="AC113">
        <v>0</v>
      </c>
      <c r="AD113">
        <v>0</v>
      </c>
      <c r="AE113">
        <v>0</v>
      </c>
      <c r="AF113">
        <v>0</v>
      </c>
      <c r="AG113">
        <v>0</v>
      </c>
      <c r="AH113">
        <v>0</v>
      </c>
      <c r="AI113">
        <v>0</v>
      </c>
      <c r="AJ113">
        <v>0</v>
      </c>
      <c r="AK113">
        <v>0</v>
      </c>
      <c r="AL113">
        <v>0</v>
      </c>
      <c r="AM113">
        <v>0</v>
      </c>
      <c r="AN113">
        <v>0</v>
      </c>
    </row>
    <row r="114" spans="1:40" x14ac:dyDescent="0.25">
      <c r="A114" t="s">
        <v>4228</v>
      </c>
      <c r="B114" t="s">
        <v>4229</v>
      </c>
      <c r="F114" t="s">
        <v>298</v>
      </c>
      <c r="G114" t="s">
        <v>3883</v>
      </c>
      <c r="H114">
        <v>2017</v>
      </c>
      <c r="I114">
        <v>159</v>
      </c>
      <c r="M114" t="s">
        <v>1948</v>
      </c>
      <c r="N114">
        <v>47</v>
      </c>
      <c r="O114">
        <v>58</v>
      </c>
      <c r="Q114" t="s">
        <v>4230</v>
      </c>
      <c r="T114">
        <v>0</v>
      </c>
      <c r="U114">
        <v>0</v>
      </c>
      <c r="V114">
        <v>0</v>
      </c>
      <c r="W114">
        <v>0</v>
      </c>
      <c r="X114">
        <v>0</v>
      </c>
      <c r="Y114">
        <v>0</v>
      </c>
      <c r="Z114">
        <v>0</v>
      </c>
      <c r="AA114">
        <v>0</v>
      </c>
      <c r="AB114">
        <v>0</v>
      </c>
      <c r="AC114">
        <v>0</v>
      </c>
      <c r="AD114">
        <v>0</v>
      </c>
      <c r="AE114">
        <v>0</v>
      </c>
      <c r="AF114">
        <v>0</v>
      </c>
      <c r="AG114">
        <v>0</v>
      </c>
      <c r="AH114">
        <v>0</v>
      </c>
      <c r="AI114">
        <v>0</v>
      </c>
      <c r="AJ114">
        <v>0</v>
      </c>
      <c r="AK114">
        <v>0</v>
      </c>
      <c r="AL114">
        <v>0</v>
      </c>
      <c r="AM114">
        <v>0</v>
      </c>
      <c r="AN114">
        <v>0</v>
      </c>
    </row>
    <row r="115" spans="1:40" x14ac:dyDescent="0.25">
      <c r="A115" t="s">
        <v>4231</v>
      </c>
      <c r="B115" t="s">
        <v>4232</v>
      </c>
      <c r="F115" t="s">
        <v>298</v>
      </c>
      <c r="G115" t="s">
        <v>2553</v>
      </c>
      <c r="H115">
        <v>2017</v>
      </c>
      <c r="I115">
        <v>158</v>
      </c>
      <c r="N115">
        <v>115</v>
      </c>
      <c r="O115">
        <v>125</v>
      </c>
      <c r="Q115" t="s">
        <v>4233</v>
      </c>
      <c r="T115">
        <v>0</v>
      </c>
      <c r="U115">
        <v>0</v>
      </c>
      <c r="V115">
        <v>0</v>
      </c>
      <c r="W115">
        <v>0</v>
      </c>
      <c r="X115">
        <v>0</v>
      </c>
      <c r="Y115">
        <v>0</v>
      </c>
      <c r="Z115">
        <v>0</v>
      </c>
      <c r="AA115">
        <v>0</v>
      </c>
      <c r="AB115">
        <v>0</v>
      </c>
      <c r="AC115">
        <v>0</v>
      </c>
      <c r="AD115">
        <v>0</v>
      </c>
      <c r="AE115">
        <v>0</v>
      </c>
      <c r="AF115">
        <v>0</v>
      </c>
      <c r="AG115">
        <v>0</v>
      </c>
      <c r="AH115">
        <v>0</v>
      </c>
      <c r="AI115">
        <v>0</v>
      </c>
      <c r="AJ115">
        <v>0</v>
      </c>
      <c r="AK115">
        <v>0</v>
      </c>
      <c r="AL115">
        <v>0</v>
      </c>
      <c r="AM115">
        <v>0</v>
      </c>
      <c r="AN115">
        <v>0</v>
      </c>
    </row>
    <row r="116" spans="1:40" x14ac:dyDescent="0.25">
      <c r="A116" t="s">
        <v>4234</v>
      </c>
      <c r="B116" t="s">
        <v>4235</v>
      </c>
      <c r="F116" t="s">
        <v>310</v>
      </c>
      <c r="G116" t="s">
        <v>3776</v>
      </c>
      <c r="H116">
        <v>2017</v>
      </c>
      <c r="I116">
        <v>11</v>
      </c>
      <c r="J116">
        <v>3</v>
      </c>
      <c r="N116">
        <v>199</v>
      </c>
      <c r="O116">
        <v>206</v>
      </c>
      <c r="Q116" t="s">
        <v>4236</v>
      </c>
      <c r="T116">
        <v>0</v>
      </c>
      <c r="U116">
        <v>0</v>
      </c>
      <c r="V116">
        <v>0</v>
      </c>
      <c r="W116">
        <v>0</v>
      </c>
      <c r="X116">
        <v>0</v>
      </c>
      <c r="Y116">
        <v>0</v>
      </c>
      <c r="Z116">
        <v>0</v>
      </c>
      <c r="AA116">
        <v>0</v>
      </c>
      <c r="AB116">
        <v>0</v>
      </c>
      <c r="AC116">
        <v>0</v>
      </c>
      <c r="AD116">
        <v>0</v>
      </c>
      <c r="AE116">
        <v>0</v>
      </c>
      <c r="AF116">
        <v>0</v>
      </c>
      <c r="AG116">
        <v>0</v>
      </c>
      <c r="AH116">
        <v>0</v>
      </c>
      <c r="AI116">
        <v>0</v>
      </c>
      <c r="AJ116">
        <v>0</v>
      </c>
      <c r="AK116">
        <v>0</v>
      </c>
      <c r="AL116">
        <v>0</v>
      </c>
      <c r="AM116">
        <v>0</v>
      </c>
      <c r="AN116">
        <v>0</v>
      </c>
    </row>
    <row r="117" spans="1:40" x14ac:dyDescent="0.25">
      <c r="A117" t="s">
        <v>4237</v>
      </c>
      <c r="B117" t="s">
        <v>4238</v>
      </c>
      <c r="F117" t="s">
        <v>316</v>
      </c>
      <c r="G117" t="s">
        <v>3776</v>
      </c>
      <c r="H117">
        <v>2017</v>
      </c>
      <c r="I117">
        <v>11</v>
      </c>
      <c r="J117">
        <v>4</v>
      </c>
      <c r="N117">
        <v>258</v>
      </c>
      <c r="O117">
        <v>265</v>
      </c>
      <c r="Q117" t="s">
        <v>4239</v>
      </c>
      <c r="T117">
        <v>0</v>
      </c>
      <c r="U117">
        <v>0</v>
      </c>
      <c r="V117">
        <v>0</v>
      </c>
      <c r="W117">
        <v>0</v>
      </c>
      <c r="X117">
        <v>0</v>
      </c>
      <c r="Y117">
        <v>0</v>
      </c>
      <c r="Z117">
        <v>0</v>
      </c>
      <c r="AA117">
        <v>0</v>
      </c>
      <c r="AB117">
        <v>0</v>
      </c>
      <c r="AC117">
        <v>0</v>
      </c>
      <c r="AD117">
        <v>0</v>
      </c>
      <c r="AE117">
        <v>0</v>
      </c>
      <c r="AF117">
        <v>0</v>
      </c>
      <c r="AG117">
        <v>0</v>
      </c>
      <c r="AH117">
        <v>0</v>
      </c>
      <c r="AI117">
        <v>0</v>
      </c>
      <c r="AJ117">
        <v>0</v>
      </c>
      <c r="AK117">
        <v>0</v>
      </c>
      <c r="AL117">
        <v>0</v>
      </c>
      <c r="AM117">
        <v>0</v>
      </c>
      <c r="AN117">
        <v>0</v>
      </c>
    </row>
    <row r="118" spans="1:40" x14ac:dyDescent="0.25">
      <c r="A118" t="s">
        <v>4240</v>
      </c>
      <c r="B118" t="s">
        <v>4241</v>
      </c>
      <c r="F118" t="s">
        <v>312</v>
      </c>
      <c r="G118" t="s">
        <v>3500</v>
      </c>
      <c r="H118">
        <v>2017</v>
      </c>
      <c r="I118">
        <v>13</v>
      </c>
      <c r="J118">
        <v>1</v>
      </c>
      <c r="M118" t="s">
        <v>1948</v>
      </c>
      <c r="N118">
        <v>227</v>
      </c>
      <c r="O118">
        <v>244</v>
      </c>
      <c r="Q118" t="s">
        <v>4242</v>
      </c>
      <c r="T118">
        <v>0</v>
      </c>
      <c r="U118">
        <v>0</v>
      </c>
      <c r="V118">
        <v>0</v>
      </c>
      <c r="W118">
        <v>0</v>
      </c>
      <c r="X118">
        <v>0</v>
      </c>
      <c r="Y118">
        <v>0</v>
      </c>
      <c r="Z118">
        <v>0</v>
      </c>
      <c r="AA118">
        <v>0</v>
      </c>
      <c r="AB118">
        <v>0</v>
      </c>
      <c r="AC118">
        <v>0</v>
      </c>
      <c r="AD118">
        <v>0</v>
      </c>
      <c r="AE118">
        <v>0</v>
      </c>
      <c r="AF118">
        <v>0</v>
      </c>
      <c r="AG118">
        <v>0</v>
      </c>
      <c r="AH118">
        <v>0</v>
      </c>
      <c r="AI118">
        <v>0</v>
      </c>
      <c r="AJ118">
        <v>0</v>
      </c>
      <c r="AK118">
        <v>0</v>
      </c>
      <c r="AL118">
        <v>0</v>
      </c>
      <c r="AM118">
        <v>0</v>
      </c>
      <c r="AN118">
        <v>0</v>
      </c>
    </row>
    <row r="119" spans="1:40" x14ac:dyDescent="0.25">
      <c r="A119" t="s">
        <v>4243</v>
      </c>
      <c r="B119" t="s">
        <v>4244</v>
      </c>
      <c r="F119" t="s">
        <v>298</v>
      </c>
      <c r="G119" t="s">
        <v>3235</v>
      </c>
      <c r="H119">
        <v>2017</v>
      </c>
      <c r="I119">
        <v>155</v>
      </c>
      <c r="N119">
        <v>43</v>
      </c>
      <c r="O119">
        <v>54</v>
      </c>
      <c r="Q119" t="s">
        <v>4245</v>
      </c>
      <c r="T119">
        <v>0</v>
      </c>
      <c r="U119">
        <v>0</v>
      </c>
      <c r="V119">
        <v>0</v>
      </c>
      <c r="W119">
        <v>0</v>
      </c>
      <c r="X119">
        <v>0</v>
      </c>
      <c r="Y119">
        <v>0</v>
      </c>
      <c r="Z119">
        <v>0</v>
      </c>
      <c r="AA119">
        <v>0</v>
      </c>
      <c r="AB119">
        <v>0</v>
      </c>
      <c r="AC119">
        <v>0</v>
      </c>
      <c r="AD119">
        <v>0</v>
      </c>
      <c r="AE119">
        <v>0</v>
      </c>
      <c r="AF119">
        <v>0</v>
      </c>
      <c r="AG119">
        <v>0</v>
      </c>
      <c r="AH119">
        <v>0</v>
      </c>
      <c r="AI119">
        <v>0</v>
      </c>
      <c r="AJ119">
        <v>0</v>
      </c>
      <c r="AK119">
        <v>0</v>
      </c>
      <c r="AL119">
        <v>0</v>
      </c>
      <c r="AM119">
        <v>0</v>
      </c>
      <c r="AN119">
        <v>0</v>
      </c>
    </row>
    <row r="120" spans="1:40" x14ac:dyDescent="0.25">
      <c r="A120" t="s">
        <v>4246</v>
      </c>
      <c r="B120" t="s">
        <v>4247</v>
      </c>
      <c r="F120" t="s">
        <v>298</v>
      </c>
      <c r="G120" t="s">
        <v>3235</v>
      </c>
      <c r="H120">
        <v>2017</v>
      </c>
      <c r="I120">
        <v>155</v>
      </c>
      <c r="N120">
        <v>106</v>
      </c>
      <c r="O120">
        <v>112</v>
      </c>
      <c r="Q120" t="s">
        <v>4248</v>
      </c>
      <c r="T120">
        <v>0</v>
      </c>
      <c r="U120">
        <v>0</v>
      </c>
      <c r="V120">
        <v>0</v>
      </c>
      <c r="W120">
        <v>0</v>
      </c>
      <c r="X120">
        <v>0</v>
      </c>
      <c r="Y120">
        <v>0</v>
      </c>
      <c r="Z120">
        <v>0</v>
      </c>
      <c r="AA120">
        <v>0</v>
      </c>
      <c r="AB120">
        <v>0</v>
      </c>
      <c r="AC120">
        <v>0</v>
      </c>
      <c r="AD120">
        <v>0</v>
      </c>
      <c r="AE120">
        <v>0</v>
      </c>
      <c r="AF120">
        <v>0</v>
      </c>
      <c r="AG120">
        <v>0</v>
      </c>
      <c r="AH120">
        <v>0</v>
      </c>
      <c r="AI120">
        <v>0</v>
      </c>
      <c r="AJ120">
        <v>0</v>
      </c>
      <c r="AK120">
        <v>0</v>
      </c>
      <c r="AL120">
        <v>0</v>
      </c>
      <c r="AM120">
        <v>0</v>
      </c>
      <c r="AN120">
        <v>0</v>
      </c>
    </row>
    <row r="121" spans="1:40" x14ac:dyDescent="0.25">
      <c r="A121" t="s">
        <v>4249</v>
      </c>
      <c r="B121" t="s">
        <v>4250</v>
      </c>
      <c r="F121" t="s">
        <v>4251</v>
      </c>
      <c r="G121">
        <v>2017</v>
      </c>
      <c r="H121">
        <v>2017</v>
      </c>
      <c r="I121">
        <v>36</v>
      </c>
      <c r="J121">
        <v>4</v>
      </c>
      <c r="N121">
        <v>837</v>
      </c>
      <c r="O121">
        <v>856</v>
      </c>
      <c r="Q121" t="s">
        <v>4252</v>
      </c>
      <c r="T121">
        <v>0</v>
      </c>
      <c r="U121">
        <v>0</v>
      </c>
      <c r="V121">
        <v>0</v>
      </c>
      <c r="W121">
        <v>0</v>
      </c>
      <c r="X121">
        <v>0</v>
      </c>
      <c r="Y121">
        <v>0</v>
      </c>
      <c r="Z121">
        <v>0</v>
      </c>
      <c r="AA121">
        <v>0</v>
      </c>
      <c r="AB121">
        <v>0</v>
      </c>
      <c r="AC121">
        <v>0</v>
      </c>
      <c r="AD121">
        <v>0</v>
      </c>
      <c r="AE121">
        <v>0</v>
      </c>
      <c r="AF121">
        <v>0</v>
      </c>
      <c r="AG121">
        <v>0</v>
      </c>
      <c r="AH121">
        <v>0</v>
      </c>
      <c r="AI121">
        <v>0</v>
      </c>
      <c r="AJ121">
        <v>0</v>
      </c>
      <c r="AK121">
        <v>0</v>
      </c>
      <c r="AL121">
        <v>0</v>
      </c>
      <c r="AM121">
        <v>0</v>
      </c>
      <c r="AN121">
        <v>0</v>
      </c>
    </row>
    <row r="122" spans="1:40" x14ac:dyDescent="0.25">
      <c r="A122" t="s">
        <v>4253</v>
      </c>
      <c r="B122" t="s">
        <v>4254</v>
      </c>
      <c r="F122" t="s">
        <v>302</v>
      </c>
      <c r="G122" t="s">
        <v>2922</v>
      </c>
      <c r="H122">
        <v>2017</v>
      </c>
      <c r="I122">
        <v>57</v>
      </c>
      <c r="N122">
        <v>67</v>
      </c>
      <c r="O122">
        <v>77</v>
      </c>
      <c r="Q122" t="s">
        <v>4255</v>
      </c>
      <c r="T122">
        <v>0</v>
      </c>
      <c r="U122">
        <v>0</v>
      </c>
      <c r="V122">
        <v>0</v>
      </c>
      <c r="W122">
        <v>0</v>
      </c>
      <c r="X122">
        <v>0</v>
      </c>
      <c r="Y122">
        <v>0</v>
      </c>
      <c r="Z122">
        <v>0</v>
      </c>
      <c r="AA122">
        <v>0</v>
      </c>
      <c r="AB122">
        <v>0</v>
      </c>
      <c r="AC122">
        <v>0</v>
      </c>
      <c r="AD122">
        <v>0</v>
      </c>
      <c r="AE122">
        <v>0</v>
      </c>
      <c r="AF122">
        <v>0</v>
      </c>
      <c r="AG122">
        <v>0</v>
      </c>
      <c r="AH122">
        <v>0</v>
      </c>
      <c r="AI122">
        <v>0</v>
      </c>
      <c r="AJ122">
        <v>0</v>
      </c>
      <c r="AK122">
        <v>0</v>
      </c>
      <c r="AL122">
        <v>0</v>
      </c>
      <c r="AM122">
        <v>0</v>
      </c>
      <c r="AN122">
        <v>0</v>
      </c>
    </row>
    <row r="123" spans="1:40" x14ac:dyDescent="0.25">
      <c r="A123" t="s">
        <v>1305</v>
      </c>
      <c r="B123" t="s">
        <v>1307</v>
      </c>
      <c r="F123" t="s">
        <v>314</v>
      </c>
      <c r="G123" t="s">
        <v>3902</v>
      </c>
      <c r="H123">
        <v>2016</v>
      </c>
      <c r="I123">
        <v>46</v>
      </c>
      <c r="J123">
        <v>12</v>
      </c>
      <c r="N123">
        <v>3032</v>
      </c>
      <c r="O123">
        <v>3046</v>
      </c>
      <c r="Q123" t="s">
        <v>4256</v>
      </c>
      <c r="T123">
        <v>0</v>
      </c>
      <c r="U123">
        <v>0</v>
      </c>
      <c r="V123">
        <v>0</v>
      </c>
      <c r="W123">
        <v>0</v>
      </c>
      <c r="X123">
        <v>0</v>
      </c>
      <c r="Y123">
        <v>0</v>
      </c>
      <c r="Z123">
        <v>0</v>
      </c>
      <c r="AA123">
        <v>0</v>
      </c>
      <c r="AB123">
        <v>0</v>
      </c>
      <c r="AC123">
        <v>0</v>
      </c>
      <c r="AD123">
        <v>0</v>
      </c>
      <c r="AE123">
        <v>0</v>
      </c>
      <c r="AF123">
        <v>0</v>
      </c>
      <c r="AG123">
        <v>0</v>
      </c>
      <c r="AH123">
        <v>0</v>
      </c>
      <c r="AI123">
        <v>0</v>
      </c>
      <c r="AJ123">
        <v>0</v>
      </c>
      <c r="AK123">
        <v>0</v>
      </c>
      <c r="AL123">
        <v>0</v>
      </c>
      <c r="AM123">
        <v>0</v>
      </c>
      <c r="AN123">
        <v>0</v>
      </c>
    </row>
    <row r="124" spans="1:40" x14ac:dyDescent="0.25">
      <c r="A124" t="s">
        <v>4257</v>
      </c>
      <c r="B124" t="s">
        <v>4258</v>
      </c>
      <c r="F124" t="s">
        <v>315</v>
      </c>
      <c r="G124" t="s">
        <v>2774</v>
      </c>
      <c r="H124">
        <v>2016</v>
      </c>
      <c r="I124">
        <v>27</v>
      </c>
      <c r="J124">
        <v>8</v>
      </c>
      <c r="M124" t="s">
        <v>1948</v>
      </c>
      <c r="N124">
        <v>1299</v>
      </c>
      <c r="O124">
        <v>1312</v>
      </c>
      <c r="Q124" t="s">
        <v>4259</v>
      </c>
      <c r="R124" t="s">
        <v>4260</v>
      </c>
      <c r="S124" t="s">
        <v>4261</v>
      </c>
      <c r="T124">
        <v>0</v>
      </c>
      <c r="U124">
        <v>0</v>
      </c>
      <c r="V124">
        <v>0</v>
      </c>
      <c r="W124">
        <v>0</v>
      </c>
      <c r="X124">
        <v>0</v>
      </c>
      <c r="Y124">
        <v>0</v>
      </c>
      <c r="Z124">
        <v>0</v>
      </c>
      <c r="AA124">
        <v>0</v>
      </c>
      <c r="AB124">
        <v>0</v>
      </c>
      <c r="AC124">
        <v>0</v>
      </c>
      <c r="AD124">
        <v>0</v>
      </c>
      <c r="AE124">
        <v>0</v>
      </c>
      <c r="AF124">
        <v>0</v>
      </c>
      <c r="AG124">
        <v>0</v>
      </c>
      <c r="AH124">
        <v>0</v>
      </c>
      <c r="AI124">
        <v>0</v>
      </c>
      <c r="AJ124">
        <v>0</v>
      </c>
      <c r="AK124">
        <v>0</v>
      </c>
      <c r="AL124">
        <v>0</v>
      </c>
      <c r="AM124">
        <v>0</v>
      </c>
      <c r="AN124">
        <v>0</v>
      </c>
    </row>
    <row r="125" spans="1:40" x14ac:dyDescent="0.25">
      <c r="A125" t="s">
        <v>4262</v>
      </c>
      <c r="B125" t="s">
        <v>4263</v>
      </c>
      <c r="F125" t="s">
        <v>310</v>
      </c>
      <c r="G125" t="s">
        <v>2869</v>
      </c>
      <c r="H125">
        <v>2016</v>
      </c>
      <c r="I125">
        <v>10</v>
      </c>
      <c r="J125">
        <v>7</v>
      </c>
      <c r="N125">
        <v>736</v>
      </c>
      <c r="O125">
        <v>745</v>
      </c>
      <c r="Q125" t="s">
        <v>4264</v>
      </c>
      <c r="T125">
        <v>0</v>
      </c>
      <c r="U125">
        <v>0</v>
      </c>
      <c r="V125">
        <v>0</v>
      </c>
      <c r="W125">
        <v>0</v>
      </c>
      <c r="X125">
        <v>0</v>
      </c>
      <c r="Y125">
        <v>0</v>
      </c>
      <c r="Z125">
        <v>0</v>
      </c>
      <c r="AA125">
        <v>0</v>
      </c>
      <c r="AB125">
        <v>0</v>
      </c>
      <c r="AC125">
        <v>0</v>
      </c>
      <c r="AD125">
        <v>0</v>
      </c>
      <c r="AE125">
        <v>0</v>
      </c>
      <c r="AF125">
        <v>0</v>
      </c>
      <c r="AG125">
        <v>0</v>
      </c>
      <c r="AH125">
        <v>0</v>
      </c>
      <c r="AI125">
        <v>0</v>
      </c>
      <c r="AJ125">
        <v>0</v>
      </c>
      <c r="AK125">
        <v>0</v>
      </c>
      <c r="AL125">
        <v>0</v>
      </c>
      <c r="AM125">
        <v>0</v>
      </c>
      <c r="AN125">
        <v>0</v>
      </c>
    </row>
    <row r="126" spans="1:40" x14ac:dyDescent="0.25">
      <c r="A126" t="s">
        <v>4265</v>
      </c>
      <c r="B126" t="s">
        <v>4266</v>
      </c>
      <c r="F126" t="s">
        <v>305</v>
      </c>
      <c r="G126" t="s">
        <v>4267</v>
      </c>
      <c r="H126">
        <v>2016</v>
      </c>
      <c r="I126">
        <v>80</v>
      </c>
      <c r="N126">
        <v>98</v>
      </c>
      <c r="O126">
        <v>106</v>
      </c>
      <c r="Q126" t="s">
        <v>4268</v>
      </c>
      <c r="T126">
        <v>0</v>
      </c>
      <c r="U126">
        <v>0</v>
      </c>
      <c r="V126">
        <v>0</v>
      </c>
      <c r="W126">
        <v>0</v>
      </c>
      <c r="X126">
        <v>0</v>
      </c>
      <c r="Y126">
        <v>0</v>
      </c>
      <c r="Z126">
        <v>0</v>
      </c>
      <c r="AA126">
        <v>0</v>
      </c>
      <c r="AB126">
        <v>0</v>
      </c>
      <c r="AC126">
        <v>0</v>
      </c>
      <c r="AD126">
        <v>0</v>
      </c>
      <c r="AE126">
        <v>0</v>
      </c>
      <c r="AF126">
        <v>0</v>
      </c>
      <c r="AG126">
        <v>0</v>
      </c>
      <c r="AH126">
        <v>0</v>
      </c>
      <c r="AI126">
        <v>0</v>
      </c>
      <c r="AJ126">
        <v>0</v>
      </c>
      <c r="AK126">
        <v>0</v>
      </c>
      <c r="AL126">
        <v>0</v>
      </c>
      <c r="AM126">
        <v>0</v>
      </c>
      <c r="AN126">
        <v>0</v>
      </c>
    </row>
    <row r="127" spans="1:40" x14ac:dyDescent="0.25">
      <c r="A127" t="s">
        <v>4269</v>
      </c>
      <c r="B127" t="s">
        <v>4270</v>
      </c>
      <c r="F127" t="s">
        <v>333</v>
      </c>
      <c r="G127" t="s">
        <v>3576</v>
      </c>
      <c r="H127">
        <v>2016</v>
      </c>
      <c r="I127">
        <v>30</v>
      </c>
      <c r="J127">
        <v>8</v>
      </c>
      <c r="P127">
        <v>1650018</v>
      </c>
      <c r="Q127" t="s">
        <v>4271</v>
      </c>
      <c r="T127">
        <v>0</v>
      </c>
      <c r="U127">
        <v>0</v>
      </c>
      <c r="V127">
        <v>0</v>
      </c>
      <c r="W127">
        <v>0</v>
      </c>
      <c r="X127">
        <v>0</v>
      </c>
      <c r="Y127">
        <v>0</v>
      </c>
      <c r="Z127">
        <v>0</v>
      </c>
      <c r="AA127">
        <v>0</v>
      </c>
      <c r="AB127">
        <v>0</v>
      </c>
      <c r="AC127">
        <v>0</v>
      </c>
      <c r="AD127">
        <v>0</v>
      </c>
      <c r="AE127">
        <v>0</v>
      </c>
      <c r="AF127">
        <v>0</v>
      </c>
      <c r="AG127">
        <v>0</v>
      </c>
      <c r="AH127">
        <v>0</v>
      </c>
      <c r="AI127">
        <v>0</v>
      </c>
      <c r="AJ127">
        <v>0</v>
      </c>
      <c r="AK127">
        <v>0</v>
      </c>
      <c r="AL127">
        <v>0</v>
      </c>
      <c r="AM127">
        <v>0</v>
      </c>
      <c r="AN127">
        <v>0</v>
      </c>
    </row>
    <row r="128" spans="1:40" x14ac:dyDescent="0.25">
      <c r="A128" t="s">
        <v>4272</v>
      </c>
      <c r="B128" t="s">
        <v>4273</v>
      </c>
      <c r="F128" t="s">
        <v>315</v>
      </c>
      <c r="G128" t="s">
        <v>3126</v>
      </c>
      <c r="H128">
        <v>2016</v>
      </c>
      <c r="I128">
        <v>27</v>
      </c>
      <c r="J128">
        <v>6</v>
      </c>
      <c r="N128">
        <v>821</v>
      </c>
      <c r="O128">
        <v>832</v>
      </c>
      <c r="Q128" t="s">
        <v>4274</v>
      </c>
      <c r="T128">
        <v>0</v>
      </c>
      <c r="U128">
        <v>0</v>
      </c>
      <c r="V128">
        <v>0</v>
      </c>
      <c r="W128">
        <v>0</v>
      </c>
      <c r="X128">
        <v>0</v>
      </c>
      <c r="Y128">
        <v>0</v>
      </c>
      <c r="Z128">
        <v>0</v>
      </c>
      <c r="AA128">
        <v>0</v>
      </c>
      <c r="AB128">
        <v>0</v>
      </c>
      <c r="AC128">
        <v>0</v>
      </c>
      <c r="AD128">
        <v>0</v>
      </c>
      <c r="AE128">
        <v>0</v>
      </c>
      <c r="AF128">
        <v>0</v>
      </c>
      <c r="AG128">
        <v>0</v>
      </c>
      <c r="AH128">
        <v>0</v>
      </c>
      <c r="AI128">
        <v>0</v>
      </c>
      <c r="AJ128">
        <v>0</v>
      </c>
      <c r="AK128">
        <v>0</v>
      </c>
      <c r="AL128">
        <v>0</v>
      </c>
      <c r="AM128">
        <v>0</v>
      </c>
      <c r="AN128">
        <v>0</v>
      </c>
    </row>
    <row r="129" spans="1:40" x14ac:dyDescent="0.25">
      <c r="A129" t="s">
        <v>4275</v>
      </c>
      <c r="B129" t="s">
        <v>4276</v>
      </c>
      <c r="F129" t="s">
        <v>330</v>
      </c>
      <c r="G129" t="s">
        <v>2778</v>
      </c>
      <c r="H129">
        <v>2016</v>
      </c>
      <c r="I129">
        <v>12</v>
      </c>
      <c r="J129">
        <v>3</v>
      </c>
      <c r="N129">
        <v>735</v>
      </c>
      <c r="O129">
        <v>746</v>
      </c>
      <c r="T129">
        <v>0</v>
      </c>
      <c r="U129">
        <v>0</v>
      </c>
      <c r="V129">
        <v>0</v>
      </c>
      <c r="W129">
        <v>0</v>
      </c>
      <c r="X129">
        <v>0</v>
      </c>
      <c r="Y129">
        <v>0</v>
      </c>
      <c r="Z129">
        <v>0</v>
      </c>
      <c r="AA129">
        <v>0</v>
      </c>
      <c r="AB129">
        <v>0</v>
      </c>
      <c r="AC129">
        <v>0</v>
      </c>
      <c r="AD129">
        <v>0</v>
      </c>
      <c r="AE129">
        <v>0</v>
      </c>
      <c r="AF129">
        <v>0</v>
      </c>
      <c r="AG129">
        <v>0</v>
      </c>
      <c r="AH129">
        <v>0</v>
      </c>
      <c r="AI129">
        <v>0</v>
      </c>
      <c r="AJ129">
        <v>0</v>
      </c>
      <c r="AK129">
        <v>0</v>
      </c>
      <c r="AL129">
        <v>0</v>
      </c>
      <c r="AM129">
        <v>0</v>
      </c>
      <c r="AN129">
        <v>0</v>
      </c>
    </row>
    <row r="130" spans="1:40" x14ac:dyDescent="0.25">
      <c r="A130" t="s">
        <v>4277</v>
      </c>
      <c r="B130" t="s">
        <v>4278</v>
      </c>
      <c r="F130" t="s">
        <v>4279</v>
      </c>
      <c r="G130" t="s">
        <v>3913</v>
      </c>
      <c r="H130">
        <v>2016</v>
      </c>
      <c r="I130">
        <v>95</v>
      </c>
      <c r="N130">
        <v>58</v>
      </c>
      <c r="O130">
        <v>70</v>
      </c>
      <c r="Q130" t="s">
        <v>4280</v>
      </c>
      <c r="T130">
        <v>0</v>
      </c>
      <c r="U130">
        <v>0</v>
      </c>
      <c r="V130">
        <v>0</v>
      </c>
      <c r="W130">
        <v>0</v>
      </c>
      <c r="X130">
        <v>0</v>
      </c>
      <c r="Y130">
        <v>0</v>
      </c>
      <c r="Z130">
        <v>0</v>
      </c>
      <c r="AA130">
        <v>0</v>
      </c>
      <c r="AB130">
        <v>0</v>
      </c>
      <c r="AC130">
        <v>0</v>
      </c>
      <c r="AD130">
        <v>0</v>
      </c>
      <c r="AE130">
        <v>0</v>
      </c>
      <c r="AF130">
        <v>0</v>
      </c>
      <c r="AG130">
        <v>0</v>
      </c>
      <c r="AH130">
        <v>0</v>
      </c>
      <c r="AI130">
        <v>0</v>
      </c>
      <c r="AJ130">
        <v>0</v>
      </c>
      <c r="AK130">
        <v>0</v>
      </c>
      <c r="AL130">
        <v>0</v>
      </c>
      <c r="AM130">
        <v>0</v>
      </c>
      <c r="AN130">
        <v>0</v>
      </c>
    </row>
    <row r="131" spans="1:40" x14ac:dyDescent="0.25">
      <c r="A131" t="s">
        <v>4281</v>
      </c>
      <c r="B131" t="s">
        <v>4282</v>
      </c>
      <c r="F131" t="s">
        <v>308</v>
      </c>
      <c r="G131" t="s">
        <v>3408</v>
      </c>
      <c r="H131">
        <v>2016</v>
      </c>
      <c r="I131">
        <v>51</v>
      </c>
      <c r="N131">
        <v>255</v>
      </c>
      <c r="O131">
        <v>267</v>
      </c>
      <c r="Q131" t="s">
        <v>4283</v>
      </c>
      <c r="T131">
        <v>0</v>
      </c>
      <c r="U131">
        <v>0</v>
      </c>
      <c r="V131">
        <v>0</v>
      </c>
      <c r="W131">
        <v>0</v>
      </c>
      <c r="X131">
        <v>0</v>
      </c>
      <c r="Y131">
        <v>0</v>
      </c>
      <c r="Z131">
        <v>0</v>
      </c>
      <c r="AA131">
        <v>0</v>
      </c>
      <c r="AB131">
        <v>0</v>
      </c>
      <c r="AC131">
        <v>0</v>
      </c>
      <c r="AD131">
        <v>0</v>
      </c>
      <c r="AE131">
        <v>0</v>
      </c>
      <c r="AF131">
        <v>0</v>
      </c>
      <c r="AG131">
        <v>0</v>
      </c>
      <c r="AH131">
        <v>0</v>
      </c>
      <c r="AI131">
        <v>0</v>
      </c>
      <c r="AJ131">
        <v>0</v>
      </c>
      <c r="AK131">
        <v>0</v>
      </c>
      <c r="AL131">
        <v>0</v>
      </c>
      <c r="AM131">
        <v>0</v>
      </c>
      <c r="AN131">
        <v>0</v>
      </c>
    </row>
    <row r="132" spans="1:40" x14ac:dyDescent="0.25">
      <c r="A132" t="s">
        <v>4284</v>
      </c>
      <c r="B132" t="s">
        <v>4285</v>
      </c>
      <c r="F132" t="s">
        <v>4286</v>
      </c>
      <c r="G132">
        <v>2016</v>
      </c>
      <c r="H132">
        <v>2016</v>
      </c>
      <c r="I132">
        <v>3</v>
      </c>
      <c r="J132">
        <v>1</v>
      </c>
      <c r="N132">
        <v>1</v>
      </c>
      <c r="O132">
        <v>21</v>
      </c>
      <c r="Q132" t="s">
        <v>4287</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0</v>
      </c>
    </row>
    <row r="133" spans="1:40" x14ac:dyDescent="0.25">
      <c r="A133" t="s">
        <v>4288</v>
      </c>
      <c r="B133" t="s">
        <v>4289</v>
      </c>
      <c r="F133" t="s">
        <v>4183</v>
      </c>
      <c r="G133">
        <v>2016</v>
      </c>
      <c r="H133">
        <v>2016</v>
      </c>
      <c r="I133">
        <v>24</v>
      </c>
      <c r="J133">
        <v>5</v>
      </c>
      <c r="N133">
        <v>4368</v>
      </c>
      <c r="O133">
        <v>4382</v>
      </c>
      <c r="Q133" t="s">
        <v>4290</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row>
    <row r="134" spans="1:40" x14ac:dyDescent="0.25">
      <c r="A134" t="s">
        <v>4291</v>
      </c>
      <c r="B134" t="s">
        <v>4292</v>
      </c>
      <c r="F134" t="s">
        <v>4293</v>
      </c>
      <c r="G134">
        <v>2016</v>
      </c>
      <c r="H134">
        <v>2016</v>
      </c>
      <c r="I134">
        <v>30</v>
      </c>
      <c r="J134">
        <v>4</v>
      </c>
      <c r="N134">
        <v>297</v>
      </c>
      <c r="O134">
        <v>317</v>
      </c>
      <c r="Q134" t="s">
        <v>4294</v>
      </c>
      <c r="T134">
        <v>0</v>
      </c>
      <c r="U134">
        <v>0</v>
      </c>
      <c r="V134">
        <v>0</v>
      </c>
      <c r="W134">
        <v>0</v>
      </c>
      <c r="X134">
        <v>0</v>
      </c>
      <c r="Y134">
        <v>0</v>
      </c>
      <c r="Z134">
        <v>0</v>
      </c>
      <c r="AA134">
        <v>0</v>
      </c>
      <c r="AB134">
        <v>0</v>
      </c>
      <c r="AC134">
        <v>0</v>
      </c>
      <c r="AD134">
        <v>0</v>
      </c>
      <c r="AE134">
        <v>0</v>
      </c>
      <c r="AF134">
        <v>0</v>
      </c>
      <c r="AG134">
        <v>0</v>
      </c>
      <c r="AH134">
        <v>0</v>
      </c>
      <c r="AI134">
        <v>0</v>
      </c>
      <c r="AJ134">
        <v>0</v>
      </c>
      <c r="AK134">
        <v>0</v>
      </c>
      <c r="AL134">
        <v>0</v>
      </c>
      <c r="AM134">
        <v>0</v>
      </c>
      <c r="AN134">
        <v>0</v>
      </c>
    </row>
    <row r="135" spans="1:40" x14ac:dyDescent="0.25">
      <c r="A135" t="s">
        <v>1425</v>
      </c>
      <c r="B135" t="s">
        <v>1426</v>
      </c>
      <c r="F135" t="s">
        <v>310</v>
      </c>
      <c r="G135" t="s">
        <v>3463</v>
      </c>
      <c r="H135">
        <v>2015</v>
      </c>
      <c r="I135">
        <v>9</v>
      </c>
      <c r="J135">
        <v>5</v>
      </c>
      <c r="M135" t="s">
        <v>1948</v>
      </c>
      <c r="N135">
        <v>627</v>
      </c>
      <c r="O135">
        <v>628</v>
      </c>
      <c r="Q135" t="s">
        <v>4295</v>
      </c>
      <c r="T135">
        <v>0</v>
      </c>
      <c r="U135">
        <v>0</v>
      </c>
      <c r="V135">
        <v>0</v>
      </c>
      <c r="W135">
        <v>0</v>
      </c>
      <c r="X135">
        <v>0</v>
      </c>
      <c r="Y135">
        <v>0</v>
      </c>
      <c r="Z135">
        <v>0</v>
      </c>
      <c r="AA135">
        <v>0</v>
      </c>
      <c r="AB135">
        <v>0</v>
      </c>
      <c r="AC135">
        <v>0</v>
      </c>
      <c r="AD135">
        <v>0</v>
      </c>
      <c r="AE135">
        <v>0</v>
      </c>
      <c r="AF135">
        <v>0</v>
      </c>
      <c r="AG135">
        <v>0</v>
      </c>
      <c r="AH135">
        <v>0</v>
      </c>
      <c r="AI135">
        <v>0</v>
      </c>
      <c r="AJ135">
        <v>0</v>
      </c>
      <c r="AK135">
        <v>0</v>
      </c>
      <c r="AL135">
        <v>0</v>
      </c>
      <c r="AM135">
        <v>0</v>
      </c>
      <c r="AN135">
        <v>0</v>
      </c>
    </row>
    <row r="136" spans="1:40" x14ac:dyDescent="0.25">
      <c r="A136" t="s">
        <v>4296</v>
      </c>
      <c r="B136" t="s">
        <v>4297</v>
      </c>
      <c r="F136" t="s">
        <v>316</v>
      </c>
      <c r="G136" t="s">
        <v>2561</v>
      </c>
      <c r="H136">
        <v>2015</v>
      </c>
      <c r="I136">
        <v>9</v>
      </c>
      <c r="J136">
        <v>9</v>
      </c>
      <c r="N136">
        <v>758</v>
      </c>
      <c r="O136">
        <v>769</v>
      </c>
      <c r="Q136" t="s">
        <v>4298</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row>
    <row r="137" spans="1:40" x14ac:dyDescent="0.25">
      <c r="A137" t="s">
        <v>4299</v>
      </c>
      <c r="B137" t="s">
        <v>4300</v>
      </c>
      <c r="F137" t="s">
        <v>339</v>
      </c>
      <c r="G137" t="s">
        <v>2561</v>
      </c>
      <c r="H137">
        <v>2015</v>
      </c>
      <c r="I137">
        <v>53</v>
      </c>
      <c r="J137">
        <v>1</v>
      </c>
      <c r="N137">
        <v>112</v>
      </c>
      <c r="O137">
        <v>129</v>
      </c>
      <c r="Q137" t="s">
        <v>4301</v>
      </c>
      <c r="T137">
        <v>0</v>
      </c>
      <c r="U137">
        <v>0</v>
      </c>
      <c r="V137">
        <v>0</v>
      </c>
      <c r="W137">
        <v>0</v>
      </c>
      <c r="X137">
        <v>0</v>
      </c>
      <c r="Y137">
        <v>0</v>
      </c>
      <c r="Z137">
        <v>0</v>
      </c>
      <c r="AA137">
        <v>0</v>
      </c>
      <c r="AB137">
        <v>0</v>
      </c>
      <c r="AC137">
        <v>0</v>
      </c>
      <c r="AD137">
        <v>0</v>
      </c>
      <c r="AE137">
        <v>0</v>
      </c>
      <c r="AF137">
        <v>0</v>
      </c>
      <c r="AG137">
        <v>0</v>
      </c>
      <c r="AH137">
        <v>0</v>
      </c>
      <c r="AI137">
        <v>0</v>
      </c>
      <c r="AJ137">
        <v>0</v>
      </c>
      <c r="AK137">
        <v>0</v>
      </c>
      <c r="AL137">
        <v>0</v>
      </c>
      <c r="AM137">
        <v>0</v>
      </c>
      <c r="AN137">
        <v>0</v>
      </c>
    </row>
    <row r="138" spans="1:40" x14ac:dyDescent="0.25">
      <c r="A138" t="s">
        <v>4302</v>
      </c>
      <c r="B138" t="s">
        <v>4303</v>
      </c>
      <c r="F138" t="s">
        <v>4304</v>
      </c>
      <c r="G138" t="s">
        <v>4305</v>
      </c>
      <c r="H138">
        <v>2015</v>
      </c>
      <c r="I138">
        <v>32</v>
      </c>
      <c r="J138" t="s">
        <v>2396</v>
      </c>
      <c r="N138">
        <v>245</v>
      </c>
      <c r="O138">
        <v>264</v>
      </c>
      <c r="Q138" t="s">
        <v>4306</v>
      </c>
      <c r="T138">
        <v>0</v>
      </c>
      <c r="U138">
        <v>0</v>
      </c>
      <c r="V138">
        <v>0</v>
      </c>
      <c r="W138">
        <v>0</v>
      </c>
      <c r="X138">
        <v>0</v>
      </c>
      <c r="Y138">
        <v>0</v>
      </c>
      <c r="Z138">
        <v>0</v>
      </c>
      <c r="AA138">
        <v>0</v>
      </c>
      <c r="AB138">
        <v>0</v>
      </c>
      <c r="AC138">
        <v>0</v>
      </c>
      <c r="AD138">
        <v>0</v>
      </c>
      <c r="AE138">
        <v>0</v>
      </c>
      <c r="AF138">
        <v>0</v>
      </c>
      <c r="AG138">
        <v>0</v>
      </c>
      <c r="AH138">
        <v>0</v>
      </c>
      <c r="AI138">
        <v>0</v>
      </c>
      <c r="AJ138">
        <v>0</v>
      </c>
      <c r="AK138">
        <v>0</v>
      </c>
      <c r="AL138">
        <v>0</v>
      </c>
      <c r="AM138">
        <v>0</v>
      </c>
      <c r="AN138">
        <v>0</v>
      </c>
    </row>
    <row r="139" spans="1:40" x14ac:dyDescent="0.25">
      <c r="A139" t="s">
        <v>4307</v>
      </c>
      <c r="B139" t="s">
        <v>4308</v>
      </c>
      <c r="F139" t="s">
        <v>4208</v>
      </c>
      <c r="G139" t="s">
        <v>3071</v>
      </c>
      <c r="H139">
        <v>2015</v>
      </c>
      <c r="I139">
        <v>29</v>
      </c>
      <c r="J139">
        <v>1</v>
      </c>
      <c r="N139">
        <v>95</v>
      </c>
      <c r="O139">
        <v>99</v>
      </c>
      <c r="Q139" t="s">
        <v>4309</v>
      </c>
      <c r="T139">
        <v>0</v>
      </c>
      <c r="U139">
        <v>0</v>
      </c>
      <c r="V139">
        <v>0</v>
      </c>
      <c r="W139">
        <v>0</v>
      </c>
      <c r="X139">
        <v>0</v>
      </c>
      <c r="Y139">
        <v>0</v>
      </c>
      <c r="Z139">
        <v>0</v>
      </c>
      <c r="AA139">
        <v>0</v>
      </c>
      <c r="AB139">
        <v>0</v>
      </c>
      <c r="AC139">
        <v>0</v>
      </c>
      <c r="AD139">
        <v>0</v>
      </c>
      <c r="AE139">
        <v>0</v>
      </c>
      <c r="AF139">
        <v>0</v>
      </c>
      <c r="AG139">
        <v>0</v>
      </c>
      <c r="AH139">
        <v>0</v>
      </c>
      <c r="AI139">
        <v>0</v>
      </c>
      <c r="AJ139">
        <v>0</v>
      </c>
      <c r="AK139">
        <v>0</v>
      </c>
      <c r="AL139">
        <v>0</v>
      </c>
      <c r="AM139">
        <v>0</v>
      </c>
      <c r="AN139">
        <v>0</v>
      </c>
    </row>
    <row r="140" spans="1:40" x14ac:dyDescent="0.25">
      <c r="A140" t="s">
        <v>4310</v>
      </c>
      <c r="B140" t="s">
        <v>4311</v>
      </c>
      <c r="F140" t="s">
        <v>302</v>
      </c>
      <c r="G140" t="s">
        <v>2831</v>
      </c>
      <c r="H140">
        <v>2014</v>
      </c>
      <c r="I140">
        <v>32</v>
      </c>
      <c r="J140">
        <v>12</v>
      </c>
      <c r="N140">
        <v>1055</v>
      </c>
      <c r="O140">
        <v>1066</v>
      </c>
      <c r="Q140" t="s">
        <v>4312</v>
      </c>
      <c r="T140">
        <v>0</v>
      </c>
      <c r="U140">
        <v>0</v>
      </c>
      <c r="V140">
        <v>0</v>
      </c>
      <c r="W140">
        <v>0</v>
      </c>
      <c r="X140">
        <v>0</v>
      </c>
      <c r="Y140">
        <v>0</v>
      </c>
      <c r="Z140">
        <v>0</v>
      </c>
      <c r="AA140">
        <v>0</v>
      </c>
      <c r="AB140">
        <v>0</v>
      </c>
      <c r="AC140">
        <v>0</v>
      </c>
      <c r="AD140">
        <v>0</v>
      </c>
      <c r="AE140">
        <v>0</v>
      </c>
      <c r="AF140">
        <v>0</v>
      </c>
      <c r="AG140">
        <v>0</v>
      </c>
      <c r="AH140">
        <v>0</v>
      </c>
      <c r="AI140">
        <v>0</v>
      </c>
      <c r="AJ140">
        <v>0</v>
      </c>
      <c r="AK140">
        <v>0</v>
      </c>
      <c r="AL140">
        <v>0</v>
      </c>
      <c r="AM140">
        <v>0</v>
      </c>
      <c r="AN140">
        <v>0</v>
      </c>
    </row>
    <row r="141" spans="1:40" x14ac:dyDescent="0.25">
      <c r="A141" t="s">
        <v>4313</v>
      </c>
      <c r="B141" t="s">
        <v>4314</v>
      </c>
      <c r="F141" t="s">
        <v>333</v>
      </c>
      <c r="G141" t="s">
        <v>2750</v>
      </c>
      <c r="H141">
        <v>2014</v>
      </c>
      <c r="I141">
        <v>28</v>
      </c>
      <c r="J141">
        <v>7</v>
      </c>
      <c r="M141" t="s">
        <v>1948</v>
      </c>
      <c r="P141">
        <v>1460008</v>
      </c>
      <c r="Q141" t="s">
        <v>4315</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row>
    <row r="142" spans="1:40" x14ac:dyDescent="0.25">
      <c r="A142" t="s">
        <v>4316</v>
      </c>
      <c r="B142" t="s">
        <v>4317</v>
      </c>
      <c r="F142" t="s">
        <v>305</v>
      </c>
      <c r="G142" t="s">
        <v>2521</v>
      </c>
      <c r="H142">
        <v>2014</v>
      </c>
      <c r="I142">
        <v>48</v>
      </c>
      <c r="N142">
        <v>42</v>
      </c>
      <c r="O142">
        <v>48</v>
      </c>
      <c r="Q142" t="s">
        <v>4318</v>
      </c>
      <c r="T142">
        <v>0</v>
      </c>
      <c r="U142">
        <v>0</v>
      </c>
      <c r="V142">
        <v>0</v>
      </c>
      <c r="W142">
        <v>0</v>
      </c>
      <c r="X142">
        <v>0</v>
      </c>
      <c r="Y142">
        <v>0</v>
      </c>
      <c r="Z142">
        <v>0</v>
      </c>
      <c r="AA142">
        <v>0</v>
      </c>
      <c r="AB142">
        <v>0</v>
      </c>
      <c r="AC142">
        <v>0</v>
      </c>
      <c r="AD142">
        <v>0</v>
      </c>
      <c r="AE142">
        <v>0</v>
      </c>
      <c r="AF142">
        <v>0</v>
      </c>
      <c r="AG142">
        <v>0</v>
      </c>
      <c r="AH142">
        <v>0</v>
      </c>
      <c r="AI142">
        <v>0</v>
      </c>
      <c r="AJ142">
        <v>0</v>
      </c>
      <c r="AK142">
        <v>0</v>
      </c>
      <c r="AL142">
        <v>0</v>
      </c>
      <c r="AM142">
        <v>0</v>
      </c>
      <c r="AN142">
        <v>0</v>
      </c>
    </row>
    <row r="143" spans="1:40" x14ac:dyDescent="0.25">
      <c r="A143" t="s">
        <v>4319</v>
      </c>
      <c r="B143" t="s">
        <v>4320</v>
      </c>
      <c r="F143" t="s">
        <v>339</v>
      </c>
      <c r="G143" t="s">
        <v>3334</v>
      </c>
      <c r="H143">
        <v>2014</v>
      </c>
      <c r="I143">
        <v>49</v>
      </c>
      <c r="J143">
        <v>3</v>
      </c>
      <c r="N143">
        <v>633</v>
      </c>
      <c r="O143">
        <v>651</v>
      </c>
      <c r="Q143" t="s">
        <v>4321</v>
      </c>
      <c r="T143">
        <v>0</v>
      </c>
      <c r="U143">
        <v>0</v>
      </c>
      <c r="V143">
        <v>0</v>
      </c>
      <c r="W143">
        <v>0</v>
      </c>
      <c r="X143">
        <v>0</v>
      </c>
      <c r="Y143">
        <v>0</v>
      </c>
      <c r="Z143">
        <v>0</v>
      </c>
      <c r="AA143">
        <v>0</v>
      </c>
      <c r="AB143">
        <v>0</v>
      </c>
      <c r="AC143">
        <v>0</v>
      </c>
      <c r="AD143">
        <v>0</v>
      </c>
      <c r="AE143">
        <v>0</v>
      </c>
      <c r="AF143">
        <v>0</v>
      </c>
      <c r="AG143">
        <v>0</v>
      </c>
      <c r="AH143">
        <v>0</v>
      </c>
      <c r="AI143">
        <v>0</v>
      </c>
      <c r="AJ143">
        <v>0</v>
      </c>
      <c r="AK143">
        <v>0</v>
      </c>
      <c r="AL143">
        <v>0</v>
      </c>
      <c r="AM143">
        <v>0</v>
      </c>
      <c r="AN143">
        <v>0</v>
      </c>
    </row>
    <row r="144" spans="1:40" x14ac:dyDescent="0.25">
      <c r="A144" t="s">
        <v>4322</v>
      </c>
      <c r="B144" t="s">
        <v>4323</v>
      </c>
      <c r="F144" t="s">
        <v>306</v>
      </c>
      <c r="G144" t="s">
        <v>3301</v>
      </c>
      <c r="H144">
        <v>2013</v>
      </c>
      <c r="I144">
        <v>120</v>
      </c>
      <c r="M144" t="s">
        <v>1948</v>
      </c>
      <c r="N144">
        <v>192</v>
      </c>
      <c r="O144">
        <v>202</v>
      </c>
      <c r="Q144" t="s">
        <v>4324</v>
      </c>
      <c r="T144">
        <v>0</v>
      </c>
      <c r="U144">
        <v>0</v>
      </c>
      <c r="V144">
        <v>0</v>
      </c>
      <c r="W144">
        <v>0</v>
      </c>
      <c r="X144">
        <v>0</v>
      </c>
      <c r="Y144">
        <v>0</v>
      </c>
      <c r="Z144">
        <v>0</v>
      </c>
      <c r="AA144">
        <v>0</v>
      </c>
      <c r="AB144">
        <v>0</v>
      </c>
      <c r="AC144">
        <v>0</v>
      </c>
      <c r="AD144">
        <v>0</v>
      </c>
      <c r="AE144">
        <v>0</v>
      </c>
      <c r="AF144">
        <v>0</v>
      </c>
      <c r="AG144">
        <v>0</v>
      </c>
      <c r="AH144">
        <v>0</v>
      </c>
      <c r="AI144">
        <v>0</v>
      </c>
      <c r="AJ144">
        <v>0</v>
      </c>
      <c r="AK144">
        <v>0</v>
      </c>
      <c r="AL144">
        <v>0</v>
      </c>
      <c r="AM144">
        <v>0</v>
      </c>
      <c r="AN144">
        <v>0</v>
      </c>
    </row>
    <row r="145" spans="1:40" x14ac:dyDescent="0.25">
      <c r="A145" t="s">
        <v>4325</v>
      </c>
      <c r="B145" t="s">
        <v>4326</v>
      </c>
      <c r="F145" t="s">
        <v>4327</v>
      </c>
      <c r="G145" t="s">
        <v>3478</v>
      </c>
      <c r="H145">
        <v>2011</v>
      </c>
      <c r="I145">
        <v>13</v>
      </c>
      <c r="J145">
        <v>4</v>
      </c>
      <c r="N145">
        <v>302</v>
      </c>
      <c r="O145">
        <v>310</v>
      </c>
      <c r="T145">
        <v>0</v>
      </c>
      <c r="U145">
        <v>0</v>
      </c>
      <c r="V145">
        <v>0</v>
      </c>
      <c r="W145">
        <v>0</v>
      </c>
      <c r="X145">
        <v>0</v>
      </c>
      <c r="Y145">
        <v>0</v>
      </c>
      <c r="Z145">
        <v>0</v>
      </c>
      <c r="AA145">
        <v>0</v>
      </c>
      <c r="AB145">
        <v>0</v>
      </c>
      <c r="AC145">
        <v>0</v>
      </c>
      <c r="AD145">
        <v>0</v>
      </c>
      <c r="AE145">
        <v>0</v>
      </c>
      <c r="AF145">
        <v>0</v>
      </c>
      <c r="AG145">
        <v>0</v>
      </c>
      <c r="AH145">
        <v>0</v>
      </c>
      <c r="AI145">
        <v>0</v>
      </c>
      <c r="AJ145">
        <v>0</v>
      </c>
      <c r="AK145">
        <v>0</v>
      </c>
      <c r="AL145">
        <v>0</v>
      </c>
      <c r="AM145">
        <v>0</v>
      </c>
      <c r="AN145">
        <v>0</v>
      </c>
    </row>
    <row r="146" spans="1:40" x14ac:dyDescent="0.25">
      <c r="A146" t="s">
        <v>4328</v>
      </c>
      <c r="B146" t="s">
        <v>4329</v>
      </c>
      <c r="F146" t="s">
        <v>330</v>
      </c>
      <c r="G146" t="s">
        <v>2426</v>
      </c>
      <c r="H146">
        <v>2011</v>
      </c>
      <c r="I146">
        <v>7</v>
      </c>
      <c r="J146" t="s">
        <v>4330</v>
      </c>
      <c r="M146" t="s">
        <v>1948</v>
      </c>
      <c r="N146">
        <v>2847</v>
      </c>
      <c r="O146">
        <v>2859</v>
      </c>
      <c r="R146" t="s">
        <v>4331</v>
      </c>
      <c r="S146" t="s">
        <v>4332</v>
      </c>
      <c r="T146">
        <v>0</v>
      </c>
      <c r="U146">
        <v>0</v>
      </c>
      <c r="V146">
        <v>0</v>
      </c>
      <c r="W146">
        <v>0</v>
      </c>
      <c r="X146">
        <v>0</v>
      </c>
      <c r="Y146">
        <v>0</v>
      </c>
      <c r="Z146">
        <v>0</v>
      </c>
      <c r="AA146">
        <v>0</v>
      </c>
      <c r="AB146">
        <v>0</v>
      </c>
      <c r="AC146">
        <v>0</v>
      </c>
      <c r="AD146">
        <v>0</v>
      </c>
      <c r="AE146">
        <v>0</v>
      </c>
      <c r="AF146">
        <v>0</v>
      </c>
      <c r="AG146">
        <v>0</v>
      </c>
      <c r="AH146">
        <v>0</v>
      </c>
      <c r="AI146">
        <v>0</v>
      </c>
      <c r="AJ146">
        <v>0</v>
      </c>
      <c r="AK146">
        <v>0</v>
      </c>
      <c r="AL146">
        <v>0</v>
      </c>
      <c r="AM146">
        <v>0</v>
      </c>
      <c r="AN146">
        <v>0</v>
      </c>
    </row>
    <row r="147" spans="1:40" x14ac:dyDescent="0.25">
      <c r="A147" t="s">
        <v>4333</v>
      </c>
      <c r="B147" t="s">
        <v>4334</v>
      </c>
      <c r="F147" t="s">
        <v>315</v>
      </c>
      <c r="G147" t="s">
        <v>2426</v>
      </c>
      <c r="H147">
        <v>2011</v>
      </c>
      <c r="I147">
        <v>22</v>
      </c>
      <c r="J147">
        <v>3</v>
      </c>
      <c r="N147">
        <v>495</v>
      </c>
      <c r="O147">
        <v>504</v>
      </c>
      <c r="Q147" t="s">
        <v>4335</v>
      </c>
      <c r="T147">
        <v>0</v>
      </c>
      <c r="U147">
        <v>0</v>
      </c>
      <c r="V147">
        <v>0</v>
      </c>
      <c r="W147">
        <v>0</v>
      </c>
      <c r="X147">
        <v>0</v>
      </c>
      <c r="Y147">
        <v>0</v>
      </c>
      <c r="Z147">
        <v>0</v>
      </c>
      <c r="AA147">
        <v>0</v>
      </c>
      <c r="AB147">
        <v>0</v>
      </c>
      <c r="AC147">
        <v>0</v>
      </c>
      <c r="AD147">
        <v>0</v>
      </c>
      <c r="AE147">
        <v>0</v>
      </c>
      <c r="AF147">
        <v>0</v>
      </c>
      <c r="AG147">
        <v>0</v>
      </c>
      <c r="AH147">
        <v>0</v>
      </c>
      <c r="AI147">
        <v>0</v>
      </c>
      <c r="AJ147">
        <v>0</v>
      </c>
      <c r="AK147">
        <v>0</v>
      </c>
      <c r="AL147">
        <v>0</v>
      </c>
      <c r="AM147">
        <v>0</v>
      </c>
      <c r="AN147">
        <v>0</v>
      </c>
    </row>
    <row r="148" spans="1:40" x14ac:dyDescent="0.25">
      <c r="A148" t="s">
        <v>4336</v>
      </c>
      <c r="B148" t="s">
        <v>4337</v>
      </c>
      <c r="F148" t="s">
        <v>4338</v>
      </c>
      <c r="G148" t="s">
        <v>3378</v>
      </c>
      <c r="H148">
        <v>2011</v>
      </c>
      <c r="I148">
        <v>28</v>
      </c>
      <c r="J148">
        <v>1</v>
      </c>
      <c r="N148">
        <v>70</v>
      </c>
      <c r="O148">
        <v>96</v>
      </c>
      <c r="Q148" t="s">
        <v>4339</v>
      </c>
      <c r="T148">
        <v>0</v>
      </c>
      <c r="U148">
        <v>0</v>
      </c>
      <c r="V148">
        <v>0</v>
      </c>
      <c r="W148">
        <v>0</v>
      </c>
      <c r="X148">
        <v>0</v>
      </c>
      <c r="Y148">
        <v>0</v>
      </c>
      <c r="Z148">
        <v>0</v>
      </c>
      <c r="AA148">
        <v>0</v>
      </c>
      <c r="AB148">
        <v>0</v>
      </c>
      <c r="AC148">
        <v>0</v>
      </c>
      <c r="AD148">
        <v>0</v>
      </c>
      <c r="AE148">
        <v>0</v>
      </c>
      <c r="AF148">
        <v>0</v>
      </c>
      <c r="AG148">
        <v>0</v>
      </c>
      <c r="AH148">
        <v>0</v>
      </c>
      <c r="AI148">
        <v>0</v>
      </c>
      <c r="AJ148">
        <v>0</v>
      </c>
      <c r="AK148">
        <v>0</v>
      </c>
      <c r="AL148">
        <v>0</v>
      </c>
      <c r="AM148">
        <v>0</v>
      </c>
      <c r="AN148">
        <v>0</v>
      </c>
    </row>
    <row r="149" spans="1:40" x14ac:dyDescent="0.25">
      <c r="A149" t="s">
        <v>4340</v>
      </c>
      <c r="B149" t="s">
        <v>4341</v>
      </c>
      <c r="F149" t="s">
        <v>4342</v>
      </c>
      <c r="G149" t="s">
        <v>2404</v>
      </c>
      <c r="H149">
        <v>2010</v>
      </c>
      <c r="I149">
        <v>20</v>
      </c>
      <c r="J149">
        <v>8</v>
      </c>
      <c r="N149">
        <v>1077</v>
      </c>
      <c r="O149">
        <v>1095</v>
      </c>
      <c r="Q149" t="s">
        <v>4343</v>
      </c>
      <c r="R149" t="s">
        <v>4344</v>
      </c>
      <c r="S149" t="s">
        <v>4345</v>
      </c>
      <c r="T149">
        <v>0</v>
      </c>
      <c r="U149">
        <v>0</v>
      </c>
      <c r="V149">
        <v>0</v>
      </c>
      <c r="W149">
        <v>0</v>
      </c>
      <c r="X149">
        <v>0</v>
      </c>
      <c r="Y149">
        <v>0</v>
      </c>
      <c r="Z149">
        <v>0</v>
      </c>
      <c r="AA149">
        <v>0</v>
      </c>
      <c r="AB149">
        <v>0</v>
      </c>
      <c r="AC149">
        <v>0</v>
      </c>
      <c r="AD149">
        <v>0</v>
      </c>
      <c r="AE149">
        <v>0</v>
      </c>
      <c r="AF149">
        <v>0</v>
      </c>
      <c r="AG149">
        <v>0</v>
      </c>
      <c r="AH149">
        <v>0</v>
      </c>
      <c r="AI149">
        <v>0</v>
      </c>
      <c r="AJ149">
        <v>0</v>
      </c>
      <c r="AK149">
        <v>0</v>
      </c>
      <c r="AL149">
        <v>0</v>
      </c>
      <c r="AM149">
        <v>0</v>
      </c>
      <c r="AN149">
        <v>0</v>
      </c>
    </row>
    <row r="150" spans="1:40" x14ac:dyDescent="0.25">
      <c r="A150" t="s">
        <v>4346</v>
      </c>
      <c r="B150" t="s">
        <v>4347</v>
      </c>
      <c r="F150" t="s">
        <v>333</v>
      </c>
      <c r="G150" t="s">
        <v>3542</v>
      </c>
      <c r="H150">
        <v>2009</v>
      </c>
      <c r="I150">
        <v>23</v>
      </c>
      <c r="J150">
        <v>7</v>
      </c>
      <c r="N150">
        <v>1285</v>
      </c>
      <c r="O150">
        <v>1307</v>
      </c>
      <c r="Q150" t="s">
        <v>4348</v>
      </c>
      <c r="T150">
        <v>0</v>
      </c>
      <c r="U150">
        <v>0</v>
      </c>
      <c r="V150">
        <v>0</v>
      </c>
      <c r="W150">
        <v>0</v>
      </c>
      <c r="X150">
        <v>0</v>
      </c>
      <c r="Y150">
        <v>0</v>
      </c>
      <c r="Z150">
        <v>0</v>
      </c>
      <c r="AA150">
        <v>0</v>
      </c>
      <c r="AB150">
        <v>0</v>
      </c>
      <c r="AC150">
        <v>0</v>
      </c>
      <c r="AD150">
        <v>0</v>
      </c>
      <c r="AE150">
        <v>0</v>
      </c>
      <c r="AF150">
        <v>0</v>
      </c>
      <c r="AG150">
        <v>0</v>
      </c>
      <c r="AH150">
        <v>0</v>
      </c>
      <c r="AI150">
        <v>0</v>
      </c>
      <c r="AJ150">
        <v>0</v>
      </c>
      <c r="AK150">
        <v>0</v>
      </c>
      <c r="AL150">
        <v>0</v>
      </c>
      <c r="AM150">
        <v>0</v>
      </c>
      <c r="AN150">
        <v>0</v>
      </c>
    </row>
    <row r="151" spans="1:40" x14ac:dyDescent="0.25">
      <c r="A151" t="s">
        <v>4349</v>
      </c>
      <c r="B151" t="s">
        <v>4350</v>
      </c>
      <c r="F151" t="s">
        <v>301</v>
      </c>
      <c r="G151" t="s">
        <v>3838</v>
      </c>
      <c r="H151">
        <v>2009</v>
      </c>
      <c r="I151">
        <v>9</v>
      </c>
      <c r="J151">
        <v>2</v>
      </c>
      <c r="N151">
        <v>695</v>
      </c>
      <c r="O151">
        <v>702</v>
      </c>
      <c r="Q151" t="s">
        <v>4351</v>
      </c>
      <c r="T151">
        <v>0</v>
      </c>
      <c r="U151">
        <v>0</v>
      </c>
      <c r="V151">
        <v>0</v>
      </c>
      <c r="W151">
        <v>0</v>
      </c>
      <c r="X151">
        <v>0</v>
      </c>
      <c r="Y151">
        <v>0</v>
      </c>
      <c r="Z151">
        <v>0</v>
      </c>
      <c r="AA151">
        <v>0</v>
      </c>
      <c r="AB151">
        <v>0</v>
      </c>
      <c r="AC151">
        <v>0</v>
      </c>
      <c r="AD151">
        <v>0</v>
      </c>
      <c r="AE151">
        <v>0</v>
      </c>
      <c r="AF151">
        <v>0</v>
      </c>
      <c r="AG151">
        <v>0</v>
      </c>
      <c r="AH151">
        <v>0</v>
      </c>
      <c r="AI151">
        <v>0</v>
      </c>
      <c r="AJ151">
        <v>0</v>
      </c>
      <c r="AK151">
        <v>0</v>
      </c>
      <c r="AL151">
        <v>0</v>
      </c>
      <c r="AM151">
        <v>0</v>
      </c>
      <c r="AN151">
        <v>0</v>
      </c>
    </row>
    <row r="152" spans="1:40" x14ac:dyDescent="0.25">
      <c r="A152" t="s">
        <v>4352</v>
      </c>
      <c r="B152" t="s">
        <v>4353</v>
      </c>
      <c r="F152" t="s">
        <v>305</v>
      </c>
      <c r="G152" t="s">
        <v>4354</v>
      </c>
      <c r="H152">
        <v>2007</v>
      </c>
      <c r="I152">
        <v>28</v>
      </c>
      <c r="J152">
        <v>6</v>
      </c>
      <c r="N152">
        <v>686</v>
      </c>
      <c r="O152">
        <v>694</v>
      </c>
      <c r="Q152" t="s">
        <v>4355</v>
      </c>
      <c r="T152">
        <v>0</v>
      </c>
      <c r="U152">
        <v>0</v>
      </c>
      <c r="V152">
        <v>0</v>
      </c>
      <c r="W152">
        <v>0</v>
      </c>
      <c r="X152">
        <v>0</v>
      </c>
      <c r="Y152">
        <v>0</v>
      </c>
      <c r="Z152">
        <v>0</v>
      </c>
      <c r="AA152">
        <v>0</v>
      </c>
      <c r="AB152">
        <v>0</v>
      </c>
      <c r="AC152">
        <v>0</v>
      </c>
      <c r="AD152">
        <v>0</v>
      </c>
      <c r="AE152">
        <v>0</v>
      </c>
      <c r="AF152">
        <v>0</v>
      </c>
      <c r="AG152">
        <v>0</v>
      </c>
      <c r="AH152">
        <v>0</v>
      </c>
      <c r="AI152">
        <v>0</v>
      </c>
      <c r="AJ152">
        <v>0</v>
      </c>
      <c r="AK152">
        <v>0</v>
      </c>
      <c r="AL152">
        <v>0</v>
      </c>
      <c r="AM152">
        <v>0</v>
      </c>
      <c r="AN152">
        <v>0</v>
      </c>
    </row>
    <row r="153" spans="1:40" x14ac:dyDescent="0.25">
      <c r="A153" t="s">
        <v>4356</v>
      </c>
      <c r="B153" t="s">
        <v>4357</v>
      </c>
      <c r="F153" t="s">
        <v>298</v>
      </c>
      <c r="G153" t="s">
        <v>2400</v>
      </c>
      <c r="H153">
        <v>2007</v>
      </c>
      <c r="I153">
        <v>105</v>
      </c>
      <c r="J153">
        <v>3</v>
      </c>
      <c r="N153">
        <v>200</v>
      </c>
      <c r="O153">
        <v>217</v>
      </c>
      <c r="Q153" t="s">
        <v>4358</v>
      </c>
      <c r="T153">
        <v>0</v>
      </c>
      <c r="U153">
        <v>0</v>
      </c>
      <c r="V153">
        <v>0</v>
      </c>
      <c r="W153">
        <v>0</v>
      </c>
      <c r="X153">
        <v>0</v>
      </c>
      <c r="Y153">
        <v>0</v>
      </c>
      <c r="Z153">
        <v>0</v>
      </c>
      <c r="AA153">
        <v>0</v>
      </c>
      <c r="AB153">
        <v>0</v>
      </c>
      <c r="AC153">
        <v>0</v>
      </c>
      <c r="AD153">
        <v>0</v>
      </c>
      <c r="AE153">
        <v>0</v>
      </c>
      <c r="AF153">
        <v>0</v>
      </c>
      <c r="AG153">
        <v>0</v>
      </c>
      <c r="AH153">
        <v>0</v>
      </c>
      <c r="AI153">
        <v>0</v>
      </c>
      <c r="AJ153">
        <v>0</v>
      </c>
      <c r="AK153">
        <v>0</v>
      </c>
      <c r="AL153">
        <v>0</v>
      </c>
      <c r="AM153">
        <v>0</v>
      </c>
      <c r="AN153">
        <v>0</v>
      </c>
    </row>
    <row r="154" spans="1:40" x14ac:dyDescent="0.25">
      <c r="A154" t="s">
        <v>4359</v>
      </c>
      <c r="B154" t="s">
        <v>4360</v>
      </c>
      <c r="E154" t="s">
        <v>4361</v>
      </c>
      <c r="F154" t="s">
        <v>4362</v>
      </c>
      <c r="G154">
        <v>2006</v>
      </c>
      <c r="H154">
        <v>2006</v>
      </c>
      <c r="I154">
        <v>4179</v>
      </c>
      <c r="N154">
        <v>1088</v>
      </c>
      <c r="O154">
        <v>1098</v>
      </c>
      <c r="R154" t="s">
        <v>4363</v>
      </c>
      <c r="S154" t="s">
        <v>4364</v>
      </c>
      <c r="T154">
        <v>0</v>
      </c>
      <c r="U154">
        <v>0</v>
      </c>
      <c r="V154">
        <v>0</v>
      </c>
      <c r="W154">
        <v>0</v>
      </c>
      <c r="X154">
        <v>0</v>
      </c>
      <c r="Y154">
        <v>0</v>
      </c>
      <c r="Z154">
        <v>0</v>
      </c>
      <c r="AA154">
        <v>0</v>
      </c>
      <c r="AB154">
        <v>0</v>
      </c>
      <c r="AC154">
        <v>0</v>
      </c>
      <c r="AD154">
        <v>0</v>
      </c>
      <c r="AE154">
        <v>0</v>
      </c>
      <c r="AF154">
        <v>0</v>
      </c>
      <c r="AG154">
        <v>0</v>
      </c>
      <c r="AH154">
        <v>0</v>
      </c>
      <c r="AI154">
        <v>0</v>
      </c>
      <c r="AJ154">
        <v>0</v>
      </c>
      <c r="AK154">
        <v>0</v>
      </c>
      <c r="AL154">
        <v>0</v>
      </c>
      <c r="AM154">
        <v>0</v>
      </c>
      <c r="AN154">
        <v>0</v>
      </c>
    </row>
    <row r="155" spans="1:40" x14ac:dyDescent="0.25">
      <c r="A155" t="s">
        <v>4365</v>
      </c>
      <c r="B155" t="s">
        <v>4366</v>
      </c>
      <c r="E155" t="s">
        <v>4367</v>
      </c>
      <c r="F155" t="s">
        <v>4368</v>
      </c>
      <c r="G155">
        <v>2006</v>
      </c>
      <c r="H155">
        <v>2006</v>
      </c>
      <c r="I155">
        <v>4153</v>
      </c>
      <c r="N155">
        <v>95</v>
      </c>
      <c r="O155">
        <v>104</v>
      </c>
      <c r="R155" t="s">
        <v>4369</v>
      </c>
      <c r="S155" t="s">
        <v>4370</v>
      </c>
      <c r="T155">
        <v>0</v>
      </c>
      <c r="U155">
        <v>0</v>
      </c>
      <c r="V155">
        <v>0</v>
      </c>
      <c r="W155">
        <v>0</v>
      </c>
      <c r="X155">
        <v>0</v>
      </c>
      <c r="Y155">
        <v>0</v>
      </c>
      <c r="Z155">
        <v>0</v>
      </c>
      <c r="AA155">
        <v>0</v>
      </c>
      <c r="AB155">
        <v>0</v>
      </c>
      <c r="AC155">
        <v>0</v>
      </c>
      <c r="AD155">
        <v>0</v>
      </c>
      <c r="AE155">
        <v>0</v>
      </c>
      <c r="AF155">
        <v>0</v>
      </c>
      <c r="AG155">
        <v>0</v>
      </c>
      <c r="AH155">
        <v>0</v>
      </c>
      <c r="AI155">
        <v>0</v>
      </c>
      <c r="AJ155">
        <v>0</v>
      </c>
      <c r="AK155">
        <v>0</v>
      </c>
      <c r="AL155">
        <v>0</v>
      </c>
      <c r="AM155">
        <v>0</v>
      </c>
      <c r="AN155">
        <v>0</v>
      </c>
    </row>
    <row r="156" spans="1:40" x14ac:dyDescent="0.25">
      <c r="A156" t="s">
        <v>4371</v>
      </c>
      <c r="B156" t="s">
        <v>4372</v>
      </c>
      <c r="E156" t="s">
        <v>4373</v>
      </c>
      <c r="F156" t="s">
        <v>4374</v>
      </c>
      <c r="G156">
        <v>2006</v>
      </c>
      <c r="H156">
        <v>2006</v>
      </c>
      <c r="I156">
        <v>4029</v>
      </c>
      <c r="N156">
        <v>804</v>
      </c>
      <c r="O156">
        <v>813</v>
      </c>
      <c r="R156" t="s">
        <v>4375</v>
      </c>
      <c r="S156" t="s">
        <v>4376</v>
      </c>
      <c r="T156">
        <v>0</v>
      </c>
      <c r="U156">
        <v>0</v>
      </c>
      <c r="V156">
        <v>0</v>
      </c>
      <c r="W156">
        <v>0</v>
      </c>
      <c r="X156">
        <v>0</v>
      </c>
      <c r="Y156">
        <v>0</v>
      </c>
      <c r="Z156">
        <v>0</v>
      </c>
      <c r="AA156">
        <v>0</v>
      </c>
      <c r="AB156">
        <v>0</v>
      </c>
      <c r="AC156">
        <v>0</v>
      </c>
      <c r="AD156">
        <v>0</v>
      </c>
      <c r="AE156">
        <v>0</v>
      </c>
      <c r="AF156">
        <v>0</v>
      </c>
      <c r="AG156">
        <v>0</v>
      </c>
      <c r="AH156">
        <v>0</v>
      </c>
      <c r="AI156">
        <v>0</v>
      </c>
      <c r="AJ156">
        <v>0</v>
      </c>
      <c r="AK156">
        <v>0</v>
      </c>
      <c r="AL156">
        <v>0</v>
      </c>
      <c r="AM156">
        <v>0</v>
      </c>
      <c r="AN156">
        <v>0</v>
      </c>
    </row>
    <row r="157" spans="1:40" x14ac:dyDescent="0.25">
      <c r="A157" t="s">
        <v>4377</v>
      </c>
      <c r="B157" t="s">
        <v>4378</v>
      </c>
      <c r="E157" t="s">
        <v>4379</v>
      </c>
      <c r="F157" t="s">
        <v>4380</v>
      </c>
      <c r="G157">
        <v>2006</v>
      </c>
      <c r="H157">
        <v>2006</v>
      </c>
      <c r="I157">
        <v>3951</v>
      </c>
      <c r="K157">
        <v>1</v>
      </c>
      <c r="N157">
        <v>121</v>
      </c>
      <c r="O157">
        <v>134</v>
      </c>
      <c r="R157" t="s">
        <v>2443</v>
      </c>
      <c r="S157" t="s">
        <v>2444</v>
      </c>
      <c r="T157">
        <v>0</v>
      </c>
      <c r="U157">
        <v>0</v>
      </c>
      <c r="V157">
        <v>0</v>
      </c>
      <c r="W157">
        <v>0</v>
      </c>
      <c r="X157">
        <v>0</v>
      </c>
      <c r="Y157">
        <v>0</v>
      </c>
      <c r="Z157">
        <v>0</v>
      </c>
      <c r="AA157">
        <v>0</v>
      </c>
      <c r="AB157">
        <v>0</v>
      </c>
      <c r="AC157">
        <v>0</v>
      </c>
      <c r="AD157">
        <v>0</v>
      </c>
      <c r="AE157">
        <v>0</v>
      </c>
      <c r="AF157">
        <v>0</v>
      </c>
      <c r="AG157">
        <v>0</v>
      </c>
      <c r="AH157">
        <v>0</v>
      </c>
      <c r="AI157">
        <v>0</v>
      </c>
      <c r="AJ157">
        <v>0</v>
      </c>
      <c r="AK157">
        <v>0</v>
      </c>
      <c r="AL157">
        <v>0</v>
      </c>
      <c r="AM157">
        <v>0</v>
      </c>
      <c r="AN157">
        <v>0</v>
      </c>
    </row>
    <row r="158" spans="1:40" x14ac:dyDescent="0.25">
      <c r="A158" t="s">
        <v>4381</v>
      </c>
      <c r="B158" t="s">
        <v>4382</v>
      </c>
      <c r="E158" t="s">
        <v>4383</v>
      </c>
      <c r="F158" t="s">
        <v>4384</v>
      </c>
      <c r="G158">
        <v>2006</v>
      </c>
      <c r="H158">
        <v>2006</v>
      </c>
      <c r="I158">
        <v>2955</v>
      </c>
      <c r="N158">
        <v>232</v>
      </c>
      <c r="O158">
        <v>239</v>
      </c>
      <c r="R158" t="s">
        <v>4385</v>
      </c>
      <c r="S158" t="s">
        <v>4386</v>
      </c>
      <c r="T158">
        <v>0</v>
      </c>
      <c r="U158">
        <v>0</v>
      </c>
      <c r="V158">
        <v>0</v>
      </c>
      <c r="W158">
        <v>0</v>
      </c>
      <c r="X158">
        <v>0</v>
      </c>
      <c r="Y158">
        <v>0</v>
      </c>
      <c r="Z158">
        <v>0</v>
      </c>
      <c r="AA158">
        <v>0</v>
      </c>
      <c r="AB158">
        <v>0</v>
      </c>
      <c r="AC158">
        <v>0</v>
      </c>
      <c r="AD158">
        <v>0</v>
      </c>
      <c r="AE158">
        <v>0</v>
      </c>
      <c r="AF158">
        <v>0</v>
      </c>
      <c r="AG158">
        <v>0</v>
      </c>
      <c r="AH158">
        <v>0</v>
      </c>
      <c r="AI158">
        <v>0</v>
      </c>
      <c r="AJ158">
        <v>0</v>
      </c>
      <c r="AK158">
        <v>0</v>
      </c>
      <c r="AL158">
        <v>0</v>
      </c>
      <c r="AM158">
        <v>0</v>
      </c>
      <c r="AN158">
        <v>0</v>
      </c>
    </row>
    <row r="159" spans="1:40" x14ac:dyDescent="0.25">
      <c r="A159" t="s">
        <v>4387</v>
      </c>
      <c r="B159" t="s">
        <v>4388</v>
      </c>
      <c r="E159" t="s">
        <v>4389</v>
      </c>
      <c r="F159" t="s">
        <v>4390</v>
      </c>
      <c r="G159">
        <v>2006</v>
      </c>
      <c r="H159">
        <v>2006</v>
      </c>
      <c r="I159">
        <v>4099</v>
      </c>
      <c r="N159">
        <v>1232</v>
      </c>
      <c r="O159">
        <v>1236</v>
      </c>
      <c r="R159" t="s">
        <v>4391</v>
      </c>
      <c r="S159" t="s">
        <v>4392</v>
      </c>
      <c r="T159">
        <v>0</v>
      </c>
      <c r="U159">
        <v>0</v>
      </c>
      <c r="V159">
        <v>0</v>
      </c>
      <c r="W159">
        <v>0</v>
      </c>
      <c r="X159">
        <v>0</v>
      </c>
      <c r="Y159">
        <v>0</v>
      </c>
      <c r="Z159">
        <v>0</v>
      </c>
      <c r="AA159">
        <v>0</v>
      </c>
      <c r="AB159">
        <v>0</v>
      </c>
      <c r="AC159">
        <v>0</v>
      </c>
      <c r="AD159">
        <v>0</v>
      </c>
      <c r="AE159">
        <v>0</v>
      </c>
      <c r="AF159">
        <v>0</v>
      </c>
      <c r="AG159">
        <v>0</v>
      </c>
      <c r="AH159">
        <v>0</v>
      </c>
      <c r="AI159">
        <v>0</v>
      </c>
      <c r="AJ159">
        <v>0</v>
      </c>
      <c r="AK159">
        <v>0</v>
      </c>
      <c r="AL159">
        <v>0</v>
      </c>
      <c r="AM159">
        <v>0</v>
      </c>
      <c r="AN159">
        <v>0</v>
      </c>
    </row>
    <row r="160" spans="1:40" x14ac:dyDescent="0.25">
      <c r="A160" t="s">
        <v>1572</v>
      </c>
      <c r="B160" t="s">
        <v>1574</v>
      </c>
      <c r="F160" t="s">
        <v>319</v>
      </c>
      <c r="G160" t="s">
        <v>4393</v>
      </c>
      <c r="H160">
        <v>2005</v>
      </c>
      <c r="I160">
        <v>41</v>
      </c>
      <c r="J160">
        <v>4</v>
      </c>
      <c r="N160">
        <v>245</v>
      </c>
      <c r="O160">
        <v>262</v>
      </c>
      <c r="Q160" t="s">
        <v>4394</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row>
    <row r="161" spans="1:40" x14ac:dyDescent="0.25">
      <c r="A161" t="s">
        <v>4395</v>
      </c>
      <c r="B161" t="s">
        <v>4396</v>
      </c>
      <c r="E161" t="s">
        <v>4397</v>
      </c>
      <c r="F161" t="s">
        <v>4398</v>
      </c>
      <c r="G161">
        <v>2005</v>
      </c>
      <c r="H161">
        <v>2005</v>
      </c>
      <c r="I161">
        <v>3587</v>
      </c>
      <c r="N161">
        <v>415</v>
      </c>
      <c r="O161">
        <v>425</v>
      </c>
      <c r="R161" t="s">
        <v>4399</v>
      </c>
      <c r="S161" t="s">
        <v>4400</v>
      </c>
      <c r="T161">
        <v>0</v>
      </c>
      <c r="U161">
        <v>0</v>
      </c>
      <c r="V161">
        <v>0</v>
      </c>
      <c r="W161">
        <v>0</v>
      </c>
      <c r="X161">
        <v>0</v>
      </c>
      <c r="Y161">
        <v>0</v>
      </c>
      <c r="Z161">
        <v>0</v>
      </c>
      <c r="AA161">
        <v>0</v>
      </c>
      <c r="AB161">
        <v>0</v>
      </c>
      <c r="AC161">
        <v>0</v>
      </c>
      <c r="AD161">
        <v>0</v>
      </c>
      <c r="AE161">
        <v>0</v>
      </c>
      <c r="AF161">
        <v>0</v>
      </c>
      <c r="AG161">
        <v>0</v>
      </c>
      <c r="AH161">
        <v>0</v>
      </c>
      <c r="AI161">
        <v>0</v>
      </c>
      <c r="AJ161">
        <v>0</v>
      </c>
      <c r="AK161">
        <v>0</v>
      </c>
      <c r="AL161">
        <v>0</v>
      </c>
      <c r="AM161">
        <v>0</v>
      </c>
      <c r="AN161">
        <v>0</v>
      </c>
    </row>
    <row r="162" spans="1:40" x14ac:dyDescent="0.25">
      <c r="A162" t="s">
        <v>4401</v>
      </c>
      <c r="B162" t="s">
        <v>4402</v>
      </c>
      <c r="E162" t="s">
        <v>4403</v>
      </c>
      <c r="F162" t="s">
        <v>4404</v>
      </c>
      <c r="G162">
        <v>2005</v>
      </c>
      <c r="H162">
        <v>2005</v>
      </c>
      <c r="I162">
        <v>3687</v>
      </c>
      <c r="N162">
        <v>268</v>
      </c>
      <c r="O162">
        <v>276</v>
      </c>
      <c r="R162" t="s">
        <v>4405</v>
      </c>
      <c r="S162" t="s">
        <v>4406</v>
      </c>
      <c r="T162">
        <v>0</v>
      </c>
      <c r="U162">
        <v>0</v>
      </c>
      <c r="V162">
        <v>0</v>
      </c>
      <c r="W162">
        <v>0</v>
      </c>
      <c r="X162">
        <v>0</v>
      </c>
      <c r="Y162">
        <v>0</v>
      </c>
      <c r="Z162">
        <v>0</v>
      </c>
      <c r="AA162">
        <v>0</v>
      </c>
      <c r="AB162">
        <v>0</v>
      </c>
      <c r="AC162">
        <v>0</v>
      </c>
      <c r="AD162">
        <v>0</v>
      </c>
      <c r="AE162">
        <v>0</v>
      </c>
      <c r="AF162">
        <v>0</v>
      </c>
      <c r="AG162">
        <v>0</v>
      </c>
      <c r="AH162">
        <v>0</v>
      </c>
      <c r="AI162">
        <v>0</v>
      </c>
      <c r="AJ162">
        <v>0</v>
      </c>
      <c r="AK162">
        <v>0</v>
      </c>
      <c r="AL162">
        <v>0</v>
      </c>
      <c r="AM162">
        <v>0</v>
      </c>
      <c r="AN162">
        <v>0</v>
      </c>
    </row>
    <row r="163" spans="1:40" x14ac:dyDescent="0.25">
      <c r="A163" t="s">
        <v>4407</v>
      </c>
      <c r="B163" t="s">
        <v>4408</v>
      </c>
      <c r="E163" t="s">
        <v>4409</v>
      </c>
      <c r="F163" t="s">
        <v>4410</v>
      </c>
      <c r="G163">
        <v>2004</v>
      </c>
      <c r="H163">
        <v>2004</v>
      </c>
      <c r="I163">
        <v>3022</v>
      </c>
      <c r="N163">
        <v>341</v>
      </c>
      <c r="O163">
        <v>352</v>
      </c>
      <c r="R163" t="s">
        <v>4411</v>
      </c>
      <c r="S163" t="s">
        <v>4412</v>
      </c>
      <c r="T163">
        <v>0</v>
      </c>
      <c r="U163">
        <v>0</v>
      </c>
      <c r="V163">
        <v>0</v>
      </c>
      <c r="W163">
        <v>0</v>
      </c>
      <c r="X163">
        <v>0</v>
      </c>
      <c r="Y163">
        <v>0</v>
      </c>
      <c r="Z163">
        <v>0</v>
      </c>
      <c r="AA163">
        <v>0</v>
      </c>
      <c r="AB163">
        <v>0</v>
      </c>
      <c r="AC163">
        <v>0</v>
      </c>
      <c r="AD163">
        <v>0</v>
      </c>
      <c r="AE163">
        <v>0</v>
      </c>
      <c r="AF163">
        <v>0</v>
      </c>
      <c r="AG163">
        <v>0</v>
      </c>
      <c r="AH163">
        <v>0</v>
      </c>
      <c r="AI163">
        <v>0</v>
      </c>
      <c r="AJ163">
        <v>0</v>
      </c>
      <c r="AK163">
        <v>0</v>
      </c>
      <c r="AL163">
        <v>0</v>
      </c>
      <c r="AM163">
        <v>0</v>
      </c>
      <c r="AN163">
        <v>0</v>
      </c>
    </row>
    <row r="164" spans="1:40" x14ac:dyDescent="0.25">
      <c r="A164" t="s">
        <v>4413</v>
      </c>
      <c r="B164" t="s">
        <v>4414</v>
      </c>
      <c r="E164" t="s">
        <v>4409</v>
      </c>
      <c r="F164" t="s">
        <v>4415</v>
      </c>
      <c r="G164">
        <v>2004</v>
      </c>
      <c r="H164">
        <v>2004</v>
      </c>
      <c r="I164">
        <v>3023</v>
      </c>
      <c r="N164">
        <v>1</v>
      </c>
      <c r="O164">
        <v>12</v>
      </c>
      <c r="R164" t="s">
        <v>4411</v>
      </c>
      <c r="S164" t="s">
        <v>4412</v>
      </c>
      <c r="T164">
        <v>0</v>
      </c>
      <c r="U164">
        <v>0</v>
      </c>
      <c r="V164">
        <v>0</v>
      </c>
      <c r="W164">
        <v>0</v>
      </c>
      <c r="X164">
        <v>0</v>
      </c>
      <c r="Y164">
        <v>0</v>
      </c>
      <c r="Z164">
        <v>0</v>
      </c>
      <c r="AA164">
        <v>0</v>
      </c>
      <c r="AB164">
        <v>0</v>
      </c>
      <c r="AC164">
        <v>0</v>
      </c>
      <c r="AD164">
        <v>0</v>
      </c>
      <c r="AE164">
        <v>0</v>
      </c>
      <c r="AF164">
        <v>0</v>
      </c>
      <c r="AG164">
        <v>0</v>
      </c>
      <c r="AH164">
        <v>0</v>
      </c>
      <c r="AI164">
        <v>0</v>
      </c>
      <c r="AJ164">
        <v>0</v>
      </c>
      <c r="AK164">
        <v>0</v>
      </c>
      <c r="AL164">
        <v>0</v>
      </c>
      <c r="AM164">
        <v>0</v>
      </c>
      <c r="AN164">
        <v>0</v>
      </c>
    </row>
    <row r="165" spans="1:40" x14ac:dyDescent="0.25">
      <c r="A165" t="s">
        <v>4416</v>
      </c>
      <c r="B165" t="s">
        <v>4417</v>
      </c>
      <c r="E165" t="s">
        <v>4409</v>
      </c>
      <c r="F165" t="s">
        <v>4418</v>
      </c>
      <c r="G165">
        <v>2004</v>
      </c>
      <c r="H165">
        <v>2004</v>
      </c>
      <c r="I165">
        <v>2034</v>
      </c>
      <c r="N165">
        <v>342</v>
      </c>
      <c r="O165">
        <v>353</v>
      </c>
      <c r="R165" t="s">
        <v>4411</v>
      </c>
      <c r="S165" t="s">
        <v>4412</v>
      </c>
      <c r="T165">
        <v>0</v>
      </c>
      <c r="U165">
        <v>0</v>
      </c>
      <c r="V165">
        <v>0</v>
      </c>
      <c r="W165">
        <v>0</v>
      </c>
      <c r="X165">
        <v>0</v>
      </c>
      <c r="Y165">
        <v>0</v>
      </c>
      <c r="Z165">
        <v>0</v>
      </c>
      <c r="AA165">
        <v>0</v>
      </c>
      <c r="AB165">
        <v>0</v>
      </c>
      <c r="AC165">
        <v>0</v>
      </c>
      <c r="AD165">
        <v>0</v>
      </c>
      <c r="AE165">
        <v>0</v>
      </c>
      <c r="AF165">
        <v>0</v>
      </c>
      <c r="AG165">
        <v>0</v>
      </c>
      <c r="AH165">
        <v>0</v>
      </c>
      <c r="AI165">
        <v>0</v>
      </c>
      <c r="AJ165">
        <v>0</v>
      </c>
      <c r="AK165">
        <v>0</v>
      </c>
      <c r="AL165">
        <v>0</v>
      </c>
      <c r="AM165">
        <v>0</v>
      </c>
      <c r="AN165">
        <v>0</v>
      </c>
    </row>
    <row r="166" spans="1:40" x14ac:dyDescent="0.25">
      <c r="A166" t="s">
        <v>4419</v>
      </c>
      <c r="B166" t="s">
        <v>4420</v>
      </c>
      <c r="E166" t="s">
        <v>4421</v>
      </c>
      <c r="F166" t="s">
        <v>4422</v>
      </c>
      <c r="G166">
        <v>2004</v>
      </c>
      <c r="H166">
        <v>2004</v>
      </c>
      <c r="I166">
        <v>3211</v>
      </c>
      <c r="N166">
        <v>697</v>
      </c>
      <c r="O166">
        <v>704</v>
      </c>
      <c r="R166" t="s">
        <v>4423</v>
      </c>
      <c r="S166" t="s">
        <v>4424</v>
      </c>
      <c r="T166">
        <v>0</v>
      </c>
      <c r="U166">
        <v>0</v>
      </c>
      <c r="V166">
        <v>0</v>
      </c>
      <c r="W166">
        <v>0</v>
      </c>
      <c r="X166">
        <v>0</v>
      </c>
      <c r="Y166">
        <v>0</v>
      </c>
      <c r="Z166">
        <v>0</v>
      </c>
      <c r="AA166">
        <v>0</v>
      </c>
      <c r="AB166">
        <v>0</v>
      </c>
      <c r="AC166">
        <v>0</v>
      </c>
      <c r="AD166">
        <v>0</v>
      </c>
      <c r="AE166">
        <v>0</v>
      </c>
      <c r="AF166">
        <v>0</v>
      </c>
      <c r="AG166">
        <v>0</v>
      </c>
      <c r="AH166">
        <v>0</v>
      </c>
      <c r="AI166">
        <v>0</v>
      </c>
      <c r="AJ166">
        <v>0</v>
      </c>
      <c r="AK166">
        <v>0</v>
      </c>
      <c r="AL166">
        <v>0</v>
      </c>
      <c r="AM166">
        <v>0</v>
      </c>
      <c r="AN166">
        <v>0</v>
      </c>
    </row>
    <row r="167" spans="1:40" x14ac:dyDescent="0.25">
      <c r="A167" t="s">
        <v>4425</v>
      </c>
      <c r="B167" t="s">
        <v>4426</v>
      </c>
      <c r="E167" t="s">
        <v>4427</v>
      </c>
      <c r="F167" t="s">
        <v>4428</v>
      </c>
      <c r="G167">
        <v>2003</v>
      </c>
      <c r="H167">
        <v>2003</v>
      </c>
      <c r="I167">
        <v>2869</v>
      </c>
      <c r="N167">
        <v>513</v>
      </c>
      <c r="O167">
        <v>520</v>
      </c>
      <c r="R167" t="s">
        <v>4429</v>
      </c>
      <c r="S167" t="s">
        <v>4430</v>
      </c>
      <c r="T167">
        <v>0</v>
      </c>
      <c r="U167">
        <v>0</v>
      </c>
      <c r="V167">
        <v>0</v>
      </c>
      <c r="W167">
        <v>0</v>
      </c>
      <c r="X167">
        <v>0</v>
      </c>
      <c r="Y167">
        <v>0</v>
      </c>
      <c r="Z167">
        <v>0</v>
      </c>
      <c r="AA167">
        <v>0</v>
      </c>
      <c r="AB167">
        <v>0</v>
      </c>
      <c r="AC167">
        <v>0</v>
      </c>
      <c r="AD167">
        <v>0</v>
      </c>
      <c r="AE167">
        <v>0</v>
      </c>
      <c r="AF167">
        <v>0</v>
      </c>
      <c r="AG167">
        <v>0</v>
      </c>
      <c r="AH167">
        <v>0</v>
      </c>
      <c r="AI167">
        <v>0</v>
      </c>
      <c r="AJ167">
        <v>0</v>
      </c>
      <c r="AK167">
        <v>0</v>
      </c>
      <c r="AL167">
        <v>0</v>
      </c>
      <c r="AM167">
        <v>0</v>
      </c>
      <c r="AN167">
        <v>0</v>
      </c>
    </row>
    <row r="168" spans="1:40" x14ac:dyDescent="0.25">
      <c r="A168" t="s">
        <v>1602</v>
      </c>
      <c r="B168" t="s">
        <v>1604</v>
      </c>
      <c r="E168" t="s">
        <v>4431</v>
      </c>
      <c r="F168" t="s">
        <v>4432</v>
      </c>
      <c r="G168">
        <v>2003</v>
      </c>
      <c r="H168">
        <v>2003</v>
      </c>
      <c r="I168">
        <v>2626</v>
      </c>
      <c r="N168">
        <v>12</v>
      </c>
      <c r="O168">
        <v>21</v>
      </c>
      <c r="R168" t="s">
        <v>4433</v>
      </c>
      <c r="S168" t="s">
        <v>4434</v>
      </c>
      <c r="T168">
        <v>0</v>
      </c>
      <c r="U168">
        <v>0</v>
      </c>
      <c r="V168">
        <v>0</v>
      </c>
      <c r="W168">
        <v>0</v>
      </c>
      <c r="X168">
        <v>0</v>
      </c>
      <c r="Y168">
        <v>0</v>
      </c>
      <c r="Z168">
        <v>0</v>
      </c>
      <c r="AA168">
        <v>0</v>
      </c>
      <c r="AB168">
        <v>0</v>
      </c>
      <c r="AC168">
        <v>0</v>
      </c>
      <c r="AD168">
        <v>0</v>
      </c>
      <c r="AE168">
        <v>0</v>
      </c>
      <c r="AF168">
        <v>0</v>
      </c>
      <c r="AG168">
        <v>0</v>
      </c>
      <c r="AH168">
        <v>0</v>
      </c>
      <c r="AI168">
        <v>0</v>
      </c>
      <c r="AJ168">
        <v>0</v>
      </c>
      <c r="AK168">
        <v>0</v>
      </c>
      <c r="AL168">
        <v>0</v>
      </c>
      <c r="AM168">
        <v>0</v>
      </c>
      <c r="AN168">
        <v>0</v>
      </c>
    </row>
    <row r="169" spans="1:40" x14ac:dyDescent="0.25">
      <c r="A169" t="s">
        <v>4435</v>
      </c>
      <c r="B169" t="s">
        <v>4436</v>
      </c>
      <c r="E169" t="s">
        <v>4437</v>
      </c>
      <c r="F169" t="s">
        <v>4398</v>
      </c>
      <c r="G169">
        <v>2003</v>
      </c>
      <c r="H169">
        <v>2003</v>
      </c>
      <c r="I169">
        <v>2734</v>
      </c>
      <c r="N169">
        <v>215</v>
      </c>
      <c r="O169">
        <v>223</v>
      </c>
      <c r="R169" t="s">
        <v>4438</v>
      </c>
      <c r="S169" t="s">
        <v>4439</v>
      </c>
      <c r="T169">
        <v>0</v>
      </c>
      <c r="U169">
        <v>0</v>
      </c>
      <c r="V169">
        <v>0</v>
      </c>
      <c r="W169">
        <v>0</v>
      </c>
      <c r="X169">
        <v>0</v>
      </c>
      <c r="Y169">
        <v>0</v>
      </c>
      <c r="Z169">
        <v>0</v>
      </c>
      <c r="AA169">
        <v>0</v>
      </c>
      <c r="AB169">
        <v>0</v>
      </c>
      <c r="AC169">
        <v>0</v>
      </c>
      <c r="AD169">
        <v>0</v>
      </c>
      <c r="AE169">
        <v>0</v>
      </c>
      <c r="AF169">
        <v>0</v>
      </c>
      <c r="AG169">
        <v>0</v>
      </c>
      <c r="AH169">
        <v>0</v>
      </c>
      <c r="AI169">
        <v>0</v>
      </c>
      <c r="AJ169">
        <v>0</v>
      </c>
      <c r="AK169">
        <v>0</v>
      </c>
      <c r="AL169">
        <v>0</v>
      </c>
      <c r="AM169">
        <v>0</v>
      </c>
      <c r="AN169">
        <v>0</v>
      </c>
    </row>
    <row r="170" spans="1:40" x14ac:dyDescent="0.25">
      <c r="A170" t="s">
        <v>4440</v>
      </c>
      <c r="B170" t="s">
        <v>4441</v>
      </c>
      <c r="F170" t="s">
        <v>1773</v>
      </c>
      <c r="G170" t="s">
        <v>3997</v>
      </c>
      <c r="H170">
        <v>2019</v>
      </c>
      <c r="I170">
        <v>30</v>
      </c>
      <c r="J170">
        <v>1</v>
      </c>
      <c r="N170">
        <v>351</v>
      </c>
      <c r="O170">
        <v>361</v>
      </c>
      <c r="Q170" t="s">
        <v>4442</v>
      </c>
      <c r="T170">
        <v>1</v>
      </c>
      <c r="U170">
        <v>1</v>
      </c>
      <c r="V170">
        <v>0</v>
      </c>
      <c r="W170">
        <v>0</v>
      </c>
      <c r="X170">
        <v>0</v>
      </c>
      <c r="Y170">
        <v>0</v>
      </c>
      <c r="Z170">
        <v>0</v>
      </c>
      <c r="AA170">
        <v>0</v>
      </c>
      <c r="AB170">
        <v>0</v>
      </c>
      <c r="AC170">
        <v>0</v>
      </c>
      <c r="AD170">
        <v>0</v>
      </c>
      <c r="AE170">
        <v>0</v>
      </c>
      <c r="AF170">
        <v>0</v>
      </c>
      <c r="AG170">
        <v>0</v>
      </c>
      <c r="AH170">
        <v>0</v>
      </c>
      <c r="AI170">
        <v>0</v>
      </c>
      <c r="AJ170">
        <v>0</v>
      </c>
      <c r="AK170">
        <v>0</v>
      </c>
      <c r="AL170">
        <v>0</v>
      </c>
      <c r="AM170">
        <v>1</v>
      </c>
      <c r="AN170">
        <v>0</v>
      </c>
    </row>
    <row r="171" spans="1:40" x14ac:dyDescent="0.25">
      <c r="A171" t="s">
        <v>4443</v>
      </c>
      <c r="B171" t="s">
        <v>4444</v>
      </c>
      <c r="F171" t="s">
        <v>314</v>
      </c>
      <c r="G171" t="s">
        <v>3997</v>
      </c>
      <c r="H171">
        <v>2019</v>
      </c>
      <c r="I171">
        <v>49</v>
      </c>
      <c r="J171">
        <v>1</v>
      </c>
      <c r="N171">
        <v>233</v>
      </c>
      <c r="O171">
        <v>246</v>
      </c>
      <c r="Q171" t="s">
        <v>4445</v>
      </c>
      <c r="T171">
        <v>1</v>
      </c>
      <c r="U171">
        <v>1</v>
      </c>
      <c r="V171">
        <v>0</v>
      </c>
      <c r="W171">
        <v>0</v>
      </c>
      <c r="X171">
        <v>0</v>
      </c>
      <c r="Y171">
        <v>0</v>
      </c>
      <c r="Z171">
        <v>0</v>
      </c>
      <c r="AA171">
        <v>0</v>
      </c>
      <c r="AB171">
        <v>0</v>
      </c>
      <c r="AC171">
        <v>0</v>
      </c>
      <c r="AD171">
        <v>0</v>
      </c>
      <c r="AE171">
        <v>0</v>
      </c>
      <c r="AF171">
        <v>0</v>
      </c>
      <c r="AG171">
        <v>0</v>
      </c>
      <c r="AH171">
        <v>0</v>
      </c>
      <c r="AI171">
        <v>0</v>
      </c>
      <c r="AJ171">
        <v>0</v>
      </c>
      <c r="AK171">
        <v>0</v>
      </c>
      <c r="AL171">
        <v>0</v>
      </c>
      <c r="AM171">
        <v>1</v>
      </c>
      <c r="AN171">
        <v>0</v>
      </c>
    </row>
    <row r="172" spans="1:40" x14ac:dyDescent="0.25">
      <c r="A172" t="s">
        <v>4446</v>
      </c>
      <c r="B172" t="s">
        <v>4447</v>
      </c>
      <c r="F172" t="s">
        <v>343</v>
      </c>
      <c r="G172" t="s">
        <v>4040</v>
      </c>
      <c r="H172">
        <v>2018</v>
      </c>
      <c r="I172">
        <v>21</v>
      </c>
      <c r="J172">
        <v>4</v>
      </c>
      <c r="N172">
        <v>1053</v>
      </c>
      <c r="O172">
        <v>1066</v>
      </c>
      <c r="Q172" t="s">
        <v>4448</v>
      </c>
      <c r="T172">
        <v>1</v>
      </c>
      <c r="U172">
        <v>0.5</v>
      </c>
      <c r="V172">
        <v>0</v>
      </c>
      <c r="W172">
        <v>0</v>
      </c>
      <c r="X172">
        <v>0</v>
      </c>
      <c r="Y172">
        <v>0</v>
      </c>
      <c r="Z172">
        <v>0</v>
      </c>
      <c r="AA172">
        <v>0</v>
      </c>
      <c r="AB172">
        <v>0</v>
      </c>
      <c r="AC172">
        <v>0</v>
      </c>
      <c r="AD172">
        <v>0</v>
      </c>
      <c r="AE172">
        <v>0</v>
      </c>
      <c r="AF172">
        <v>0</v>
      </c>
      <c r="AG172">
        <v>0</v>
      </c>
      <c r="AH172">
        <v>0</v>
      </c>
      <c r="AI172">
        <v>0</v>
      </c>
      <c r="AJ172">
        <v>0</v>
      </c>
      <c r="AK172">
        <v>0</v>
      </c>
      <c r="AL172">
        <v>0</v>
      </c>
      <c r="AM172">
        <v>1</v>
      </c>
      <c r="AN172">
        <v>0</v>
      </c>
    </row>
    <row r="173" spans="1:40" x14ac:dyDescent="0.25">
      <c r="A173" t="s">
        <v>4449</v>
      </c>
      <c r="B173" t="s">
        <v>4450</v>
      </c>
      <c r="F173" t="s">
        <v>311</v>
      </c>
      <c r="G173" t="s">
        <v>4040</v>
      </c>
      <c r="H173">
        <v>2018</v>
      </c>
      <c r="I173">
        <v>27</v>
      </c>
      <c r="J173">
        <v>11</v>
      </c>
      <c r="N173">
        <v>5406</v>
      </c>
      <c r="O173">
        <v>5419</v>
      </c>
      <c r="Q173" t="s">
        <v>4451</v>
      </c>
      <c r="T173">
        <v>1</v>
      </c>
      <c r="U173">
        <v>0.5</v>
      </c>
      <c r="V173">
        <v>0</v>
      </c>
      <c r="W173">
        <v>0</v>
      </c>
      <c r="X173">
        <v>0</v>
      </c>
      <c r="Y173">
        <v>0</v>
      </c>
      <c r="Z173">
        <v>0</v>
      </c>
      <c r="AA173">
        <v>0</v>
      </c>
      <c r="AB173">
        <v>0</v>
      </c>
      <c r="AC173">
        <v>0</v>
      </c>
      <c r="AD173">
        <v>0</v>
      </c>
      <c r="AE173">
        <v>0</v>
      </c>
      <c r="AF173">
        <v>0</v>
      </c>
      <c r="AG173">
        <v>0</v>
      </c>
      <c r="AH173">
        <v>0</v>
      </c>
      <c r="AI173">
        <v>0</v>
      </c>
      <c r="AJ173">
        <v>0</v>
      </c>
      <c r="AK173">
        <v>0</v>
      </c>
      <c r="AL173">
        <v>0</v>
      </c>
      <c r="AM173">
        <v>0</v>
      </c>
      <c r="AN173">
        <v>1</v>
      </c>
    </row>
    <row r="174" spans="1:40" x14ac:dyDescent="0.25">
      <c r="A174" t="s">
        <v>1704</v>
      </c>
      <c r="B174" t="s">
        <v>1706</v>
      </c>
      <c r="F174" t="s">
        <v>305</v>
      </c>
      <c r="G174" t="s">
        <v>4452</v>
      </c>
      <c r="H174">
        <v>2018</v>
      </c>
      <c r="I174">
        <v>114</v>
      </c>
      <c r="M174" t="s">
        <v>1948</v>
      </c>
      <c r="N174">
        <v>63</v>
      </c>
      <c r="O174">
        <v>72</v>
      </c>
      <c r="Q174" t="s">
        <v>4453</v>
      </c>
      <c r="T174">
        <v>1</v>
      </c>
      <c r="U174">
        <v>0.5</v>
      </c>
      <c r="V174">
        <v>0</v>
      </c>
      <c r="W174">
        <v>0</v>
      </c>
      <c r="X174">
        <v>0</v>
      </c>
      <c r="Y174">
        <v>0</v>
      </c>
      <c r="Z174">
        <v>0</v>
      </c>
      <c r="AA174">
        <v>0</v>
      </c>
      <c r="AB174">
        <v>0</v>
      </c>
      <c r="AC174">
        <v>0</v>
      </c>
      <c r="AD174">
        <v>0</v>
      </c>
      <c r="AE174">
        <v>0</v>
      </c>
      <c r="AF174">
        <v>0</v>
      </c>
      <c r="AG174">
        <v>0</v>
      </c>
      <c r="AH174">
        <v>0</v>
      </c>
      <c r="AI174">
        <v>0</v>
      </c>
      <c r="AJ174">
        <v>0</v>
      </c>
      <c r="AK174">
        <v>0</v>
      </c>
      <c r="AL174">
        <v>0</v>
      </c>
      <c r="AM174">
        <v>1</v>
      </c>
      <c r="AN174">
        <v>0</v>
      </c>
    </row>
    <row r="175" spans="1:40" x14ac:dyDescent="0.25">
      <c r="A175" t="s">
        <v>4454</v>
      </c>
      <c r="B175" t="s">
        <v>4455</v>
      </c>
      <c r="F175" t="s">
        <v>4279</v>
      </c>
      <c r="G175" t="s">
        <v>4452</v>
      </c>
      <c r="H175">
        <v>2018</v>
      </c>
      <c r="I175">
        <v>158</v>
      </c>
      <c r="N175">
        <v>43</v>
      </c>
      <c r="O175">
        <v>53</v>
      </c>
      <c r="Q175" t="s">
        <v>4456</v>
      </c>
      <c r="T175">
        <v>1</v>
      </c>
      <c r="U175">
        <v>0.5</v>
      </c>
      <c r="V175">
        <v>0</v>
      </c>
      <c r="W175">
        <v>0</v>
      </c>
      <c r="X175">
        <v>0</v>
      </c>
      <c r="Y175">
        <v>0</v>
      </c>
      <c r="Z175">
        <v>0</v>
      </c>
      <c r="AA175">
        <v>0</v>
      </c>
      <c r="AB175">
        <v>0</v>
      </c>
      <c r="AC175">
        <v>0</v>
      </c>
      <c r="AD175">
        <v>0</v>
      </c>
      <c r="AE175">
        <v>0</v>
      </c>
      <c r="AF175">
        <v>0</v>
      </c>
      <c r="AG175">
        <v>0</v>
      </c>
      <c r="AH175">
        <v>0</v>
      </c>
      <c r="AI175">
        <v>0</v>
      </c>
      <c r="AJ175">
        <v>0</v>
      </c>
      <c r="AK175">
        <v>0</v>
      </c>
      <c r="AL175">
        <v>0</v>
      </c>
      <c r="AM175">
        <v>1</v>
      </c>
      <c r="AN175">
        <v>0</v>
      </c>
    </row>
    <row r="176" spans="1:40" x14ac:dyDescent="0.25">
      <c r="A176" t="s">
        <v>4457</v>
      </c>
      <c r="B176" t="s">
        <v>4458</v>
      </c>
      <c r="F176" t="s">
        <v>333</v>
      </c>
      <c r="G176" t="s">
        <v>4065</v>
      </c>
      <c r="H176">
        <v>2018</v>
      </c>
      <c r="I176">
        <v>32</v>
      </c>
      <c r="J176">
        <v>10</v>
      </c>
      <c r="P176">
        <v>1850033</v>
      </c>
      <c r="Q176" t="s">
        <v>4459</v>
      </c>
      <c r="T176">
        <v>1</v>
      </c>
      <c r="U176">
        <v>0.5</v>
      </c>
      <c r="V176">
        <v>0</v>
      </c>
      <c r="W176">
        <v>0</v>
      </c>
      <c r="X176">
        <v>0</v>
      </c>
      <c r="Y176">
        <v>0</v>
      </c>
      <c r="Z176">
        <v>0</v>
      </c>
      <c r="AA176">
        <v>0</v>
      </c>
      <c r="AB176">
        <v>0</v>
      </c>
      <c r="AC176">
        <v>0</v>
      </c>
      <c r="AD176">
        <v>0</v>
      </c>
      <c r="AE176">
        <v>0</v>
      </c>
      <c r="AF176">
        <v>0</v>
      </c>
      <c r="AG176">
        <v>0</v>
      </c>
      <c r="AH176">
        <v>0</v>
      </c>
      <c r="AI176">
        <v>0</v>
      </c>
      <c r="AJ176">
        <v>0</v>
      </c>
      <c r="AK176">
        <v>0</v>
      </c>
      <c r="AL176">
        <v>0</v>
      </c>
      <c r="AM176">
        <v>1</v>
      </c>
      <c r="AN176">
        <v>0</v>
      </c>
    </row>
    <row r="177" spans="1:40" x14ac:dyDescent="0.25">
      <c r="A177" t="s">
        <v>4460</v>
      </c>
      <c r="B177" t="s">
        <v>4461</v>
      </c>
      <c r="F177" t="s">
        <v>308</v>
      </c>
      <c r="G177" t="s">
        <v>4100</v>
      </c>
      <c r="H177">
        <v>2018</v>
      </c>
      <c r="I177">
        <v>80</v>
      </c>
      <c r="N177">
        <v>109</v>
      </c>
      <c r="O177">
        <v>117</v>
      </c>
      <c r="Q177" t="s">
        <v>4462</v>
      </c>
      <c r="T177">
        <v>1</v>
      </c>
      <c r="U177">
        <v>0.5</v>
      </c>
      <c r="V177">
        <v>0</v>
      </c>
      <c r="W177">
        <v>0</v>
      </c>
      <c r="X177">
        <v>0</v>
      </c>
      <c r="Y177">
        <v>0</v>
      </c>
      <c r="Z177">
        <v>0</v>
      </c>
      <c r="AA177">
        <v>0</v>
      </c>
      <c r="AB177">
        <v>0</v>
      </c>
      <c r="AC177">
        <v>0</v>
      </c>
      <c r="AD177">
        <v>0</v>
      </c>
      <c r="AE177">
        <v>0</v>
      </c>
      <c r="AF177">
        <v>0</v>
      </c>
      <c r="AG177">
        <v>0</v>
      </c>
      <c r="AH177">
        <v>0</v>
      </c>
      <c r="AI177">
        <v>0</v>
      </c>
      <c r="AJ177">
        <v>0</v>
      </c>
      <c r="AK177">
        <v>0</v>
      </c>
      <c r="AL177">
        <v>0</v>
      </c>
      <c r="AM177">
        <v>1</v>
      </c>
      <c r="AN177">
        <v>0</v>
      </c>
    </row>
    <row r="178" spans="1:40" x14ac:dyDescent="0.25">
      <c r="A178" t="s">
        <v>4463</v>
      </c>
      <c r="B178" t="s">
        <v>4464</v>
      </c>
      <c r="F178" t="s">
        <v>316</v>
      </c>
      <c r="G178" t="s">
        <v>3757</v>
      </c>
      <c r="H178">
        <v>2018</v>
      </c>
      <c r="I178">
        <v>12</v>
      </c>
      <c r="J178">
        <v>7</v>
      </c>
      <c r="N178">
        <v>1117</v>
      </c>
      <c r="O178">
        <v>1123</v>
      </c>
      <c r="Q178" t="s">
        <v>4465</v>
      </c>
      <c r="T178">
        <v>1</v>
      </c>
      <c r="U178">
        <v>0.5</v>
      </c>
      <c r="V178">
        <v>0</v>
      </c>
      <c r="W178">
        <v>0</v>
      </c>
      <c r="X178">
        <v>0</v>
      </c>
      <c r="Y178">
        <v>0</v>
      </c>
      <c r="Z178">
        <v>0</v>
      </c>
      <c r="AA178">
        <v>0</v>
      </c>
      <c r="AB178">
        <v>0</v>
      </c>
      <c r="AC178">
        <v>0</v>
      </c>
      <c r="AD178">
        <v>0</v>
      </c>
      <c r="AE178">
        <v>0</v>
      </c>
      <c r="AF178">
        <v>0</v>
      </c>
      <c r="AG178">
        <v>0</v>
      </c>
      <c r="AH178">
        <v>0</v>
      </c>
      <c r="AI178">
        <v>0</v>
      </c>
      <c r="AJ178">
        <v>0</v>
      </c>
      <c r="AK178">
        <v>0</v>
      </c>
      <c r="AL178">
        <v>0</v>
      </c>
      <c r="AM178">
        <v>1</v>
      </c>
      <c r="AN178">
        <v>0</v>
      </c>
    </row>
    <row r="179" spans="1:40" x14ac:dyDescent="0.25">
      <c r="A179" t="s">
        <v>1326</v>
      </c>
      <c r="B179" t="s">
        <v>1328</v>
      </c>
      <c r="F179" t="s">
        <v>311</v>
      </c>
      <c r="G179" t="s">
        <v>3757</v>
      </c>
      <c r="H179">
        <v>2018</v>
      </c>
      <c r="I179">
        <v>27</v>
      </c>
      <c r="J179">
        <v>7</v>
      </c>
      <c r="N179">
        <v>3657</v>
      </c>
      <c r="O179">
        <v>3670</v>
      </c>
      <c r="Q179" t="s">
        <v>4466</v>
      </c>
      <c r="T179">
        <v>1</v>
      </c>
      <c r="U179">
        <v>0.5</v>
      </c>
      <c r="V179">
        <v>0</v>
      </c>
      <c r="W179">
        <v>0</v>
      </c>
      <c r="X179">
        <v>0</v>
      </c>
      <c r="Y179">
        <v>0</v>
      </c>
      <c r="Z179">
        <v>0</v>
      </c>
      <c r="AA179">
        <v>0</v>
      </c>
      <c r="AB179">
        <v>0</v>
      </c>
      <c r="AC179">
        <v>0</v>
      </c>
      <c r="AD179">
        <v>0</v>
      </c>
      <c r="AE179">
        <v>0</v>
      </c>
      <c r="AF179">
        <v>0</v>
      </c>
      <c r="AG179">
        <v>0</v>
      </c>
      <c r="AH179">
        <v>0</v>
      </c>
      <c r="AI179">
        <v>0</v>
      </c>
      <c r="AJ179">
        <v>0</v>
      </c>
      <c r="AK179">
        <v>0</v>
      </c>
      <c r="AL179">
        <v>0</v>
      </c>
      <c r="AM179">
        <v>1</v>
      </c>
      <c r="AN179">
        <v>0</v>
      </c>
    </row>
    <row r="180" spans="1:40" x14ac:dyDescent="0.25">
      <c r="A180" t="s">
        <v>4467</v>
      </c>
      <c r="B180" t="s">
        <v>4468</v>
      </c>
      <c r="F180" t="s">
        <v>311</v>
      </c>
      <c r="G180" t="s">
        <v>3757</v>
      </c>
      <c r="H180">
        <v>2018</v>
      </c>
      <c r="I180">
        <v>27</v>
      </c>
      <c r="J180">
        <v>7</v>
      </c>
      <c r="N180">
        <v>3459</v>
      </c>
      <c r="O180">
        <v>3471</v>
      </c>
      <c r="Q180" t="s">
        <v>4469</v>
      </c>
      <c r="T180">
        <v>1</v>
      </c>
      <c r="U180">
        <v>0.5</v>
      </c>
      <c r="V180">
        <v>0</v>
      </c>
      <c r="W180">
        <v>0</v>
      </c>
      <c r="X180">
        <v>0</v>
      </c>
      <c r="Y180">
        <v>0</v>
      </c>
      <c r="Z180">
        <v>0</v>
      </c>
      <c r="AA180">
        <v>0</v>
      </c>
      <c r="AB180">
        <v>0</v>
      </c>
      <c r="AC180">
        <v>0</v>
      </c>
      <c r="AD180">
        <v>0</v>
      </c>
      <c r="AE180">
        <v>0</v>
      </c>
      <c r="AF180">
        <v>0</v>
      </c>
      <c r="AG180">
        <v>0</v>
      </c>
      <c r="AH180">
        <v>0</v>
      </c>
      <c r="AI180">
        <v>0</v>
      </c>
      <c r="AJ180">
        <v>0</v>
      </c>
      <c r="AK180">
        <v>0</v>
      </c>
      <c r="AL180">
        <v>0</v>
      </c>
      <c r="AM180">
        <v>1</v>
      </c>
      <c r="AN180">
        <v>0</v>
      </c>
    </row>
    <row r="181" spans="1:40" x14ac:dyDescent="0.25">
      <c r="A181" t="s">
        <v>4470</v>
      </c>
      <c r="B181" t="s">
        <v>4471</v>
      </c>
      <c r="F181" t="s">
        <v>3813</v>
      </c>
      <c r="G181" t="s">
        <v>4112</v>
      </c>
      <c r="H181">
        <v>2018</v>
      </c>
      <c r="I181">
        <v>47</v>
      </c>
      <c r="J181">
        <v>3</v>
      </c>
      <c r="M181" t="s">
        <v>1948</v>
      </c>
      <c r="N181">
        <v>859</v>
      </c>
      <c r="O181">
        <v>876</v>
      </c>
      <c r="Q181" t="s">
        <v>4472</v>
      </c>
      <c r="T181">
        <v>1</v>
      </c>
      <c r="U181">
        <v>0.5</v>
      </c>
      <c r="V181">
        <v>0</v>
      </c>
      <c r="W181">
        <v>0</v>
      </c>
      <c r="X181">
        <v>0</v>
      </c>
      <c r="Y181">
        <v>0</v>
      </c>
      <c r="Z181">
        <v>0</v>
      </c>
      <c r="AA181">
        <v>0</v>
      </c>
      <c r="AB181">
        <v>0</v>
      </c>
      <c r="AC181">
        <v>0</v>
      </c>
      <c r="AD181">
        <v>0</v>
      </c>
      <c r="AE181">
        <v>0</v>
      </c>
      <c r="AF181">
        <v>0</v>
      </c>
      <c r="AG181">
        <v>0</v>
      </c>
      <c r="AH181">
        <v>0</v>
      </c>
      <c r="AI181">
        <v>0</v>
      </c>
      <c r="AJ181">
        <v>0</v>
      </c>
      <c r="AK181">
        <v>0</v>
      </c>
      <c r="AL181">
        <v>0</v>
      </c>
      <c r="AM181">
        <v>1</v>
      </c>
      <c r="AN181">
        <v>0</v>
      </c>
    </row>
    <row r="182" spans="1:40" x14ac:dyDescent="0.25">
      <c r="A182" t="s">
        <v>4473</v>
      </c>
      <c r="B182" t="s">
        <v>4474</v>
      </c>
      <c r="F182" t="s">
        <v>4475</v>
      </c>
      <c r="G182" t="s">
        <v>4112</v>
      </c>
      <c r="H182">
        <v>2018</v>
      </c>
      <c r="I182">
        <v>5</v>
      </c>
      <c r="J182">
        <v>1</v>
      </c>
      <c r="N182">
        <v>73</v>
      </c>
      <c r="O182">
        <v>85</v>
      </c>
      <c r="Q182" t="s">
        <v>4476</v>
      </c>
      <c r="T182">
        <v>1</v>
      </c>
      <c r="U182">
        <v>0.5</v>
      </c>
      <c r="V182">
        <v>0</v>
      </c>
      <c r="W182">
        <v>0</v>
      </c>
      <c r="X182">
        <v>0</v>
      </c>
      <c r="Y182">
        <v>0</v>
      </c>
      <c r="Z182">
        <v>0</v>
      </c>
      <c r="AA182">
        <v>0</v>
      </c>
      <c r="AB182">
        <v>0</v>
      </c>
      <c r="AC182">
        <v>0</v>
      </c>
      <c r="AD182">
        <v>0</v>
      </c>
      <c r="AE182">
        <v>0</v>
      </c>
      <c r="AF182">
        <v>0</v>
      </c>
      <c r="AG182">
        <v>0</v>
      </c>
      <c r="AH182">
        <v>0</v>
      </c>
      <c r="AI182">
        <v>0</v>
      </c>
      <c r="AJ182">
        <v>0</v>
      </c>
      <c r="AK182">
        <v>0</v>
      </c>
      <c r="AL182">
        <v>0</v>
      </c>
      <c r="AM182">
        <v>1</v>
      </c>
      <c r="AN182">
        <v>0</v>
      </c>
    </row>
    <row r="183" spans="1:40" x14ac:dyDescent="0.25">
      <c r="A183" t="s">
        <v>4477</v>
      </c>
      <c r="B183" t="s">
        <v>4478</v>
      </c>
      <c r="F183" t="s">
        <v>306</v>
      </c>
      <c r="G183" t="s">
        <v>4479</v>
      </c>
      <c r="H183">
        <v>2018</v>
      </c>
      <c r="I183">
        <v>290</v>
      </c>
      <c r="N183">
        <v>108</v>
      </c>
      <c r="O183">
        <v>120</v>
      </c>
      <c r="Q183" t="s">
        <v>4480</v>
      </c>
      <c r="T183">
        <v>1</v>
      </c>
      <c r="U183">
        <v>0.5</v>
      </c>
      <c r="V183">
        <v>0</v>
      </c>
      <c r="W183">
        <v>0</v>
      </c>
      <c r="X183">
        <v>0</v>
      </c>
      <c r="Y183">
        <v>0</v>
      </c>
      <c r="Z183">
        <v>0</v>
      </c>
      <c r="AA183">
        <v>0</v>
      </c>
      <c r="AB183">
        <v>0</v>
      </c>
      <c r="AC183">
        <v>0</v>
      </c>
      <c r="AD183">
        <v>0</v>
      </c>
      <c r="AE183">
        <v>0</v>
      </c>
      <c r="AF183">
        <v>0</v>
      </c>
      <c r="AG183">
        <v>0</v>
      </c>
      <c r="AH183">
        <v>0</v>
      </c>
      <c r="AI183">
        <v>0</v>
      </c>
      <c r="AJ183">
        <v>0</v>
      </c>
      <c r="AK183">
        <v>0</v>
      </c>
      <c r="AL183">
        <v>0</v>
      </c>
      <c r="AM183">
        <v>0</v>
      </c>
      <c r="AN183">
        <v>1</v>
      </c>
    </row>
    <row r="184" spans="1:40" x14ac:dyDescent="0.25">
      <c r="A184" t="s">
        <v>4481</v>
      </c>
      <c r="B184" t="s">
        <v>4482</v>
      </c>
      <c r="F184" t="s">
        <v>4483</v>
      </c>
      <c r="G184" t="s">
        <v>4131</v>
      </c>
      <c r="H184">
        <v>2018</v>
      </c>
      <c r="I184">
        <v>7</v>
      </c>
      <c r="J184">
        <v>3</v>
      </c>
      <c r="M184" t="s">
        <v>1948</v>
      </c>
      <c r="N184">
        <v>175</v>
      </c>
      <c r="O184">
        <v>184</v>
      </c>
      <c r="Q184" t="s">
        <v>4484</v>
      </c>
      <c r="R184" t="s">
        <v>4485</v>
      </c>
      <c r="S184" t="s">
        <v>4486</v>
      </c>
      <c r="T184">
        <v>1</v>
      </c>
      <c r="U184">
        <v>0.5</v>
      </c>
      <c r="V184">
        <v>0</v>
      </c>
      <c r="W184">
        <v>0</v>
      </c>
      <c r="X184">
        <v>0</v>
      </c>
      <c r="Y184">
        <v>0</v>
      </c>
      <c r="Z184">
        <v>0</v>
      </c>
      <c r="AA184">
        <v>0</v>
      </c>
      <c r="AB184">
        <v>0</v>
      </c>
      <c r="AC184">
        <v>0</v>
      </c>
      <c r="AD184">
        <v>0</v>
      </c>
      <c r="AE184">
        <v>0</v>
      </c>
      <c r="AF184">
        <v>0</v>
      </c>
      <c r="AG184">
        <v>0</v>
      </c>
      <c r="AH184">
        <v>0</v>
      </c>
      <c r="AI184">
        <v>0</v>
      </c>
      <c r="AJ184">
        <v>0</v>
      </c>
      <c r="AK184">
        <v>0</v>
      </c>
      <c r="AL184">
        <v>0</v>
      </c>
      <c r="AM184">
        <v>1</v>
      </c>
      <c r="AN184">
        <v>0</v>
      </c>
    </row>
    <row r="185" spans="1:40" x14ac:dyDescent="0.25">
      <c r="A185" t="s">
        <v>4487</v>
      </c>
      <c r="B185" t="s">
        <v>2781</v>
      </c>
      <c r="F185" t="s">
        <v>339</v>
      </c>
      <c r="G185" t="s">
        <v>4131</v>
      </c>
      <c r="H185">
        <v>2018</v>
      </c>
      <c r="I185">
        <v>60</v>
      </c>
      <c r="J185">
        <v>4</v>
      </c>
      <c r="N185">
        <v>525</v>
      </c>
      <c r="O185">
        <v>562</v>
      </c>
      <c r="Q185" t="s">
        <v>4488</v>
      </c>
      <c r="T185">
        <v>1</v>
      </c>
      <c r="U185">
        <v>0.5</v>
      </c>
      <c r="V185">
        <v>0</v>
      </c>
      <c r="W185">
        <v>0</v>
      </c>
      <c r="X185">
        <v>0</v>
      </c>
      <c r="Y185">
        <v>0</v>
      </c>
      <c r="Z185">
        <v>0</v>
      </c>
      <c r="AA185">
        <v>0</v>
      </c>
      <c r="AB185">
        <v>0</v>
      </c>
      <c r="AC185">
        <v>0</v>
      </c>
      <c r="AD185">
        <v>0</v>
      </c>
      <c r="AE185">
        <v>0</v>
      </c>
      <c r="AF185">
        <v>0</v>
      </c>
      <c r="AG185">
        <v>0</v>
      </c>
      <c r="AH185">
        <v>0</v>
      </c>
      <c r="AI185">
        <v>0</v>
      </c>
      <c r="AJ185">
        <v>0</v>
      </c>
      <c r="AK185">
        <v>0</v>
      </c>
      <c r="AL185">
        <v>0</v>
      </c>
      <c r="AM185">
        <v>1</v>
      </c>
      <c r="AN185">
        <v>0</v>
      </c>
    </row>
    <row r="186" spans="1:40" x14ac:dyDescent="0.25">
      <c r="A186" t="s">
        <v>4489</v>
      </c>
      <c r="B186" t="s">
        <v>4490</v>
      </c>
      <c r="F186" t="s">
        <v>306</v>
      </c>
      <c r="G186" t="s">
        <v>4491</v>
      </c>
      <c r="H186">
        <v>2018</v>
      </c>
      <c r="I186">
        <v>283</v>
      </c>
      <c r="N186">
        <v>241</v>
      </c>
      <c r="O186">
        <v>255</v>
      </c>
      <c r="Q186" t="s">
        <v>4492</v>
      </c>
      <c r="T186">
        <v>1</v>
      </c>
      <c r="U186">
        <v>0.5</v>
      </c>
      <c r="V186">
        <v>0</v>
      </c>
      <c r="W186">
        <v>0</v>
      </c>
      <c r="X186">
        <v>0</v>
      </c>
      <c r="Y186">
        <v>0</v>
      </c>
      <c r="Z186">
        <v>0</v>
      </c>
      <c r="AA186">
        <v>0</v>
      </c>
      <c r="AB186">
        <v>0</v>
      </c>
      <c r="AC186">
        <v>0</v>
      </c>
      <c r="AD186">
        <v>0</v>
      </c>
      <c r="AE186">
        <v>0</v>
      </c>
      <c r="AF186">
        <v>0</v>
      </c>
      <c r="AG186">
        <v>0</v>
      </c>
      <c r="AH186">
        <v>0</v>
      </c>
      <c r="AI186">
        <v>0</v>
      </c>
      <c r="AJ186">
        <v>0</v>
      </c>
      <c r="AK186">
        <v>0</v>
      </c>
      <c r="AL186">
        <v>0</v>
      </c>
      <c r="AM186">
        <v>1</v>
      </c>
      <c r="AN186">
        <v>0</v>
      </c>
    </row>
    <row r="187" spans="1:40" x14ac:dyDescent="0.25">
      <c r="A187" t="s">
        <v>1149</v>
      </c>
      <c r="B187" t="s">
        <v>1151</v>
      </c>
      <c r="F187" t="s">
        <v>318</v>
      </c>
      <c r="G187" t="s">
        <v>4151</v>
      </c>
      <c r="H187">
        <v>2018</v>
      </c>
      <c r="I187">
        <v>27</v>
      </c>
      <c r="J187">
        <v>2</v>
      </c>
      <c r="P187">
        <v>1830001</v>
      </c>
      <c r="Q187" t="s">
        <v>4493</v>
      </c>
      <c r="T187">
        <v>1</v>
      </c>
      <c r="U187">
        <v>0.5</v>
      </c>
      <c r="V187">
        <v>0</v>
      </c>
      <c r="W187">
        <v>0</v>
      </c>
      <c r="X187">
        <v>0</v>
      </c>
      <c r="Y187">
        <v>0</v>
      </c>
      <c r="Z187">
        <v>0</v>
      </c>
      <c r="AA187">
        <v>0</v>
      </c>
      <c r="AB187">
        <v>0</v>
      </c>
      <c r="AC187">
        <v>0</v>
      </c>
      <c r="AD187">
        <v>0</v>
      </c>
      <c r="AE187">
        <v>0</v>
      </c>
      <c r="AF187">
        <v>0</v>
      </c>
      <c r="AG187">
        <v>0</v>
      </c>
      <c r="AH187">
        <v>0</v>
      </c>
      <c r="AI187">
        <v>0</v>
      </c>
      <c r="AJ187">
        <v>0</v>
      </c>
      <c r="AK187">
        <v>0</v>
      </c>
      <c r="AL187">
        <v>0</v>
      </c>
      <c r="AM187">
        <v>1</v>
      </c>
      <c r="AN187">
        <v>0</v>
      </c>
    </row>
    <row r="188" spans="1:40" x14ac:dyDescent="0.25">
      <c r="A188" t="s">
        <v>1451</v>
      </c>
      <c r="B188" t="s">
        <v>1453</v>
      </c>
      <c r="F188" t="s">
        <v>302</v>
      </c>
      <c r="G188" t="s">
        <v>3325</v>
      </c>
      <c r="H188">
        <v>2018</v>
      </c>
      <c r="I188">
        <v>70</v>
      </c>
      <c r="N188">
        <v>32</v>
      </c>
      <c r="O188">
        <v>45</v>
      </c>
      <c r="Q188" t="s">
        <v>4494</v>
      </c>
      <c r="T188">
        <v>1</v>
      </c>
      <c r="U188">
        <v>0.5</v>
      </c>
      <c r="V188">
        <v>0</v>
      </c>
      <c r="W188">
        <v>0</v>
      </c>
      <c r="X188">
        <v>0</v>
      </c>
      <c r="Y188">
        <v>0</v>
      </c>
      <c r="Z188">
        <v>0</v>
      </c>
      <c r="AA188">
        <v>0</v>
      </c>
      <c r="AB188">
        <v>0</v>
      </c>
      <c r="AC188">
        <v>0</v>
      </c>
      <c r="AD188">
        <v>0</v>
      </c>
      <c r="AE188">
        <v>0</v>
      </c>
      <c r="AF188">
        <v>0</v>
      </c>
      <c r="AG188">
        <v>0</v>
      </c>
      <c r="AH188">
        <v>0</v>
      </c>
      <c r="AI188">
        <v>0</v>
      </c>
      <c r="AJ188">
        <v>0</v>
      </c>
      <c r="AK188">
        <v>0</v>
      </c>
      <c r="AL188">
        <v>0</v>
      </c>
      <c r="AM188">
        <v>1</v>
      </c>
      <c r="AN188">
        <v>0</v>
      </c>
    </row>
    <row r="189" spans="1:40" x14ac:dyDescent="0.25">
      <c r="A189" t="s">
        <v>4495</v>
      </c>
      <c r="B189" t="s">
        <v>4496</v>
      </c>
      <c r="F189" t="s">
        <v>300</v>
      </c>
      <c r="G189" t="s">
        <v>3325</v>
      </c>
      <c r="H189">
        <v>2018</v>
      </c>
      <c r="I189">
        <v>40</v>
      </c>
      <c r="J189">
        <v>2</v>
      </c>
      <c r="N189">
        <v>272</v>
      </c>
      <c r="O189">
        <v>288</v>
      </c>
      <c r="Q189" t="s">
        <v>4497</v>
      </c>
      <c r="T189">
        <v>1</v>
      </c>
      <c r="U189">
        <v>0.5</v>
      </c>
      <c r="V189">
        <v>0</v>
      </c>
      <c r="W189">
        <v>0</v>
      </c>
      <c r="X189">
        <v>0</v>
      </c>
      <c r="Y189">
        <v>0</v>
      </c>
      <c r="Z189">
        <v>0</v>
      </c>
      <c r="AA189">
        <v>0</v>
      </c>
      <c r="AB189">
        <v>0</v>
      </c>
      <c r="AC189">
        <v>0</v>
      </c>
      <c r="AD189">
        <v>0</v>
      </c>
      <c r="AE189">
        <v>0</v>
      </c>
      <c r="AF189">
        <v>0</v>
      </c>
      <c r="AG189">
        <v>0</v>
      </c>
      <c r="AH189">
        <v>0</v>
      </c>
      <c r="AI189">
        <v>0</v>
      </c>
      <c r="AJ189">
        <v>0</v>
      </c>
      <c r="AK189">
        <v>0</v>
      </c>
      <c r="AL189">
        <v>0</v>
      </c>
      <c r="AM189">
        <v>1</v>
      </c>
      <c r="AN189">
        <v>0</v>
      </c>
    </row>
    <row r="190" spans="1:40" x14ac:dyDescent="0.25">
      <c r="A190" t="s">
        <v>1436</v>
      </c>
      <c r="B190" t="s">
        <v>1438</v>
      </c>
      <c r="F190" t="s">
        <v>302</v>
      </c>
      <c r="G190" t="s">
        <v>3675</v>
      </c>
      <c r="H190">
        <v>2018</v>
      </c>
      <c r="I190">
        <v>69</v>
      </c>
      <c r="N190">
        <v>1</v>
      </c>
      <c r="O190">
        <v>8</v>
      </c>
      <c r="Q190" t="s">
        <v>4498</v>
      </c>
      <c r="T190">
        <v>1</v>
      </c>
      <c r="U190">
        <v>0.5</v>
      </c>
      <c r="V190">
        <v>0</v>
      </c>
      <c r="W190">
        <v>0</v>
      </c>
      <c r="X190">
        <v>0</v>
      </c>
      <c r="Y190">
        <v>0</v>
      </c>
      <c r="Z190">
        <v>0</v>
      </c>
      <c r="AA190">
        <v>0</v>
      </c>
      <c r="AB190">
        <v>0</v>
      </c>
      <c r="AC190">
        <v>0</v>
      </c>
      <c r="AD190">
        <v>0</v>
      </c>
      <c r="AE190">
        <v>0</v>
      </c>
      <c r="AF190">
        <v>0</v>
      </c>
      <c r="AG190">
        <v>0</v>
      </c>
      <c r="AH190">
        <v>0</v>
      </c>
      <c r="AI190">
        <v>0</v>
      </c>
      <c r="AJ190">
        <v>0</v>
      </c>
      <c r="AK190">
        <v>0</v>
      </c>
      <c r="AL190">
        <v>0</v>
      </c>
      <c r="AM190">
        <v>1</v>
      </c>
      <c r="AN190">
        <v>0</v>
      </c>
    </row>
    <row r="191" spans="1:40" x14ac:dyDescent="0.25">
      <c r="A191" t="s">
        <v>4499</v>
      </c>
      <c r="B191" t="s">
        <v>4500</v>
      </c>
      <c r="F191" t="s">
        <v>2787</v>
      </c>
      <c r="G191" t="s">
        <v>3675</v>
      </c>
      <c r="H191">
        <v>2018</v>
      </c>
      <c r="I191">
        <v>22</v>
      </c>
      <c r="J191">
        <v>1</v>
      </c>
      <c r="N191">
        <v>231</v>
      </c>
      <c r="O191">
        <v>242</v>
      </c>
      <c r="Q191" t="s">
        <v>4501</v>
      </c>
      <c r="T191">
        <v>1</v>
      </c>
      <c r="U191">
        <v>0.5</v>
      </c>
      <c r="V191">
        <v>0</v>
      </c>
      <c r="W191">
        <v>0</v>
      </c>
      <c r="X191">
        <v>0</v>
      </c>
      <c r="Y191">
        <v>0</v>
      </c>
      <c r="Z191">
        <v>0</v>
      </c>
      <c r="AA191">
        <v>0</v>
      </c>
      <c r="AB191">
        <v>0</v>
      </c>
      <c r="AC191">
        <v>0</v>
      </c>
      <c r="AD191">
        <v>0</v>
      </c>
      <c r="AE191">
        <v>0</v>
      </c>
      <c r="AF191">
        <v>0</v>
      </c>
      <c r="AG191">
        <v>0</v>
      </c>
      <c r="AH191">
        <v>0</v>
      </c>
      <c r="AI191">
        <v>0</v>
      </c>
      <c r="AJ191">
        <v>0</v>
      </c>
      <c r="AK191">
        <v>0</v>
      </c>
      <c r="AL191">
        <v>0</v>
      </c>
      <c r="AM191">
        <v>1</v>
      </c>
      <c r="AN191">
        <v>0</v>
      </c>
    </row>
    <row r="192" spans="1:40" x14ac:dyDescent="0.25">
      <c r="A192" t="s">
        <v>4502</v>
      </c>
      <c r="B192" t="s">
        <v>4503</v>
      </c>
      <c r="F192" t="s">
        <v>333</v>
      </c>
      <c r="G192" t="s">
        <v>3675</v>
      </c>
      <c r="H192">
        <v>2018</v>
      </c>
      <c r="I192">
        <v>32</v>
      </c>
      <c r="J192">
        <v>1</v>
      </c>
      <c r="M192" t="s">
        <v>1948</v>
      </c>
      <c r="P192">
        <v>1860014</v>
      </c>
      <c r="Q192" t="s">
        <v>4504</v>
      </c>
      <c r="R192" t="s">
        <v>4505</v>
      </c>
      <c r="S192" t="s">
        <v>4506</v>
      </c>
      <c r="T192">
        <v>1</v>
      </c>
      <c r="U192">
        <v>0.5</v>
      </c>
      <c r="V192">
        <v>0</v>
      </c>
      <c r="W192">
        <v>0</v>
      </c>
      <c r="X192">
        <v>0</v>
      </c>
      <c r="Y192">
        <v>0</v>
      </c>
      <c r="Z192">
        <v>0</v>
      </c>
      <c r="AA192">
        <v>0</v>
      </c>
      <c r="AB192">
        <v>0</v>
      </c>
      <c r="AC192">
        <v>0</v>
      </c>
      <c r="AD192">
        <v>0</v>
      </c>
      <c r="AE192">
        <v>0</v>
      </c>
      <c r="AF192">
        <v>0</v>
      </c>
      <c r="AG192">
        <v>0</v>
      </c>
      <c r="AH192">
        <v>0</v>
      </c>
      <c r="AI192">
        <v>0</v>
      </c>
      <c r="AJ192">
        <v>0</v>
      </c>
      <c r="AK192">
        <v>0</v>
      </c>
      <c r="AL192">
        <v>0</v>
      </c>
      <c r="AM192">
        <v>0</v>
      </c>
      <c r="AN192">
        <v>1</v>
      </c>
    </row>
    <row r="193" spans="1:40" x14ac:dyDescent="0.25">
      <c r="A193" t="s">
        <v>1695</v>
      </c>
      <c r="B193" t="s">
        <v>1697</v>
      </c>
      <c r="F193" t="s">
        <v>308</v>
      </c>
      <c r="G193" t="s">
        <v>3675</v>
      </c>
      <c r="H193">
        <v>2018</v>
      </c>
      <c r="I193">
        <v>73</v>
      </c>
      <c r="N193">
        <v>99</v>
      </c>
      <c r="O193">
        <v>110</v>
      </c>
      <c r="Q193" t="s">
        <v>4507</v>
      </c>
      <c r="T193">
        <v>1</v>
      </c>
      <c r="U193">
        <v>0.5</v>
      </c>
      <c r="V193">
        <v>0</v>
      </c>
      <c r="W193">
        <v>0</v>
      </c>
      <c r="X193">
        <v>0</v>
      </c>
      <c r="Y193">
        <v>0</v>
      </c>
      <c r="Z193">
        <v>0</v>
      </c>
      <c r="AA193">
        <v>0</v>
      </c>
      <c r="AB193">
        <v>0</v>
      </c>
      <c r="AC193">
        <v>0</v>
      </c>
      <c r="AD193">
        <v>0</v>
      </c>
      <c r="AE193">
        <v>0</v>
      </c>
      <c r="AF193">
        <v>0</v>
      </c>
      <c r="AG193">
        <v>0</v>
      </c>
      <c r="AH193">
        <v>0</v>
      </c>
      <c r="AI193">
        <v>0</v>
      </c>
      <c r="AJ193">
        <v>0</v>
      </c>
      <c r="AK193">
        <v>0</v>
      </c>
      <c r="AL193">
        <v>0</v>
      </c>
      <c r="AM193">
        <v>1</v>
      </c>
      <c r="AN193">
        <v>0</v>
      </c>
    </row>
    <row r="194" spans="1:40" x14ac:dyDescent="0.25">
      <c r="A194" t="s">
        <v>4508</v>
      </c>
      <c r="B194" t="s">
        <v>4509</v>
      </c>
      <c r="F194" t="s">
        <v>327</v>
      </c>
      <c r="G194" t="s">
        <v>3675</v>
      </c>
      <c r="H194">
        <v>2018</v>
      </c>
      <c r="I194">
        <v>39</v>
      </c>
      <c r="N194">
        <v>154</v>
      </c>
      <c r="O194">
        <v>167</v>
      </c>
      <c r="Q194" t="s">
        <v>4510</v>
      </c>
      <c r="T194">
        <v>1</v>
      </c>
      <c r="U194">
        <v>0.5</v>
      </c>
      <c r="V194">
        <v>0</v>
      </c>
      <c r="W194">
        <v>0</v>
      </c>
      <c r="X194">
        <v>0</v>
      </c>
      <c r="Y194">
        <v>0</v>
      </c>
      <c r="Z194">
        <v>0</v>
      </c>
      <c r="AA194">
        <v>0</v>
      </c>
      <c r="AB194">
        <v>0</v>
      </c>
      <c r="AC194">
        <v>0</v>
      </c>
      <c r="AD194">
        <v>0</v>
      </c>
      <c r="AE194">
        <v>0</v>
      </c>
      <c r="AF194">
        <v>0</v>
      </c>
      <c r="AG194">
        <v>0</v>
      </c>
      <c r="AH194">
        <v>0</v>
      </c>
      <c r="AI194">
        <v>0</v>
      </c>
      <c r="AJ194">
        <v>0</v>
      </c>
      <c r="AK194">
        <v>0</v>
      </c>
      <c r="AL194">
        <v>0</v>
      </c>
      <c r="AM194">
        <v>1</v>
      </c>
      <c r="AN194">
        <v>0</v>
      </c>
    </row>
    <row r="195" spans="1:40" x14ac:dyDescent="0.25">
      <c r="A195" t="s">
        <v>1442</v>
      </c>
      <c r="B195" t="s">
        <v>1444</v>
      </c>
      <c r="F195" t="s">
        <v>302</v>
      </c>
      <c r="G195" t="s">
        <v>3496</v>
      </c>
      <c r="H195">
        <v>2017</v>
      </c>
      <c r="I195">
        <v>68</v>
      </c>
      <c r="M195" t="s">
        <v>1948</v>
      </c>
      <c r="N195">
        <v>28</v>
      </c>
      <c r="O195">
        <v>39</v>
      </c>
      <c r="Q195" t="s">
        <v>4511</v>
      </c>
      <c r="T195">
        <v>1</v>
      </c>
      <c r="U195">
        <v>0.33</v>
      </c>
      <c r="V195">
        <v>0</v>
      </c>
      <c r="W195">
        <v>0</v>
      </c>
      <c r="X195">
        <v>0</v>
      </c>
      <c r="Y195">
        <v>0</v>
      </c>
      <c r="Z195">
        <v>0</v>
      </c>
      <c r="AA195">
        <v>0</v>
      </c>
      <c r="AB195">
        <v>0</v>
      </c>
      <c r="AC195">
        <v>0</v>
      </c>
      <c r="AD195">
        <v>0</v>
      </c>
      <c r="AE195">
        <v>0</v>
      </c>
      <c r="AF195">
        <v>0</v>
      </c>
      <c r="AG195">
        <v>0</v>
      </c>
      <c r="AH195">
        <v>0</v>
      </c>
      <c r="AI195">
        <v>0</v>
      </c>
      <c r="AJ195">
        <v>0</v>
      </c>
      <c r="AK195">
        <v>0</v>
      </c>
      <c r="AL195">
        <v>0</v>
      </c>
      <c r="AM195">
        <v>1</v>
      </c>
      <c r="AN195">
        <v>0</v>
      </c>
    </row>
    <row r="196" spans="1:40" x14ac:dyDescent="0.25">
      <c r="A196" t="s">
        <v>1416</v>
      </c>
      <c r="B196" t="s">
        <v>1418</v>
      </c>
      <c r="F196" t="s">
        <v>310</v>
      </c>
      <c r="G196" t="s">
        <v>3496</v>
      </c>
      <c r="H196">
        <v>2017</v>
      </c>
      <c r="I196">
        <v>11</v>
      </c>
      <c r="J196">
        <v>8</v>
      </c>
      <c r="N196">
        <v>623</v>
      </c>
      <c r="O196">
        <v>632</v>
      </c>
      <c r="Q196" t="s">
        <v>4512</v>
      </c>
      <c r="T196">
        <v>1</v>
      </c>
      <c r="U196">
        <v>0.33</v>
      </c>
      <c r="V196">
        <v>0</v>
      </c>
      <c r="W196">
        <v>0</v>
      </c>
      <c r="X196">
        <v>0</v>
      </c>
      <c r="Y196">
        <v>0</v>
      </c>
      <c r="Z196">
        <v>0</v>
      </c>
      <c r="AA196">
        <v>0</v>
      </c>
      <c r="AB196">
        <v>0</v>
      </c>
      <c r="AC196">
        <v>0</v>
      </c>
      <c r="AD196">
        <v>0</v>
      </c>
      <c r="AE196">
        <v>0</v>
      </c>
      <c r="AF196">
        <v>0</v>
      </c>
      <c r="AG196">
        <v>0</v>
      </c>
      <c r="AH196">
        <v>0</v>
      </c>
      <c r="AI196">
        <v>0</v>
      </c>
      <c r="AJ196">
        <v>0</v>
      </c>
      <c r="AK196">
        <v>0</v>
      </c>
      <c r="AL196">
        <v>0</v>
      </c>
      <c r="AM196">
        <v>0</v>
      </c>
      <c r="AN196">
        <v>1</v>
      </c>
    </row>
    <row r="197" spans="1:40" x14ac:dyDescent="0.25">
      <c r="A197" t="s">
        <v>4513</v>
      </c>
      <c r="B197" t="s">
        <v>4514</v>
      </c>
      <c r="F197" t="s">
        <v>310</v>
      </c>
      <c r="G197" t="s">
        <v>3496</v>
      </c>
      <c r="H197">
        <v>2017</v>
      </c>
      <c r="I197">
        <v>11</v>
      </c>
      <c r="J197">
        <v>8</v>
      </c>
      <c r="N197">
        <v>710</v>
      </c>
      <c r="O197">
        <v>716</v>
      </c>
      <c r="Q197" t="s">
        <v>4515</v>
      </c>
      <c r="T197">
        <v>1</v>
      </c>
      <c r="U197">
        <v>0.33</v>
      </c>
      <c r="V197">
        <v>0</v>
      </c>
      <c r="W197">
        <v>0</v>
      </c>
      <c r="X197">
        <v>0</v>
      </c>
      <c r="Y197">
        <v>0</v>
      </c>
      <c r="Z197">
        <v>0</v>
      </c>
      <c r="AA197">
        <v>0</v>
      </c>
      <c r="AB197">
        <v>0</v>
      </c>
      <c r="AC197">
        <v>0</v>
      </c>
      <c r="AD197">
        <v>0</v>
      </c>
      <c r="AE197">
        <v>0</v>
      </c>
      <c r="AF197">
        <v>0</v>
      </c>
      <c r="AG197">
        <v>0</v>
      </c>
      <c r="AH197">
        <v>0</v>
      </c>
      <c r="AI197">
        <v>0</v>
      </c>
      <c r="AJ197">
        <v>0</v>
      </c>
      <c r="AK197">
        <v>0</v>
      </c>
      <c r="AL197">
        <v>0</v>
      </c>
      <c r="AM197">
        <v>1</v>
      </c>
      <c r="AN197">
        <v>0</v>
      </c>
    </row>
    <row r="198" spans="1:40" x14ac:dyDescent="0.25">
      <c r="A198" t="s">
        <v>4516</v>
      </c>
      <c r="B198" t="s">
        <v>4517</v>
      </c>
      <c r="F198" t="s">
        <v>301</v>
      </c>
      <c r="G198" t="s">
        <v>4209</v>
      </c>
      <c r="H198">
        <v>2017</v>
      </c>
      <c r="I198">
        <v>60</v>
      </c>
      <c r="N198">
        <v>655</v>
      </c>
      <c r="O198">
        <v>669</v>
      </c>
      <c r="Q198" t="s">
        <v>4518</v>
      </c>
      <c r="T198">
        <v>1</v>
      </c>
      <c r="U198">
        <v>0.33</v>
      </c>
      <c r="V198">
        <v>0</v>
      </c>
      <c r="W198">
        <v>0</v>
      </c>
      <c r="X198">
        <v>0</v>
      </c>
      <c r="Y198">
        <v>0</v>
      </c>
      <c r="Z198">
        <v>0</v>
      </c>
      <c r="AA198">
        <v>0</v>
      </c>
      <c r="AB198">
        <v>0</v>
      </c>
      <c r="AC198">
        <v>0</v>
      </c>
      <c r="AD198">
        <v>0</v>
      </c>
      <c r="AE198">
        <v>0</v>
      </c>
      <c r="AF198">
        <v>0</v>
      </c>
      <c r="AG198">
        <v>0</v>
      </c>
      <c r="AH198">
        <v>0</v>
      </c>
      <c r="AI198">
        <v>0</v>
      </c>
      <c r="AJ198">
        <v>0</v>
      </c>
      <c r="AK198">
        <v>0</v>
      </c>
      <c r="AL198">
        <v>1</v>
      </c>
      <c r="AM198">
        <v>0</v>
      </c>
      <c r="AN198">
        <v>0</v>
      </c>
    </row>
    <row r="199" spans="1:40" x14ac:dyDescent="0.25">
      <c r="A199" t="s">
        <v>4519</v>
      </c>
      <c r="B199" t="s">
        <v>4520</v>
      </c>
      <c r="F199" t="s">
        <v>315</v>
      </c>
      <c r="G199" t="s">
        <v>4209</v>
      </c>
      <c r="H199">
        <v>2017</v>
      </c>
      <c r="I199">
        <v>28</v>
      </c>
      <c r="J199">
        <v>8</v>
      </c>
      <c r="N199">
        <v>965</v>
      </c>
      <c r="O199">
        <v>985</v>
      </c>
      <c r="Q199" t="s">
        <v>4521</v>
      </c>
      <c r="T199">
        <v>1</v>
      </c>
      <c r="U199">
        <v>0.33</v>
      </c>
      <c r="V199">
        <v>0</v>
      </c>
      <c r="W199">
        <v>0</v>
      </c>
      <c r="X199">
        <v>0</v>
      </c>
      <c r="Y199">
        <v>0</v>
      </c>
      <c r="Z199">
        <v>0</v>
      </c>
      <c r="AA199">
        <v>0</v>
      </c>
      <c r="AB199">
        <v>0</v>
      </c>
      <c r="AC199">
        <v>0</v>
      </c>
      <c r="AD199">
        <v>0</v>
      </c>
      <c r="AE199">
        <v>0</v>
      </c>
      <c r="AF199">
        <v>0</v>
      </c>
      <c r="AG199">
        <v>0</v>
      </c>
      <c r="AH199">
        <v>0</v>
      </c>
      <c r="AI199">
        <v>0</v>
      </c>
      <c r="AJ199">
        <v>0</v>
      </c>
      <c r="AK199">
        <v>0</v>
      </c>
      <c r="AL199">
        <v>0</v>
      </c>
      <c r="AM199">
        <v>1</v>
      </c>
      <c r="AN199">
        <v>0</v>
      </c>
    </row>
    <row r="200" spans="1:40" x14ac:dyDescent="0.25">
      <c r="A200" t="s">
        <v>4522</v>
      </c>
      <c r="B200" t="s">
        <v>4523</v>
      </c>
      <c r="F200" t="s">
        <v>3783</v>
      </c>
      <c r="G200" t="s">
        <v>3354</v>
      </c>
      <c r="H200">
        <v>2017</v>
      </c>
      <c r="I200">
        <v>47</v>
      </c>
      <c r="J200">
        <v>2</v>
      </c>
      <c r="N200">
        <v>473</v>
      </c>
      <c r="O200">
        <v>487</v>
      </c>
      <c r="Q200" t="s">
        <v>4524</v>
      </c>
      <c r="T200">
        <v>1</v>
      </c>
      <c r="U200">
        <v>0.33</v>
      </c>
      <c r="V200">
        <v>0</v>
      </c>
      <c r="W200">
        <v>0</v>
      </c>
      <c r="X200">
        <v>0</v>
      </c>
      <c r="Y200">
        <v>0</v>
      </c>
      <c r="Z200">
        <v>0</v>
      </c>
      <c r="AA200">
        <v>0</v>
      </c>
      <c r="AB200">
        <v>0</v>
      </c>
      <c r="AC200">
        <v>0</v>
      </c>
      <c r="AD200">
        <v>0</v>
      </c>
      <c r="AE200">
        <v>0</v>
      </c>
      <c r="AF200">
        <v>0</v>
      </c>
      <c r="AG200">
        <v>0</v>
      </c>
      <c r="AH200">
        <v>0</v>
      </c>
      <c r="AI200">
        <v>0</v>
      </c>
      <c r="AJ200">
        <v>0</v>
      </c>
      <c r="AK200">
        <v>0</v>
      </c>
      <c r="AL200">
        <v>0</v>
      </c>
      <c r="AM200">
        <v>1</v>
      </c>
      <c r="AN200">
        <v>0</v>
      </c>
    </row>
    <row r="201" spans="1:40" x14ac:dyDescent="0.25">
      <c r="A201" t="s">
        <v>4525</v>
      </c>
      <c r="B201" t="s">
        <v>4526</v>
      </c>
      <c r="F201" t="s">
        <v>4327</v>
      </c>
      <c r="G201" t="s">
        <v>4527</v>
      </c>
      <c r="H201">
        <v>2017</v>
      </c>
      <c r="I201">
        <v>19</v>
      </c>
      <c r="J201">
        <v>4</v>
      </c>
      <c r="M201" t="s">
        <v>1948</v>
      </c>
      <c r="N201">
        <v>1132</v>
      </c>
      <c r="O201">
        <v>1143</v>
      </c>
      <c r="Q201" t="s">
        <v>4528</v>
      </c>
      <c r="T201">
        <v>1</v>
      </c>
      <c r="U201">
        <v>0.33</v>
      </c>
      <c r="V201">
        <v>0</v>
      </c>
      <c r="W201">
        <v>0</v>
      </c>
      <c r="X201">
        <v>0</v>
      </c>
      <c r="Y201">
        <v>0</v>
      </c>
      <c r="Z201">
        <v>0</v>
      </c>
      <c r="AA201">
        <v>0</v>
      </c>
      <c r="AB201">
        <v>0</v>
      </c>
      <c r="AC201">
        <v>0</v>
      </c>
      <c r="AD201">
        <v>0</v>
      </c>
      <c r="AE201">
        <v>0</v>
      </c>
      <c r="AF201">
        <v>0</v>
      </c>
      <c r="AG201">
        <v>0</v>
      </c>
      <c r="AH201">
        <v>0</v>
      </c>
      <c r="AI201">
        <v>0</v>
      </c>
      <c r="AJ201">
        <v>0</v>
      </c>
      <c r="AK201">
        <v>0</v>
      </c>
      <c r="AL201">
        <v>1</v>
      </c>
      <c r="AM201">
        <v>0</v>
      </c>
      <c r="AN201">
        <v>0</v>
      </c>
    </row>
    <row r="202" spans="1:40" x14ac:dyDescent="0.25">
      <c r="A202" t="s">
        <v>4529</v>
      </c>
      <c r="B202" t="s">
        <v>4530</v>
      </c>
      <c r="F202" t="s">
        <v>4531</v>
      </c>
      <c r="G202" t="s">
        <v>4527</v>
      </c>
      <c r="H202">
        <v>2017</v>
      </c>
      <c r="I202">
        <v>9</v>
      </c>
      <c r="J202">
        <v>4</v>
      </c>
      <c r="N202">
        <v>482</v>
      </c>
      <c r="O202">
        <v>493</v>
      </c>
      <c r="Q202" t="s">
        <v>4532</v>
      </c>
      <c r="T202">
        <v>1</v>
      </c>
      <c r="U202">
        <v>0.33</v>
      </c>
      <c r="V202">
        <v>0</v>
      </c>
      <c r="W202">
        <v>0</v>
      </c>
      <c r="X202">
        <v>0</v>
      </c>
      <c r="Y202">
        <v>0</v>
      </c>
      <c r="Z202">
        <v>0</v>
      </c>
      <c r="AA202">
        <v>0</v>
      </c>
      <c r="AB202">
        <v>0</v>
      </c>
      <c r="AC202">
        <v>0</v>
      </c>
      <c r="AD202">
        <v>0</v>
      </c>
      <c r="AE202">
        <v>0</v>
      </c>
      <c r="AF202">
        <v>0</v>
      </c>
      <c r="AG202">
        <v>0</v>
      </c>
      <c r="AH202">
        <v>0</v>
      </c>
      <c r="AI202">
        <v>0</v>
      </c>
      <c r="AJ202">
        <v>0</v>
      </c>
      <c r="AK202">
        <v>0</v>
      </c>
      <c r="AL202">
        <v>0</v>
      </c>
      <c r="AM202">
        <v>1</v>
      </c>
      <c r="AN202">
        <v>0</v>
      </c>
    </row>
    <row r="203" spans="1:40" x14ac:dyDescent="0.25">
      <c r="A203" t="s">
        <v>4533</v>
      </c>
      <c r="B203" t="s">
        <v>4534</v>
      </c>
      <c r="F203" t="s">
        <v>311</v>
      </c>
      <c r="G203" t="s">
        <v>4527</v>
      </c>
      <c r="H203">
        <v>2017</v>
      </c>
      <c r="I203">
        <v>26</v>
      </c>
      <c r="J203">
        <v>8</v>
      </c>
      <c r="N203">
        <v>3748</v>
      </c>
      <c r="O203">
        <v>3758</v>
      </c>
      <c r="Q203" t="s">
        <v>4535</v>
      </c>
      <c r="T203">
        <v>1</v>
      </c>
      <c r="U203">
        <v>0.33</v>
      </c>
      <c r="V203">
        <v>0</v>
      </c>
      <c r="W203">
        <v>0</v>
      </c>
      <c r="X203">
        <v>0</v>
      </c>
      <c r="Y203">
        <v>0</v>
      </c>
      <c r="Z203">
        <v>0</v>
      </c>
      <c r="AA203">
        <v>0</v>
      </c>
      <c r="AB203">
        <v>0</v>
      </c>
      <c r="AC203">
        <v>0</v>
      </c>
      <c r="AD203">
        <v>0</v>
      </c>
      <c r="AE203">
        <v>0</v>
      </c>
      <c r="AF203">
        <v>0</v>
      </c>
      <c r="AG203">
        <v>0</v>
      </c>
      <c r="AH203">
        <v>0</v>
      </c>
      <c r="AI203">
        <v>0</v>
      </c>
      <c r="AJ203">
        <v>0</v>
      </c>
      <c r="AK203">
        <v>0</v>
      </c>
      <c r="AL203">
        <v>0</v>
      </c>
      <c r="AM203">
        <v>1</v>
      </c>
      <c r="AN203">
        <v>0</v>
      </c>
    </row>
    <row r="204" spans="1:40" x14ac:dyDescent="0.25">
      <c r="A204" t="s">
        <v>4536</v>
      </c>
      <c r="B204" t="s">
        <v>4537</v>
      </c>
      <c r="F204" t="s">
        <v>306</v>
      </c>
      <c r="G204" t="s">
        <v>4538</v>
      </c>
      <c r="H204">
        <v>2017</v>
      </c>
      <c r="I204">
        <v>248</v>
      </c>
      <c r="M204" t="s">
        <v>1948</v>
      </c>
      <c r="N204">
        <v>105</v>
      </c>
      <c r="O204">
        <v>111</v>
      </c>
      <c r="Q204" t="s">
        <v>4539</v>
      </c>
      <c r="R204" t="s">
        <v>4540</v>
      </c>
      <c r="S204" t="s">
        <v>4541</v>
      </c>
      <c r="T204">
        <v>1</v>
      </c>
      <c r="U204">
        <v>0.33</v>
      </c>
      <c r="V204">
        <v>0</v>
      </c>
      <c r="W204">
        <v>0</v>
      </c>
      <c r="X204">
        <v>0</v>
      </c>
      <c r="Y204">
        <v>0</v>
      </c>
      <c r="Z204">
        <v>0</v>
      </c>
      <c r="AA204">
        <v>0</v>
      </c>
      <c r="AB204">
        <v>0</v>
      </c>
      <c r="AC204">
        <v>0</v>
      </c>
      <c r="AD204">
        <v>0</v>
      </c>
      <c r="AE204">
        <v>0</v>
      </c>
      <c r="AF204">
        <v>0</v>
      </c>
      <c r="AG204">
        <v>0</v>
      </c>
      <c r="AH204">
        <v>0</v>
      </c>
      <c r="AI204">
        <v>0</v>
      </c>
      <c r="AJ204">
        <v>0</v>
      </c>
      <c r="AK204">
        <v>0</v>
      </c>
      <c r="AL204">
        <v>0</v>
      </c>
      <c r="AM204">
        <v>1</v>
      </c>
      <c r="AN204">
        <v>0</v>
      </c>
    </row>
    <row r="205" spans="1:40" x14ac:dyDescent="0.25">
      <c r="A205" t="s">
        <v>4542</v>
      </c>
      <c r="B205" t="s">
        <v>4543</v>
      </c>
      <c r="F205" t="s">
        <v>3813</v>
      </c>
      <c r="G205" t="s">
        <v>3883</v>
      </c>
      <c r="H205">
        <v>2017</v>
      </c>
      <c r="I205">
        <v>45</v>
      </c>
      <c r="J205">
        <v>3</v>
      </c>
      <c r="M205" t="s">
        <v>1948</v>
      </c>
      <c r="N205">
        <v>745</v>
      </c>
      <c r="O205">
        <v>758</v>
      </c>
      <c r="Q205" t="s">
        <v>4544</v>
      </c>
      <c r="T205">
        <v>1</v>
      </c>
      <c r="U205">
        <v>0.33</v>
      </c>
      <c r="V205">
        <v>0</v>
      </c>
      <c r="W205">
        <v>0</v>
      </c>
      <c r="X205">
        <v>0</v>
      </c>
      <c r="Y205">
        <v>0</v>
      </c>
      <c r="Z205">
        <v>0</v>
      </c>
      <c r="AA205">
        <v>0</v>
      </c>
      <c r="AB205">
        <v>0</v>
      </c>
      <c r="AC205">
        <v>0</v>
      </c>
      <c r="AD205">
        <v>0</v>
      </c>
      <c r="AE205">
        <v>0</v>
      </c>
      <c r="AF205">
        <v>0</v>
      </c>
      <c r="AG205">
        <v>0</v>
      </c>
      <c r="AH205">
        <v>0</v>
      </c>
      <c r="AI205">
        <v>0</v>
      </c>
      <c r="AJ205">
        <v>0</v>
      </c>
      <c r="AK205">
        <v>0</v>
      </c>
      <c r="AL205">
        <v>0</v>
      </c>
      <c r="AM205">
        <v>1</v>
      </c>
      <c r="AN205">
        <v>0</v>
      </c>
    </row>
    <row r="206" spans="1:40" x14ac:dyDescent="0.25">
      <c r="A206" t="s">
        <v>4545</v>
      </c>
      <c r="B206" t="s">
        <v>4546</v>
      </c>
      <c r="F206" t="s">
        <v>306</v>
      </c>
      <c r="G206" t="s">
        <v>4547</v>
      </c>
      <c r="H206">
        <v>2017</v>
      </c>
      <c r="I206">
        <v>240</v>
      </c>
      <c r="N206">
        <v>70</v>
      </c>
      <c r="O206">
        <v>83</v>
      </c>
      <c r="Q206" t="s">
        <v>4548</v>
      </c>
      <c r="T206">
        <v>1</v>
      </c>
      <c r="U206">
        <v>0.33</v>
      </c>
      <c r="V206">
        <v>0</v>
      </c>
      <c r="W206">
        <v>0</v>
      </c>
      <c r="X206">
        <v>0</v>
      </c>
      <c r="Y206">
        <v>0</v>
      </c>
      <c r="Z206">
        <v>0</v>
      </c>
      <c r="AA206">
        <v>0</v>
      </c>
      <c r="AB206">
        <v>0</v>
      </c>
      <c r="AC206">
        <v>0</v>
      </c>
      <c r="AD206">
        <v>0</v>
      </c>
      <c r="AE206">
        <v>0</v>
      </c>
      <c r="AF206">
        <v>0</v>
      </c>
      <c r="AG206">
        <v>0</v>
      </c>
      <c r="AH206">
        <v>0</v>
      </c>
      <c r="AI206">
        <v>0</v>
      </c>
      <c r="AJ206">
        <v>0</v>
      </c>
      <c r="AK206">
        <v>0</v>
      </c>
      <c r="AL206">
        <v>0</v>
      </c>
      <c r="AM206">
        <v>1</v>
      </c>
      <c r="AN206">
        <v>0</v>
      </c>
    </row>
    <row r="207" spans="1:40" x14ac:dyDescent="0.25">
      <c r="A207" t="s">
        <v>4549</v>
      </c>
      <c r="B207" t="s">
        <v>4550</v>
      </c>
      <c r="F207" t="s">
        <v>301</v>
      </c>
      <c r="G207" t="s">
        <v>3500</v>
      </c>
      <c r="H207">
        <v>2017</v>
      </c>
      <c r="I207">
        <v>52</v>
      </c>
      <c r="N207">
        <v>487</v>
      </c>
      <c r="O207">
        <v>500</v>
      </c>
      <c r="Q207" t="s">
        <v>4551</v>
      </c>
      <c r="T207">
        <v>1</v>
      </c>
      <c r="U207">
        <v>0.33</v>
      </c>
      <c r="V207">
        <v>0</v>
      </c>
      <c r="W207">
        <v>0</v>
      </c>
      <c r="X207">
        <v>0</v>
      </c>
      <c r="Y207">
        <v>0</v>
      </c>
      <c r="Z207">
        <v>0</v>
      </c>
      <c r="AA207">
        <v>0</v>
      </c>
      <c r="AB207">
        <v>0</v>
      </c>
      <c r="AC207">
        <v>0</v>
      </c>
      <c r="AD207">
        <v>0</v>
      </c>
      <c r="AE207">
        <v>0</v>
      </c>
      <c r="AF207">
        <v>0</v>
      </c>
      <c r="AG207">
        <v>0</v>
      </c>
      <c r="AH207">
        <v>0</v>
      </c>
      <c r="AI207">
        <v>0</v>
      </c>
      <c r="AJ207">
        <v>0</v>
      </c>
      <c r="AK207">
        <v>0</v>
      </c>
      <c r="AL207">
        <v>0</v>
      </c>
      <c r="AM207">
        <v>1</v>
      </c>
      <c r="AN207">
        <v>0</v>
      </c>
    </row>
    <row r="208" spans="1:40" x14ac:dyDescent="0.25">
      <c r="A208" t="s">
        <v>1566</v>
      </c>
      <c r="B208" t="s">
        <v>1568</v>
      </c>
      <c r="F208" t="s">
        <v>337</v>
      </c>
      <c r="G208" t="s">
        <v>3235</v>
      </c>
      <c r="H208">
        <v>2017</v>
      </c>
      <c r="I208">
        <v>8</v>
      </c>
      <c r="J208">
        <v>1</v>
      </c>
      <c r="M208" t="s">
        <v>1948</v>
      </c>
      <c r="N208">
        <v>79</v>
      </c>
      <c r="O208">
        <v>85</v>
      </c>
      <c r="Q208" t="s">
        <v>4552</v>
      </c>
      <c r="R208" t="s">
        <v>4553</v>
      </c>
      <c r="S208" t="s">
        <v>4554</v>
      </c>
      <c r="T208">
        <v>1</v>
      </c>
      <c r="U208">
        <v>0.33</v>
      </c>
      <c r="V208">
        <v>0</v>
      </c>
      <c r="W208">
        <v>0</v>
      </c>
      <c r="X208">
        <v>0</v>
      </c>
      <c r="Y208">
        <v>0</v>
      </c>
      <c r="Z208">
        <v>0</v>
      </c>
      <c r="AA208">
        <v>0</v>
      </c>
      <c r="AB208">
        <v>0</v>
      </c>
      <c r="AC208">
        <v>0</v>
      </c>
      <c r="AD208">
        <v>0</v>
      </c>
      <c r="AE208">
        <v>0</v>
      </c>
      <c r="AF208">
        <v>0</v>
      </c>
      <c r="AG208">
        <v>0</v>
      </c>
      <c r="AH208">
        <v>0</v>
      </c>
      <c r="AI208">
        <v>0</v>
      </c>
      <c r="AJ208">
        <v>0</v>
      </c>
      <c r="AK208">
        <v>0</v>
      </c>
      <c r="AL208">
        <v>0</v>
      </c>
      <c r="AM208">
        <v>1</v>
      </c>
      <c r="AN208">
        <v>0</v>
      </c>
    </row>
    <row r="209" spans="1:40" x14ac:dyDescent="0.25">
      <c r="A209" t="s">
        <v>4555</v>
      </c>
      <c r="B209" t="s">
        <v>4556</v>
      </c>
      <c r="F209" t="s">
        <v>325</v>
      </c>
      <c r="G209" t="s">
        <v>3235</v>
      </c>
      <c r="H209">
        <v>2017</v>
      </c>
      <c r="I209">
        <v>28</v>
      </c>
      <c r="J209">
        <v>2</v>
      </c>
      <c r="N209">
        <v>308</v>
      </c>
      <c r="O209">
        <v>320</v>
      </c>
      <c r="Q209" t="s">
        <v>4557</v>
      </c>
      <c r="T209">
        <v>1</v>
      </c>
      <c r="U209">
        <v>0.33</v>
      </c>
      <c r="V209">
        <v>0</v>
      </c>
      <c r="W209">
        <v>0</v>
      </c>
      <c r="X209">
        <v>0</v>
      </c>
      <c r="Y209">
        <v>0</v>
      </c>
      <c r="Z209">
        <v>0</v>
      </c>
      <c r="AA209">
        <v>0</v>
      </c>
      <c r="AB209">
        <v>0</v>
      </c>
      <c r="AC209">
        <v>0</v>
      </c>
      <c r="AD209">
        <v>0</v>
      </c>
      <c r="AE209">
        <v>0</v>
      </c>
      <c r="AF209">
        <v>0</v>
      </c>
      <c r="AG209">
        <v>0</v>
      </c>
      <c r="AH209">
        <v>0</v>
      </c>
      <c r="AI209">
        <v>0</v>
      </c>
      <c r="AJ209">
        <v>0</v>
      </c>
      <c r="AK209">
        <v>0</v>
      </c>
      <c r="AL209">
        <v>1</v>
      </c>
      <c r="AM209">
        <v>0</v>
      </c>
      <c r="AN209">
        <v>0</v>
      </c>
    </row>
    <row r="210" spans="1:40" x14ac:dyDescent="0.25">
      <c r="A210" t="s">
        <v>4558</v>
      </c>
      <c r="B210" t="s">
        <v>4559</v>
      </c>
      <c r="F210" t="s">
        <v>316</v>
      </c>
      <c r="G210" t="s">
        <v>3235</v>
      </c>
      <c r="H210">
        <v>2017</v>
      </c>
      <c r="I210">
        <v>11</v>
      </c>
      <c r="J210">
        <v>2</v>
      </c>
      <c r="N210">
        <v>109</v>
      </c>
      <c r="O210">
        <v>117</v>
      </c>
      <c r="Q210" t="s">
        <v>4560</v>
      </c>
      <c r="T210">
        <v>1</v>
      </c>
      <c r="U210">
        <v>0.33</v>
      </c>
      <c r="V210">
        <v>0</v>
      </c>
      <c r="W210">
        <v>0</v>
      </c>
      <c r="X210">
        <v>0</v>
      </c>
      <c r="Y210">
        <v>0</v>
      </c>
      <c r="Z210">
        <v>0</v>
      </c>
      <c r="AA210">
        <v>0</v>
      </c>
      <c r="AB210">
        <v>0</v>
      </c>
      <c r="AC210">
        <v>0</v>
      </c>
      <c r="AD210">
        <v>0</v>
      </c>
      <c r="AE210">
        <v>0</v>
      </c>
      <c r="AF210">
        <v>0</v>
      </c>
      <c r="AG210">
        <v>0</v>
      </c>
      <c r="AH210">
        <v>0</v>
      </c>
      <c r="AI210">
        <v>0</v>
      </c>
      <c r="AJ210">
        <v>0</v>
      </c>
      <c r="AK210">
        <v>0</v>
      </c>
      <c r="AL210">
        <v>0</v>
      </c>
      <c r="AM210">
        <v>1</v>
      </c>
      <c r="AN210">
        <v>0</v>
      </c>
    </row>
    <row r="211" spans="1:40" x14ac:dyDescent="0.25">
      <c r="A211" t="s">
        <v>4561</v>
      </c>
      <c r="B211" t="s">
        <v>4562</v>
      </c>
      <c r="F211" t="s">
        <v>331</v>
      </c>
      <c r="G211" t="s">
        <v>3235</v>
      </c>
      <c r="H211">
        <v>2017</v>
      </c>
      <c r="I211">
        <v>8</v>
      </c>
      <c r="J211">
        <v>1</v>
      </c>
      <c r="M211" t="s">
        <v>1948</v>
      </c>
      <c r="N211">
        <v>371</v>
      </c>
      <c r="O211">
        <v>378</v>
      </c>
      <c r="Q211" t="s">
        <v>4563</v>
      </c>
      <c r="T211">
        <v>1</v>
      </c>
      <c r="U211">
        <v>0.33</v>
      </c>
      <c r="V211">
        <v>0</v>
      </c>
      <c r="W211">
        <v>0</v>
      </c>
      <c r="X211">
        <v>0</v>
      </c>
      <c r="Y211">
        <v>0</v>
      </c>
      <c r="Z211">
        <v>0</v>
      </c>
      <c r="AA211">
        <v>0</v>
      </c>
      <c r="AB211">
        <v>0</v>
      </c>
      <c r="AC211">
        <v>0</v>
      </c>
      <c r="AD211">
        <v>0</v>
      </c>
      <c r="AE211">
        <v>0</v>
      </c>
      <c r="AF211">
        <v>0</v>
      </c>
      <c r="AG211">
        <v>0</v>
      </c>
      <c r="AH211">
        <v>0</v>
      </c>
      <c r="AI211">
        <v>0</v>
      </c>
      <c r="AJ211">
        <v>0</v>
      </c>
      <c r="AK211">
        <v>0</v>
      </c>
      <c r="AL211">
        <v>0</v>
      </c>
      <c r="AM211">
        <v>1</v>
      </c>
      <c r="AN211">
        <v>0</v>
      </c>
    </row>
    <row r="212" spans="1:40" x14ac:dyDescent="0.25">
      <c r="A212" t="s">
        <v>4564</v>
      </c>
      <c r="B212" t="s">
        <v>4565</v>
      </c>
      <c r="F212" t="s">
        <v>320</v>
      </c>
      <c r="G212" t="s">
        <v>2922</v>
      </c>
      <c r="H212">
        <v>2017</v>
      </c>
      <c r="I212">
        <v>29</v>
      </c>
      <c r="J212">
        <v>1</v>
      </c>
      <c r="N212">
        <v>171</v>
      </c>
      <c r="O212">
        <v>193</v>
      </c>
      <c r="Q212" t="s">
        <v>4566</v>
      </c>
      <c r="T212">
        <v>1</v>
      </c>
      <c r="U212">
        <v>0.33</v>
      </c>
      <c r="V212">
        <v>0</v>
      </c>
      <c r="W212">
        <v>0</v>
      </c>
      <c r="X212">
        <v>0</v>
      </c>
      <c r="Y212">
        <v>0</v>
      </c>
      <c r="Z212">
        <v>0</v>
      </c>
      <c r="AA212">
        <v>0</v>
      </c>
      <c r="AB212">
        <v>0</v>
      </c>
      <c r="AC212">
        <v>0</v>
      </c>
      <c r="AD212">
        <v>0</v>
      </c>
      <c r="AE212">
        <v>0</v>
      </c>
      <c r="AF212">
        <v>0</v>
      </c>
      <c r="AG212">
        <v>0</v>
      </c>
      <c r="AH212">
        <v>0</v>
      </c>
      <c r="AI212">
        <v>0</v>
      </c>
      <c r="AJ212">
        <v>0</v>
      </c>
      <c r="AK212">
        <v>0</v>
      </c>
      <c r="AL212">
        <v>0</v>
      </c>
      <c r="AM212">
        <v>1</v>
      </c>
      <c r="AN212">
        <v>0</v>
      </c>
    </row>
    <row r="213" spans="1:40" x14ac:dyDescent="0.25">
      <c r="A213" t="s">
        <v>4567</v>
      </c>
      <c r="B213" t="s">
        <v>4568</v>
      </c>
      <c r="F213" t="s">
        <v>313</v>
      </c>
      <c r="G213" t="s">
        <v>4569</v>
      </c>
      <c r="H213">
        <v>2016</v>
      </c>
      <c r="I213">
        <v>66</v>
      </c>
      <c r="N213">
        <v>32</v>
      </c>
      <c r="O213">
        <v>41</v>
      </c>
      <c r="Q213" t="s">
        <v>4570</v>
      </c>
      <c r="T213">
        <v>1</v>
      </c>
      <c r="U213">
        <v>0.25</v>
      </c>
      <c r="V213">
        <v>0</v>
      </c>
      <c r="W213">
        <v>0</v>
      </c>
      <c r="X213">
        <v>0</v>
      </c>
      <c r="Y213">
        <v>0</v>
      </c>
      <c r="Z213">
        <v>0</v>
      </c>
      <c r="AA213">
        <v>0</v>
      </c>
      <c r="AB213">
        <v>0</v>
      </c>
      <c r="AC213">
        <v>0</v>
      </c>
      <c r="AD213">
        <v>0</v>
      </c>
      <c r="AE213">
        <v>0</v>
      </c>
      <c r="AF213">
        <v>0</v>
      </c>
      <c r="AG213">
        <v>0</v>
      </c>
      <c r="AH213">
        <v>0</v>
      </c>
      <c r="AI213">
        <v>0</v>
      </c>
      <c r="AJ213">
        <v>0</v>
      </c>
      <c r="AK213">
        <v>0</v>
      </c>
      <c r="AL213">
        <v>1</v>
      </c>
      <c r="AM213">
        <v>0</v>
      </c>
      <c r="AN213">
        <v>0</v>
      </c>
    </row>
    <row r="214" spans="1:40" x14ac:dyDescent="0.25">
      <c r="A214" t="s">
        <v>4571</v>
      </c>
      <c r="B214" t="s">
        <v>4572</v>
      </c>
      <c r="F214" t="s">
        <v>314</v>
      </c>
      <c r="G214" t="s">
        <v>2774</v>
      </c>
      <c r="H214">
        <v>2016</v>
      </c>
      <c r="I214">
        <v>46</v>
      </c>
      <c r="J214">
        <v>11</v>
      </c>
      <c r="N214">
        <v>2584</v>
      </c>
      <c r="O214">
        <v>2595</v>
      </c>
      <c r="Q214" t="s">
        <v>4573</v>
      </c>
      <c r="T214">
        <v>1</v>
      </c>
      <c r="U214">
        <v>0.25</v>
      </c>
      <c r="V214">
        <v>0</v>
      </c>
      <c r="W214">
        <v>0</v>
      </c>
      <c r="X214">
        <v>0</v>
      </c>
      <c r="Y214">
        <v>0</v>
      </c>
      <c r="Z214">
        <v>0</v>
      </c>
      <c r="AA214">
        <v>0</v>
      </c>
      <c r="AB214">
        <v>0</v>
      </c>
      <c r="AC214">
        <v>0</v>
      </c>
      <c r="AD214">
        <v>0</v>
      </c>
      <c r="AE214">
        <v>0</v>
      </c>
      <c r="AF214">
        <v>0</v>
      </c>
      <c r="AG214">
        <v>0</v>
      </c>
      <c r="AH214">
        <v>0</v>
      </c>
      <c r="AI214">
        <v>0</v>
      </c>
      <c r="AJ214">
        <v>0</v>
      </c>
      <c r="AK214">
        <v>0</v>
      </c>
      <c r="AL214">
        <v>0</v>
      </c>
      <c r="AM214">
        <v>1</v>
      </c>
      <c r="AN214">
        <v>0</v>
      </c>
    </row>
    <row r="215" spans="1:40" x14ac:dyDescent="0.25">
      <c r="A215" t="s">
        <v>4574</v>
      </c>
      <c r="B215" t="s">
        <v>4575</v>
      </c>
      <c r="F215" t="s">
        <v>3783</v>
      </c>
      <c r="G215" t="s">
        <v>3576</v>
      </c>
      <c r="H215">
        <v>2016</v>
      </c>
      <c r="I215">
        <v>45</v>
      </c>
      <c r="J215">
        <v>2</v>
      </c>
      <c r="N215">
        <v>443</v>
      </c>
      <c r="O215">
        <v>457</v>
      </c>
      <c r="Q215" t="s">
        <v>4576</v>
      </c>
      <c r="T215">
        <v>1</v>
      </c>
      <c r="U215">
        <v>0.25</v>
      </c>
      <c r="V215">
        <v>0</v>
      </c>
      <c r="W215">
        <v>0</v>
      </c>
      <c r="X215">
        <v>0</v>
      </c>
      <c r="Y215">
        <v>0</v>
      </c>
      <c r="Z215">
        <v>0</v>
      </c>
      <c r="AA215">
        <v>0</v>
      </c>
      <c r="AB215">
        <v>0</v>
      </c>
      <c r="AC215">
        <v>0</v>
      </c>
      <c r="AD215">
        <v>0</v>
      </c>
      <c r="AE215">
        <v>0</v>
      </c>
      <c r="AF215">
        <v>0</v>
      </c>
      <c r="AG215">
        <v>0</v>
      </c>
      <c r="AH215">
        <v>0</v>
      </c>
      <c r="AI215">
        <v>0</v>
      </c>
      <c r="AJ215">
        <v>0</v>
      </c>
      <c r="AK215">
        <v>0</v>
      </c>
      <c r="AL215">
        <v>0</v>
      </c>
      <c r="AM215">
        <v>1</v>
      </c>
      <c r="AN215">
        <v>0</v>
      </c>
    </row>
    <row r="216" spans="1:40" x14ac:dyDescent="0.25">
      <c r="A216" t="s">
        <v>4577</v>
      </c>
      <c r="B216" t="s">
        <v>4578</v>
      </c>
      <c r="F216" t="s">
        <v>343</v>
      </c>
      <c r="G216" t="s">
        <v>3126</v>
      </c>
      <c r="H216">
        <v>2016</v>
      </c>
      <c r="I216">
        <v>19</v>
      </c>
      <c r="J216">
        <v>3</v>
      </c>
      <c r="N216">
        <v>719</v>
      </c>
      <c r="O216">
        <v>730</v>
      </c>
      <c r="Q216" t="s">
        <v>4579</v>
      </c>
      <c r="T216">
        <v>1</v>
      </c>
      <c r="U216">
        <v>0.25</v>
      </c>
      <c r="V216">
        <v>0</v>
      </c>
      <c r="W216">
        <v>0</v>
      </c>
      <c r="X216">
        <v>0</v>
      </c>
      <c r="Y216">
        <v>0</v>
      </c>
      <c r="Z216">
        <v>0</v>
      </c>
      <c r="AA216">
        <v>0</v>
      </c>
      <c r="AB216">
        <v>0</v>
      </c>
      <c r="AC216">
        <v>0</v>
      </c>
      <c r="AD216">
        <v>0</v>
      </c>
      <c r="AE216">
        <v>0</v>
      </c>
      <c r="AF216">
        <v>0</v>
      </c>
      <c r="AG216">
        <v>0</v>
      </c>
      <c r="AH216">
        <v>0</v>
      </c>
      <c r="AI216">
        <v>0</v>
      </c>
      <c r="AJ216">
        <v>0</v>
      </c>
      <c r="AK216">
        <v>0</v>
      </c>
      <c r="AL216">
        <v>1</v>
      </c>
      <c r="AM216">
        <v>0</v>
      </c>
      <c r="AN216">
        <v>0</v>
      </c>
    </row>
    <row r="217" spans="1:40" x14ac:dyDescent="0.25">
      <c r="A217" t="s">
        <v>4580</v>
      </c>
      <c r="B217" t="s">
        <v>4581</v>
      </c>
      <c r="F217" t="s">
        <v>298</v>
      </c>
      <c r="G217" t="s">
        <v>4582</v>
      </c>
      <c r="H217">
        <v>2016</v>
      </c>
      <c r="I217">
        <v>146</v>
      </c>
      <c r="N217">
        <v>9</v>
      </c>
      <c r="O217">
        <v>26</v>
      </c>
      <c r="Q217" t="s">
        <v>4583</v>
      </c>
      <c r="T217">
        <v>1</v>
      </c>
      <c r="U217">
        <v>0.25</v>
      </c>
      <c r="V217">
        <v>0</v>
      </c>
      <c r="W217">
        <v>0</v>
      </c>
      <c r="X217">
        <v>0</v>
      </c>
      <c r="Y217">
        <v>0</v>
      </c>
      <c r="Z217">
        <v>0</v>
      </c>
      <c r="AA217">
        <v>0</v>
      </c>
      <c r="AB217">
        <v>0</v>
      </c>
      <c r="AC217">
        <v>0</v>
      </c>
      <c r="AD217">
        <v>0</v>
      </c>
      <c r="AE217">
        <v>0</v>
      </c>
      <c r="AF217">
        <v>0</v>
      </c>
      <c r="AG217">
        <v>0</v>
      </c>
      <c r="AH217">
        <v>0</v>
      </c>
      <c r="AI217">
        <v>0</v>
      </c>
      <c r="AJ217">
        <v>0</v>
      </c>
      <c r="AK217">
        <v>0</v>
      </c>
      <c r="AL217">
        <v>0</v>
      </c>
      <c r="AM217">
        <v>1</v>
      </c>
      <c r="AN217">
        <v>0</v>
      </c>
    </row>
    <row r="218" spans="1:40" x14ac:dyDescent="0.25">
      <c r="A218" t="s">
        <v>4584</v>
      </c>
      <c r="B218" t="s">
        <v>4585</v>
      </c>
      <c r="F218" t="s">
        <v>306</v>
      </c>
      <c r="G218" t="s">
        <v>3583</v>
      </c>
      <c r="H218">
        <v>2016</v>
      </c>
      <c r="I218">
        <v>182</v>
      </c>
      <c r="N218">
        <v>94</v>
      </c>
      <c r="O218">
        <v>101</v>
      </c>
      <c r="Q218" t="s">
        <v>4586</v>
      </c>
      <c r="T218">
        <v>1</v>
      </c>
      <c r="U218">
        <v>0.25</v>
      </c>
      <c r="V218">
        <v>0</v>
      </c>
      <c r="W218">
        <v>0</v>
      </c>
      <c r="X218">
        <v>0</v>
      </c>
      <c r="Y218">
        <v>0</v>
      </c>
      <c r="Z218">
        <v>0</v>
      </c>
      <c r="AA218">
        <v>0</v>
      </c>
      <c r="AB218">
        <v>0</v>
      </c>
      <c r="AC218">
        <v>0</v>
      </c>
      <c r="AD218">
        <v>0</v>
      </c>
      <c r="AE218">
        <v>0</v>
      </c>
      <c r="AF218">
        <v>0</v>
      </c>
      <c r="AG218">
        <v>0</v>
      </c>
      <c r="AH218">
        <v>0</v>
      </c>
      <c r="AI218">
        <v>0</v>
      </c>
      <c r="AJ218">
        <v>0</v>
      </c>
      <c r="AK218">
        <v>0</v>
      </c>
      <c r="AL218">
        <v>1</v>
      </c>
      <c r="AM218">
        <v>0</v>
      </c>
      <c r="AN218">
        <v>0</v>
      </c>
    </row>
    <row r="219" spans="1:40" x14ac:dyDescent="0.25">
      <c r="A219" t="s">
        <v>4587</v>
      </c>
      <c r="B219" t="s">
        <v>4588</v>
      </c>
      <c r="F219" t="s">
        <v>4179</v>
      </c>
      <c r="G219">
        <v>2016</v>
      </c>
      <c r="H219">
        <v>2016</v>
      </c>
      <c r="I219">
        <v>16</v>
      </c>
      <c r="J219">
        <v>4</v>
      </c>
      <c r="N219">
        <v>101</v>
      </c>
      <c r="O219">
        <v>108</v>
      </c>
      <c r="Q219" t="s">
        <v>4589</v>
      </c>
      <c r="T219">
        <v>1</v>
      </c>
      <c r="U219">
        <v>0.25</v>
      </c>
      <c r="V219">
        <v>0</v>
      </c>
      <c r="W219">
        <v>0</v>
      </c>
      <c r="X219">
        <v>0</v>
      </c>
      <c r="Y219">
        <v>0</v>
      </c>
      <c r="Z219">
        <v>0</v>
      </c>
      <c r="AA219">
        <v>0</v>
      </c>
      <c r="AB219">
        <v>0</v>
      </c>
      <c r="AC219">
        <v>0</v>
      </c>
      <c r="AD219">
        <v>0</v>
      </c>
      <c r="AE219">
        <v>0</v>
      </c>
      <c r="AF219">
        <v>0</v>
      </c>
      <c r="AG219">
        <v>0</v>
      </c>
      <c r="AH219">
        <v>0</v>
      </c>
      <c r="AI219">
        <v>0</v>
      </c>
      <c r="AJ219">
        <v>0</v>
      </c>
      <c r="AK219">
        <v>0</v>
      </c>
      <c r="AL219">
        <v>0</v>
      </c>
      <c r="AM219">
        <v>0</v>
      </c>
      <c r="AN219">
        <v>1</v>
      </c>
    </row>
    <row r="220" spans="1:40" x14ac:dyDescent="0.25">
      <c r="A220" t="s">
        <v>4590</v>
      </c>
      <c r="B220" t="s">
        <v>4591</v>
      </c>
      <c r="F220" t="s">
        <v>4592</v>
      </c>
      <c r="G220" t="s">
        <v>2856</v>
      </c>
      <c r="H220">
        <v>2015</v>
      </c>
      <c r="I220">
        <v>12</v>
      </c>
      <c r="J220">
        <v>6</v>
      </c>
      <c r="N220">
        <v>597</v>
      </c>
      <c r="O220">
        <v>603</v>
      </c>
      <c r="T220">
        <v>1</v>
      </c>
      <c r="U220">
        <v>0.2</v>
      </c>
      <c r="V220">
        <v>0</v>
      </c>
      <c r="W220">
        <v>0</v>
      </c>
      <c r="X220">
        <v>0</v>
      </c>
      <c r="Y220">
        <v>0</v>
      </c>
      <c r="Z220">
        <v>0</v>
      </c>
      <c r="AA220">
        <v>0</v>
      </c>
      <c r="AB220">
        <v>0</v>
      </c>
      <c r="AC220">
        <v>0</v>
      </c>
      <c r="AD220">
        <v>0</v>
      </c>
      <c r="AE220">
        <v>0</v>
      </c>
      <c r="AF220">
        <v>0</v>
      </c>
      <c r="AG220">
        <v>0</v>
      </c>
      <c r="AH220">
        <v>0</v>
      </c>
      <c r="AI220">
        <v>0</v>
      </c>
      <c r="AJ220">
        <v>0</v>
      </c>
      <c r="AK220">
        <v>0</v>
      </c>
      <c r="AL220">
        <v>1</v>
      </c>
      <c r="AM220">
        <v>0</v>
      </c>
      <c r="AN220">
        <v>0</v>
      </c>
    </row>
    <row r="221" spans="1:40" x14ac:dyDescent="0.25">
      <c r="A221" t="s">
        <v>4593</v>
      </c>
      <c r="B221" t="s">
        <v>4594</v>
      </c>
      <c r="F221" t="s">
        <v>331</v>
      </c>
      <c r="G221" t="s">
        <v>3291</v>
      </c>
      <c r="H221">
        <v>2015</v>
      </c>
      <c r="I221">
        <v>6</v>
      </c>
      <c r="J221">
        <v>3</v>
      </c>
      <c r="N221">
        <v>417</v>
      </c>
      <c r="O221">
        <v>434</v>
      </c>
      <c r="Q221" t="s">
        <v>4595</v>
      </c>
      <c r="T221">
        <v>1</v>
      </c>
      <c r="U221">
        <v>0.2</v>
      </c>
      <c r="V221">
        <v>0</v>
      </c>
      <c r="W221">
        <v>0</v>
      </c>
      <c r="X221">
        <v>0</v>
      </c>
      <c r="Y221">
        <v>0</v>
      </c>
      <c r="Z221">
        <v>0</v>
      </c>
      <c r="AA221">
        <v>0</v>
      </c>
      <c r="AB221">
        <v>0</v>
      </c>
      <c r="AC221">
        <v>0</v>
      </c>
      <c r="AD221">
        <v>0</v>
      </c>
      <c r="AE221">
        <v>0</v>
      </c>
      <c r="AF221">
        <v>0</v>
      </c>
      <c r="AG221">
        <v>0</v>
      </c>
      <c r="AH221">
        <v>0</v>
      </c>
      <c r="AI221">
        <v>0</v>
      </c>
      <c r="AJ221">
        <v>0</v>
      </c>
      <c r="AK221">
        <v>0</v>
      </c>
      <c r="AL221">
        <v>1</v>
      </c>
      <c r="AM221">
        <v>0</v>
      </c>
      <c r="AN221">
        <v>0</v>
      </c>
    </row>
    <row r="222" spans="1:40" x14ac:dyDescent="0.25">
      <c r="A222" t="s">
        <v>4596</v>
      </c>
      <c r="B222" t="s">
        <v>4597</v>
      </c>
      <c r="F222" t="s">
        <v>343</v>
      </c>
      <c r="G222" t="s">
        <v>2782</v>
      </c>
      <c r="H222">
        <v>2015</v>
      </c>
      <c r="I222">
        <v>18</v>
      </c>
      <c r="J222">
        <v>2</v>
      </c>
      <c r="N222">
        <v>451</v>
      </c>
      <c r="O222">
        <v>459</v>
      </c>
      <c r="Q222" t="s">
        <v>4598</v>
      </c>
      <c r="T222">
        <v>1</v>
      </c>
      <c r="U222">
        <v>0.2</v>
      </c>
      <c r="V222">
        <v>0</v>
      </c>
      <c r="W222">
        <v>0</v>
      </c>
      <c r="X222">
        <v>0</v>
      </c>
      <c r="Y222">
        <v>0</v>
      </c>
      <c r="Z222">
        <v>0</v>
      </c>
      <c r="AA222">
        <v>0</v>
      </c>
      <c r="AB222">
        <v>0</v>
      </c>
      <c r="AC222">
        <v>0</v>
      </c>
      <c r="AD222">
        <v>0</v>
      </c>
      <c r="AE222">
        <v>0</v>
      </c>
      <c r="AF222">
        <v>0</v>
      </c>
      <c r="AG222">
        <v>0</v>
      </c>
      <c r="AH222">
        <v>0</v>
      </c>
      <c r="AI222">
        <v>0</v>
      </c>
      <c r="AJ222">
        <v>0</v>
      </c>
      <c r="AK222">
        <v>1</v>
      </c>
      <c r="AL222">
        <v>0</v>
      </c>
      <c r="AM222">
        <v>0</v>
      </c>
      <c r="AN222">
        <v>0</v>
      </c>
    </row>
    <row r="223" spans="1:40" x14ac:dyDescent="0.25">
      <c r="A223" t="s">
        <v>4599</v>
      </c>
      <c r="B223" t="s">
        <v>4600</v>
      </c>
      <c r="F223" t="s">
        <v>342</v>
      </c>
      <c r="G223" t="s">
        <v>2831</v>
      </c>
      <c r="H223">
        <v>2014</v>
      </c>
      <c r="I223">
        <v>60</v>
      </c>
      <c r="N223">
        <v>182</v>
      </c>
      <c r="O223">
        <v>193</v>
      </c>
      <c r="Q223" t="s">
        <v>4601</v>
      </c>
      <c r="T223">
        <v>1</v>
      </c>
      <c r="U223">
        <v>0.17</v>
      </c>
      <c r="V223">
        <v>0</v>
      </c>
      <c r="W223">
        <v>0</v>
      </c>
      <c r="X223">
        <v>0</v>
      </c>
      <c r="Y223">
        <v>0</v>
      </c>
      <c r="Z223">
        <v>0</v>
      </c>
      <c r="AA223">
        <v>0</v>
      </c>
      <c r="AB223">
        <v>0</v>
      </c>
      <c r="AC223">
        <v>0</v>
      </c>
      <c r="AD223">
        <v>0</v>
      </c>
      <c r="AE223">
        <v>0</v>
      </c>
      <c r="AF223">
        <v>0</v>
      </c>
      <c r="AG223">
        <v>0</v>
      </c>
      <c r="AH223">
        <v>0</v>
      </c>
      <c r="AI223">
        <v>0</v>
      </c>
      <c r="AJ223">
        <v>1</v>
      </c>
      <c r="AK223">
        <v>0</v>
      </c>
      <c r="AL223">
        <v>0</v>
      </c>
      <c r="AM223">
        <v>0</v>
      </c>
      <c r="AN223">
        <v>0</v>
      </c>
    </row>
    <row r="224" spans="1:40" x14ac:dyDescent="0.25">
      <c r="A224" t="s">
        <v>4602</v>
      </c>
      <c r="B224" t="s">
        <v>4603</v>
      </c>
      <c r="F224" t="s">
        <v>311</v>
      </c>
      <c r="G224" t="s">
        <v>2831</v>
      </c>
      <c r="H224">
        <v>2014</v>
      </c>
      <c r="I224">
        <v>23</v>
      </c>
      <c r="J224">
        <v>12</v>
      </c>
      <c r="N224">
        <v>5698</v>
      </c>
      <c r="O224">
        <v>5706</v>
      </c>
      <c r="Q224" t="s">
        <v>4604</v>
      </c>
      <c r="T224">
        <v>1</v>
      </c>
      <c r="U224">
        <v>0.17</v>
      </c>
      <c r="V224">
        <v>0</v>
      </c>
      <c r="W224">
        <v>0</v>
      </c>
      <c r="X224">
        <v>0</v>
      </c>
      <c r="Y224">
        <v>0</v>
      </c>
      <c r="Z224">
        <v>0</v>
      </c>
      <c r="AA224">
        <v>0</v>
      </c>
      <c r="AB224">
        <v>0</v>
      </c>
      <c r="AC224">
        <v>0</v>
      </c>
      <c r="AD224">
        <v>0</v>
      </c>
      <c r="AE224">
        <v>0</v>
      </c>
      <c r="AF224">
        <v>0</v>
      </c>
      <c r="AG224">
        <v>0</v>
      </c>
      <c r="AH224">
        <v>0</v>
      </c>
      <c r="AI224">
        <v>0</v>
      </c>
      <c r="AJ224">
        <v>0</v>
      </c>
      <c r="AK224">
        <v>0</v>
      </c>
      <c r="AL224">
        <v>1</v>
      </c>
      <c r="AM224">
        <v>0</v>
      </c>
      <c r="AN224">
        <v>0</v>
      </c>
    </row>
    <row r="225" spans="1:40" x14ac:dyDescent="0.25">
      <c r="A225" t="s">
        <v>1491</v>
      </c>
      <c r="B225" t="s">
        <v>1493</v>
      </c>
      <c r="F225" t="s">
        <v>329</v>
      </c>
      <c r="G225" t="s">
        <v>2831</v>
      </c>
      <c r="H225">
        <v>2014</v>
      </c>
      <c r="I225">
        <v>20</v>
      </c>
      <c r="J225">
        <v>4</v>
      </c>
      <c r="N225">
        <v>515</v>
      </c>
      <c r="O225">
        <v>523</v>
      </c>
      <c r="Q225" t="s">
        <v>4605</v>
      </c>
      <c r="T225">
        <v>1</v>
      </c>
      <c r="U225">
        <v>0.17</v>
      </c>
      <c r="V225">
        <v>0</v>
      </c>
      <c r="W225">
        <v>0</v>
      </c>
      <c r="X225">
        <v>0</v>
      </c>
      <c r="Y225">
        <v>0</v>
      </c>
      <c r="Z225">
        <v>0</v>
      </c>
      <c r="AA225">
        <v>0</v>
      </c>
      <c r="AB225">
        <v>0</v>
      </c>
      <c r="AC225">
        <v>0</v>
      </c>
      <c r="AD225">
        <v>0</v>
      </c>
      <c r="AE225">
        <v>0</v>
      </c>
      <c r="AF225">
        <v>0</v>
      </c>
      <c r="AG225">
        <v>0</v>
      </c>
      <c r="AH225">
        <v>0</v>
      </c>
      <c r="AI225">
        <v>0</v>
      </c>
      <c r="AJ225">
        <v>0</v>
      </c>
      <c r="AK225">
        <v>0</v>
      </c>
      <c r="AL225">
        <v>1</v>
      </c>
      <c r="AM225">
        <v>0</v>
      </c>
      <c r="AN225">
        <v>0</v>
      </c>
    </row>
    <row r="226" spans="1:40" x14ac:dyDescent="0.25">
      <c r="A226" t="s">
        <v>4606</v>
      </c>
      <c r="B226" t="s">
        <v>3521</v>
      </c>
      <c r="F226" t="s">
        <v>343</v>
      </c>
      <c r="G226" t="s">
        <v>2661</v>
      </c>
      <c r="H226">
        <v>2014</v>
      </c>
      <c r="I226">
        <v>17</v>
      </c>
      <c r="J226">
        <v>3</v>
      </c>
      <c r="N226">
        <v>567</v>
      </c>
      <c r="O226">
        <v>585</v>
      </c>
      <c r="Q226" t="s">
        <v>4607</v>
      </c>
      <c r="T226">
        <v>1</v>
      </c>
      <c r="U226">
        <v>0.17</v>
      </c>
      <c r="V226">
        <v>0</v>
      </c>
      <c r="W226">
        <v>0</v>
      </c>
      <c r="X226">
        <v>0</v>
      </c>
      <c r="Y226">
        <v>0</v>
      </c>
      <c r="Z226">
        <v>0</v>
      </c>
      <c r="AA226">
        <v>0</v>
      </c>
      <c r="AB226">
        <v>0</v>
      </c>
      <c r="AC226">
        <v>0</v>
      </c>
      <c r="AD226">
        <v>0</v>
      </c>
      <c r="AE226">
        <v>0</v>
      </c>
      <c r="AF226">
        <v>0</v>
      </c>
      <c r="AG226">
        <v>0</v>
      </c>
      <c r="AH226">
        <v>0</v>
      </c>
      <c r="AI226">
        <v>0</v>
      </c>
      <c r="AJ226">
        <v>0</v>
      </c>
      <c r="AK226">
        <v>0</v>
      </c>
      <c r="AL226">
        <v>0</v>
      </c>
      <c r="AM226">
        <v>1</v>
      </c>
      <c r="AN226">
        <v>0</v>
      </c>
    </row>
    <row r="227" spans="1:40" x14ac:dyDescent="0.25">
      <c r="A227" t="s">
        <v>4608</v>
      </c>
      <c r="B227" t="s">
        <v>4609</v>
      </c>
      <c r="F227" t="s">
        <v>2968</v>
      </c>
      <c r="G227" t="s">
        <v>2932</v>
      </c>
      <c r="H227">
        <v>2014</v>
      </c>
      <c r="I227">
        <v>15</v>
      </c>
      <c r="N227">
        <v>1431</v>
      </c>
      <c r="O227">
        <v>1453</v>
      </c>
      <c r="T227">
        <v>1</v>
      </c>
      <c r="U227">
        <v>0.17</v>
      </c>
      <c r="V227">
        <v>0</v>
      </c>
      <c r="W227">
        <v>0</v>
      </c>
      <c r="X227">
        <v>0</v>
      </c>
      <c r="Y227">
        <v>0</v>
      </c>
      <c r="Z227">
        <v>0</v>
      </c>
      <c r="AA227">
        <v>0</v>
      </c>
      <c r="AB227">
        <v>0</v>
      </c>
      <c r="AC227">
        <v>0</v>
      </c>
      <c r="AD227">
        <v>0</v>
      </c>
      <c r="AE227">
        <v>0</v>
      </c>
      <c r="AF227">
        <v>0</v>
      </c>
      <c r="AG227">
        <v>0</v>
      </c>
      <c r="AH227">
        <v>0</v>
      </c>
      <c r="AI227">
        <v>0</v>
      </c>
      <c r="AJ227">
        <v>1</v>
      </c>
      <c r="AK227">
        <v>0</v>
      </c>
      <c r="AL227">
        <v>0</v>
      </c>
      <c r="AM227">
        <v>0</v>
      </c>
      <c r="AN227">
        <v>0</v>
      </c>
    </row>
    <row r="228" spans="1:40" x14ac:dyDescent="0.25">
      <c r="A228" t="s">
        <v>4610</v>
      </c>
      <c r="B228" t="s">
        <v>4611</v>
      </c>
      <c r="F228" t="s">
        <v>4612</v>
      </c>
      <c r="G228">
        <v>2014</v>
      </c>
      <c r="H228">
        <v>2014</v>
      </c>
      <c r="I228">
        <v>14</v>
      </c>
      <c r="J228">
        <v>4</v>
      </c>
      <c r="N228">
        <v>73</v>
      </c>
      <c r="O228">
        <v>80</v>
      </c>
      <c r="Q228" t="s">
        <v>4613</v>
      </c>
      <c r="T228">
        <v>1</v>
      </c>
      <c r="U228">
        <v>0.17</v>
      </c>
      <c r="V228">
        <v>0</v>
      </c>
      <c r="W228">
        <v>0</v>
      </c>
      <c r="X228">
        <v>0</v>
      </c>
      <c r="Y228">
        <v>0</v>
      </c>
      <c r="Z228">
        <v>0</v>
      </c>
      <c r="AA228">
        <v>0</v>
      </c>
      <c r="AB228">
        <v>0</v>
      </c>
      <c r="AC228">
        <v>0</v>
      </c>
      <c r="AD228">
        <v>0</v>
      </c>
      <c r="AE228">
        <v>0</v>
      </c>
      <c r="AF228">
        <v>0</v>
      </c>
      <c r="AG228">
        <v>0</v>
      </c>
      <c r="AH228">
        <v>0</v>
      </c>
      <c r="AI228">
        <v>0</v>
      </c>
      <c r="AJ228">
        <v>0</v>
      </c>
      <c r="AK228">
        <v>0</v>
      </c>
      <c r="AL228">
        <v>0</v>
      </c>
      <c r="AM228">
        <v>1</v>
      </c>
      <c r="AN228">
        <v>0</v>
      </c>
    </row>
    <row r="229" spans="1:40" x14ac:dyDescent="0.25">
      <c r="A229" t="s">
        <v>4614</v>
      </c>
      <c r="B229" t="s">
        <v>4615</v>
      </c>
      <c r="F229" t="s">
        <v>305</v>
      </c>
      <c r="G229" t="s">
        <v>3618</v>
      </c>
      <c r="H229">
        <v>2013</v>
      </c>
      <c r="I229">
        <v>34</v>
      </c>
      <c r="J229">
        <v>15</v>
      </c>
      <c r="M229" t="s">
        <v>1948</v>
      </c>
      <c r="N229">
        <v>2023</v>
      </c>
      <c r="O229">
        <v>2032</v>
      </c>
      <c r="Q229" t="s">
        <v>4616</v>
      </c>
      <c r="T229">
        <v>1</v>
      </c>
      <c r="U229">
        <v>0.14000000000000001</v>
      </c>
      <c r="V229">
        <v>0</v>
      </c>
      <c r="W229">
        <v>0</v>
      </c>
      <c r="X229">
        <v>0</v>
      </c>
      <c r="Y229">
        <v>0</v>
      </c>
      <c r="Z229">
        <v>0</v>
      </c>
      <c r="AA229">
        <v>0</v>
      </c>
      <c r="AB229">
        <v>0</v>
      </c>
      <c r="AC229">
        <v>0</v>
      </c>
      <c r="AD229">
        <v>0</v>
      </c>
      <c r="AE229">
        <v>0</v>
      </c>
      <c r="AF229">
        <v>0</v>
      </c>
      <c r="AG229">
        <v>0</v>
      </c>
      <c r="AH229">
        <v>0</v>
      </c>
      <c r="AI229">
        <v>0</v>
      </c>
      <c r="AJ229">
        <v>0</v>
      </c>
      <c r="AK229">
        <v>0</v>
      </c>
      <c r="AL229">
        <v>0</v>
      </c>
      <c r="AM229">
        <v>1</v>
      </c>
      <c r="AN229">
        <v>0</v>
      </c>
    </row>
    <row r="230" spans="1:40" x14ac:dyDescent="0.25">
      <c r="A230" t="s">
        <v>4617</v>
      </c>
      <c r="B230" t="s">
        <v>4618</v>
      </c>
      <c r="F230" t="s">
        <v>315</v>
      </c>
      <c r="G230" t="s">
        <v>2598</v>
      </c>
      <c r="H230">
        <v>2013</v>
      </c>
      <c r="I230">
        <v>24</v>
      </c>
      <c r="J230">
        <v>5</v>
      </c>
      <c r="N230">
        <v>909</v>
      </c>
      <c r="O230">
        <v>918</v>
      </c>
      <c r="Q230" t="s">
        <v>4619</v>
      </c>
      <c r="T230">
        <v>1</v>
      </c>
      <c r="U230">
        <v>0.14000000000000001</v>
      </c>
      <c r="V230">
        <v>0</v>
      </c>
      <c r="W230">
        <v>0</v>
      </c>
      <c r="X230">
        <v>0</v>
      </c>
      <c r="Y230">
        <v>0</v>
      </c>
      <c r="Z230">
        <v>0</v>
      </c>
      <c r="AA230">
        <v>0</v>
      </c>
      <c r="AB230">
        <v>0</v>
      </c>
      <c r="AC230">
        <v>0</v>
      </c>
      <c r="AD230">
        <v>0</v>
      </c>
      <c r="AE230">
        <v>0</v>
      </c>
      <c r="AF230">
        <v>0</v>
      </c>
      <c r="AG230">
        <v>0</v>
      </c>
      <c r="AH230">
        <v>0</v>
      </c>
      <c r="AI230">
        <v>0</v>
      </c>
      <c r="AJ230">
        <v>0</v>
      </c>
      <c r="AK230">
        <v>0</v>
      </c>
      <c r="AL230">
        <v>0</v>
      </c>
      <c r="AM230">
        <v>1</v>
      </c>
      <c r="AN230">
        <v>0</v>
      </c>
    </row>
    <row r="231" spans="1:40" x14ac:dyDescent="0.25">
      <c r="A231" t="s">
        <v>4620</v>
      </c>
      <c r="B231" t="s">
        <v>4621</v>
      </c>
      <c r="F231" t="s">
        <v>305</v>
      </c>
      <c r="G231" t="s">
        <v>3179</v>
      </c>
      <c r="H231">
        <v>2013</v>
      </c>
      <c r="I231">
        <v>34</v>
      </c>
      <c r="J231">
        <v>5</v>
      </c>
      <c r="N231">
        <v>511</v>
      </c>
      <c r="O231">
        <v>518</v>
      </c>
      <c r="Q231" t="s">
        <v>4622</v>
      </c>
      <c r="T231">
        <v>1</v>
      </c>
      <c r="U231">
        <v>0.14000000000000001</v>
      </c>
      <c r="V231">
        <v>0</v>
      </c>
      <c r="W231">
        <v>0</v>
      </c>
      <c r="X231">
        <v>0</v>
      </c>
      <c r="Y231">
        <v>0</v>
      </c>
      <c r="Z231">
        <v>0</v>
      </c>
      <c r="AA231">
        <v>0</v>
      </c>
      <c r="AB231">
        <v>0</v>
      </c>
      <c r="AC231">
        <v>0</v>
      </c>
      <c r="AD231">
        <v>0</v>
      </c>
      <c r="AE231">
        <v>0</v>
      </c>
      <c r="AF231">
        <v>0</v>
      </c>
      <c r="AG231">
        <v>0</v>
      </c>
      <c r="AH231">
        <v>0</v>
      </c>
      <c r="AI231">
        <v>0</v>
      </c>
      <c r="AJ231">
        <v>0</v>
      </c>
      <c r="AK231">
        <v>1</v>
      </c>
      <c r="AL231">
        <v>0</v>
      </c>
      <c r="AM231">
        <v>0</v>
      </c>
      <c r="AN231">
        <v>0</v>
      </c>
    </row>
    <row r="232" spans="1:40" x14ac:dyDescent="0.25">
      <c r="A232" t="s">
        <v>4623</v>
      </c>
      <c r="B232" t="s">
        <v>4624</v>
      </c>
      <c r="F232" t="s">
        <v>315</v>
      </c>
      <c r="G232" t="s">
        <v>4625</v>
      </c>
      <c r="H232">
        <v>2013</v>
      </c>
      <c r="I232">
        <v>24</v>
      </c>
      <c r="J232">
        <v>1</v>
      </c>
      <c r="N232">
        <v>159</v>
      </c>
      <c r="O232">
        <v>173</v>
      </c>
      <c r="Q232" t="s">
        <v>4626</v>
      </c>
      <c r="T232">
        <v>1</v>
      </c>
      <c r="U232">
        <v>0.14000000000000001</v>
      </c>
      <c r="V232">
        <v>0</v>
      </c>
      <c r="W232">
        <v>0</v>
      </c>
      <c r="X232">
        <v>0</v>
      </c>
      <c r="Y232">
        <v>0</v>
      </c>
      <c r="Z232">
        <v>0</v>
      </c>
      <c r="AA232">
        <v>0</v>
      </c>
      <c r="AB232">
        <v>0</v>
      </c>
      <c r="AC232">
        <v>0</v>
      </c>
      <c r="AD232">
        <v>0</v>
      </c>
      <c r="AE232">
        <v>0</v>
      </c>
      <c r="AF232">
        <v>0</v>
      </c>
      <c r="AG232">
        <v>0</v>
      </c>
      <c r="AH232">
        <v>0</v>
      </c>
      <c r="AI232">
        <v>0</v>
      </c>
      <c r="AJ232">
        <v>0</v>
      </c>
      <c r="AK232">
        <v>1</v>
      </c>
      <c r="AL232">
        <v>0</v>
      </c>
      <c r="AM232">
        <v>0</v>
      </c>
      <c r="AN232">
        <v>0</v>
      </c>
    </row>
    <row r="233" spans="1:40" x14ac:dyDescent="0.25">
      <c r="A233" t="s">
        <v>4627</v>
      </c>
      <c r="B233" t="s">
        <v>4628</v>
      </c>
      <c r="F233" t="s">
        <v>303</v>
      </c>
      <c r="G233" t="s">
        <v>4629</v>
      </c>
      <c r="H233">
        <v>2012</v>
      </c>
      <c r="I233">
        <v>100</v>
      </c>
      <c r="J233">
        <v>3</v>
      </c>
      <c r="N233">
        <v>241</v>
      </c>
      <c r="O233">
        <v>260</v>
      </c>
      <c r="Q233" t="s">
        <v>4630</v>
      </c>
      <c r="T233">
        <v>1</v>
      </c>
      <c r="U233">
        <v>0.13</v>
      </c>
      <c r="V233">
        <v>0</v>
      </c>
      <c r="W233">
        <v>0</v>
      </c>
      <c r="X233">
        <v>0</v>
      </c>
      <c r="Y233">
        <v>0</v>
      </c>
      <c r="Z233">
        <v>0</v>
      </c>
      <c r="AA233">
        <v>0</v>
      </c>
      <c r="AB233">
        <v>0</v>
      </c>
      <c r="AC233">
        <v>0</v>
      </c>
      <c r="AD233">
        <v>0</v>
      </c>
      <c r="AE233">
        <v>0</v>
      </c>
      <c r="AF233">
        <v>0</v>
      </c>
      <c r="AG233">
        <v>0</v>
      </c>
      <c r="AH233">
        <v>0</v>
      </c>
      <c r="AI233">
        <v>0</v>
      </c>
      <c r="AJ233">
        <v>0</v>
      </c>
      <c r="AK233">
        <v>0</v>
      </c>
      <c r="AL233">
        <v>1</v>
      </c>
      <c r="AM233">
        <v>0</v>
      </c>
      <c r="AN233">
        <v>0</v>
      </c>
    </row>
    <row r="234" spans="1:40" x14ac:dyDescent="0.25">
      <c r="A234" t="s">
        <v>4631</v>
      </c>
      <c r="B234" t="s">
        <v>4632</v>
      </c>
      <c r="F234" t="s">
        <v>308</v>
      </c>
      <c r="G234" t="s">
        <v>4629</v>
      </c>
      <c r="H234">
        <v>2012</v>
      </c>
      <c r="I234">
        <v>45</v>
      </c>
      <c r="J234">
        <v>12</v>
      </c>
      <c r="N234">
        <v>4494</v>
      </c>
      <c r="O234">
        <v>4509</v>
      </c>
      <c r="Q234" t="s">
        <v>4633</v>
      </c>
      <c r="T234">
        <v>1</v>
      </c>
      <c r="U234">
        <v>0.13</v>
      </c>
      <c r="V234">
        <v>0</v>
      </c>
      <c r="W234">
        <v>0</v>
      </c>
      <c r="X234">
        <v>0</v>
      </c>
      <c r="Y234">
        <v>0</v>
      </c>
      <c r="Z234">
        <v>0</v>
      </c>
      <c r="AA234">
        <v>0</v>
      </c>
      <c r="AB234">
        <v>0</v>
      </c>
      <c r="AC234">
        <v>0</v>
      </c>
      <c r="AD234">
        <v>0</v>
      </c>
      <c r="AE234">
        <v>0</v>
      </c>
      <c r="AF234">
        <v>0</v>
      </c>
      <c r="AG234">
        <v>0</v>
      </c>
      <c r="AH234">
        <v>0</v>
      </c>
      <c r="AI234">
        <v>1</v>
      </c>
      <c r="AJ234">
        <v>0</v>
      </c>
      <c r="AK234">
        <v>0</v>
      </c>
      <c r="AL234">
        <v>0</v>
      </c>
      <c r="AM234">
        <v>0</v>
      </c>
      <c r="AN234">
        <v>0</v>
      </c>
    </row>
    <row r="235" spans="1:40" x14ac:dyDescent="0.25">
      <c r="A235" t="s">
        <v>1581</v>
      </c>
      <c r="B235" t="s">
        <v>1583</v>
      </c>
      <c r="F235" t="s">
        <v>312</v>
      </c>
      <c r="G235" t="s">
        <v>2626</v>
      </c>
      <c r="H235">
        <v>2012</v>
      </c>
      <c r="I235">
        <v>7</v>
      </c>
      <c r="J235">
        <v>3</v>
      </c>
      <c r="K235">
        <v>3</v>
      </c>
      <c r="M235" t="s">
        <v>1948</v>
      </c>
      <c r="N235">
        <v>185</v>
      </c>
      <c r="O235">
        <v>202</v>
      </c>
      <c r="Q235" t="s">
        <v>4634</v>
      </c>
      <c r="T235">
        <v>1</v>
      </c>
      <c r="U235">
        <v>0.13</v>
      </c>
      <c r="V235">
        <v>0</v>
      </c>
      <c r="W235">
        <v>0</v>
      </c>
      <c r="X235">
        <v>0</v>
      </c>
      <c r="Y235">
        <v>0</v>
      </c>
      <c r="Z235">
        <v>0</v>
      </c>
      <c r="AA235">
        <v>0</v>
      </c>
      <c r="AB235">
        <v>0</v>
      </c>
      <c r="AC235">
        <v>0</v>
      </c>
      <c r="AD235">
        <v>0</v>
      </c>
      <c r="AE235">
        <v>0</v>
      </c>
      <c r="AF235">
        <v>0</v>
      </c>
      <c r="AG235">
        <v>0</v>
      </c>
      <c r="AH235">
        <v>0</v>
      </c>
      <c r="AI235">
        <v>0</v>
      </c>
      <c r="AJ235">
        <v>1</v>
      </c>
      <c r="AK235">
        <v>0</v>
      </c>
      <c r="AL235">
        <v>0</v>
      </c>
      <c r="AM235">
        <v>0</v>
      </c>
      <c r="AN235">
        <v>0</v>
      </c>
    </row>
    <row r="236" spans="1:40" x14ac:dyDescent="0.25">
      <c r="A236" t="s">
        <v>4635</v>
      </c>
      <c r="B236" t="s">
        <v>4636</v>
      </c>
      <c r="F236" t="s">
        <v>4251</v>
      </c>
      <c r="G236">
        <v>2012</v>
      </c>
      <c r="H236">
        <v>2012</v>
      </c>
      <c r="I236">
        <v>31</v>
      </c>
      <c r="J236">
        <v>5</v>
      </c>
      <c r="N236">
        <v>971</v>
      </c>
      <c r="O236">
        <v>982</v>
      </c>
      <c r="T236">
        <v>1</v>
      </c>
      <c r="U236">
        <v>0.13</v>
      </c>
      <c r="V236">
        <v>0</v>
      </c>
      <c r="W236">
        <v>0</v>
      </c>
      <c r="X236">
        <v>0</v>
      </c>
      <c r="Y236">
        <v>0</v>
      </c>
      <c r="Z236">
        <v>0</v>
      </c>
      <c r="AA236">
        <v>0</v>
      </c>
      <c r="AB236">
        <v>0</v>
      </c>
      <c r="AC236">
        <v>0</v>
      </c>
      <c r="AD236">
        <v>0</v>
      </c>
      <c r="AE236">
        <v>0</v>
      </c>
      <c r="AF236">
        <v>0</v>
      </c>
      <c r="AG236">
        <v>0</v>
      </c>
      <c r="AH236">
        <v>0</v>
      </c>
      <c r="AI236">
        <v>0</v>
      </c>
      <c r="AJ236">
        <v>0</v>
      </c>
      <c r="AK236">
        <v>1</v>
      </c>
      <c r="AL236">
        <v>0</v>
      </c>
      <c r="AM236">
        <v>0</v>
      </c>
      <c r="AN236">
        <v>0</v>
      </c>
    </row>
    <row r="237" spans="1:40" x14ac:dyDescent="0.25">
      <c r="A237" t="s">
        <v>4637</v>
      </c>
      <c r="B237" t="s">
        <v>4638</v>
      </c>
      <c r="F237" t="s">
        <v>333</v>
      </c>
      <c r="G237" t="s">
        <v>2685</v>
      </c>
      <c r="H237">
        <v>2011</v>
      </c>
      <c r="I237">
        <v>25</v>
      </c>
      <c r="J237">
        <v>2</v>
      </c>
      <c r="N237">
        <v>287</v>
      </c>
      <c r="O237">
        <v>298</v>
      </c>
      <c r="Q237" t="s">
        <v>4639</v>
      </c>
      <c r="T237">
        <v>1</v>
      </c>
      <c r="U237">
        <v>0.11</v>
      </c>
      <c r="V237">
        <v>0</v>
      </c>
      <c r="W237">
        <v>0</v>
      </c>
      <c r="X237">
        <v>0</v>
      </c>
      <c r="Y237">
        <v>0</v>
      </c>
      <c r="Z237">
        <v>0</v>
      </c>
      <c r="AA237">
        <v>0</v>
      </c>
      <c r="AB237">
        <v>0</v>
      </c>
      <c r="AC237">
        <v>0</v>
      </c>
      <c r="AD237">
        <v>0</v>
      </c>
      <c r="AE237">
        <v>0</v>
      </c>
      <c r="AF237">
        <v>0</v>
      </c>
      <c r="AG237">
        <v>0</v>
      </c>
      <c r="AH237">
        <v>0</v>
      </c>
      <c r="AI237">
        <v>0</v>
      </c>
      <c r="AJ237">
        <v>0</v>
      </c>
      <c r="AK237">
        <v>0</v>
      </c>
      <c r="AL237">
        <v>1</v>
      </c>
      <c r="AM237">
        <v>0</v>
      </c>
      <c r="AN237">
        <v>0</v>
      </c>
    </row>
    <row r="238" spans="1:40" x14ac:dyDescent="0.25">
      <c r="A238" t="s">
        <v>4640</v>
      </c>
      <c r="B238" t="s">
        <v>4641</v>
      </c>
      <c r="F238" t="s">
        <v>343</v>
      </c>
      <c r="G238" t="s">
        <v>2422</v>
      </c>
      <c r="H238">
        <v>2009</v>
      </c>
      <c r="I238">
        <v>12</v>
      </c>
      <c r="J238">
        <v>4</v>
      </c>
      <c r="N238">
        <v>391</v>
      </c>
      <c r="O238">
        <v>406</v>
      </c>
      <c r="Q238" t="s">
        <v>4642</v>
      </c>
      <c r="T238">
        <v>1</v>
      </c>
      <c r="U238">
        <v>0.09</v>
      </c>
      <c r="V238">
        <v>0</v>
      </c>
      <c r="W238">
        <v>0</v>
      </c>
      <c r="X238">
        <v>0</v>
      </c>
      <c r="Y238">
        <v>0</v>
      </c>
      <c r="Z238">
        <v>0</v>
      </c>
      <c r="AA238">
        <v>0</v>
      </c>
      <c r="AB238">
        <v>0</v>
      </c>
      <c r="AC238">
        <v>0</v>
      </c>
      <c r="AD238">
        <v>0</v>
      </c>
      <c r="AE238">
        <v>0</v>
      </c>
      <c r="AF238">
        <v>1</v>
      </c>
      <c r="AG238">
        <v>0</v>
      </c>
      <c r="AH238">
        <v>0</v>
      </c>
      <c r="AI238">
        <v>0</v>
      </c>
      <c r="AJ238">
        <v>0</v>
      </c>
      <c r="AK238">
        <v>0</v>
      </c>
      <c r="AL238">
        <v>0</v>
      </c>
      <c r="AM238">
        <v>0</v>
      </c>
      <c r="AN238">
        <v>0</v>
      </c>
    </row>
    <row r="239" spans="1:40" x14ac:dyDescent="0.25">
      <c r="A239" t="s">
        <v>4643</v>
      </c>
      <c r="B239" t="s">
        <v>4644</v>
      </c>
      <c r="F239" t="s">
        <v>302</v>
      </c>
      <c r="G239" t="s">
        <v>4645</v>
      </c>
      <c r="H239">
        <v>2008</v>
      </c>
      <c r="I239">
        <v>26</v>
      </c>
      <c r="J239">
        <v>8</v>
      </c>
      <c r="N239">
        <v>1081</v>
      </c>
      <c r="O239">
        <v>1093</v>
      </c>
      <c r="Q239" t="s">
        <v>4646</v>
      </c>
      <c r="T239">
        <v>1</v>
      </c>
      <c r="U239">
        <v>0.08</v>
      </c>
      <c r="V239">
        <v>0</v>
      </c>
      <c r="W239">
        <v>0</v>
      </c>
      <c r="X239">
        <v>0</v>
      </c>
      <c r="Y239">
        <v>0</v>
      </c>
      <c r="Z239">
        <v>0</v>
      </c>
      <c r="AA239">
        <v>0</v>
      </c>
      <c r="AB239">
        <v>0</v>
      </c>
      <c r="AC239">
        <v>0</v>
      </c>
      <c r="AD239">
        <v>0</v>
      </c>
      <c r="AE239">
        <v>0</v>
      </c>
      <c r="AF239">
        <v>0</v>
      </c>
      <c r="AG239">
        <v>0</v>
      </c>
      <c r="AH239">
        <v>1</v>
      </c>
      <c r="AI239">
        <v>0</v>
      </c>
      <c r="AJ239">
        <v>0</v>
      </c>
      <c r="AK239">
        <v>0</v>
      </c>
      <c r="AL239">
        <v>0</v>
      </c>
      <c r="AM239">
        <v>0</v>
      </c>
      <c r="AN239">
        <v>0</v>
      </c>
    </row>
    <row r="240" spans="1:40" x14ac:dyDescent="0.25">
      <c r="A240" t="s">
        <v>4647</v>
      </c>
      <c r="B240" t="s">
        <v>4648</v>
      </c>
      <c r="F240" t="s">
        <v>342</v>
      </c>
      <c r="G240" t="s">
        <v>3388</v>
      </c>
      <c r="H240">
        <v>2007</v>
      </c>
      <c r="I240">
        <v>20</v>
      </c>
      <c r="J240">
        <v>10</v>
      </c>
      <c r="N240">
        <v>1109</v>
      </c>
      <c r="O240">
        <v>1131</v>
      </c>
      <c r="Q240" t="s">
        <v>4649</v>
      </c>
      <c r="T240">
        <v>1</v>
      </c>
      <c r="U240">
        <v>0.08</v>
      </c>
      <c r="V240">
        <v>0</v>
      </c>
      <c r="W240">
        <v>0</v>
      </c>
      <c r="X240">
        <v>0</v>
      </c>
      <c r="Y240">
        <v>0</v>
      </c>
      <c r="Z240">
        <v>0</v>
      </c>
      <c r="AA240">
        <v>0</v>
      </c>
      <c r="AB240">
        <v>0</v>
      </c>
      <c r="AC240">
        <v>0</v>
      </c>
      <c r="AD240">
        <v>0</v>
      </c>
      <c r="AE240">
        <v>0</v>
      </c>
      <c r="AF240">
        <v>1</v>
      </c>
      <c r="AG240">
        <v>0</v>
      </c>
      <c r="AH240">
        <v>0</v>
      </c>
      <c r="AI240">
        <v>0</v>
      </c>
      <c r="AJ240">
        <v>0</v>
      </c>
      <c r="AK240">
        <v>0</v>
      </c>
      <c r="AL240">
        <v>0</v>
      </c>
      <c r="AM240">
        <v>0</v>
      </c>
      <c r="AN240">
        <v>0</v>
      </c>
    </row>
    <row r="241" spans="1:40" x14ac:dyDescent="0.25">
      <c r="A241" t="s">
        <v>4650</v>
      </c>
      <c r="B241" t="s">
        <v>4651</v>
      </c>
      <c r="E241" t="s">
        <v>4373</v>
      </c>
      <c r="F241" t="s">
        <v>4374</v>
      </c>
      <c r="G241">
        <v>2006</v>
      </c>
      <c r="H241">
        <v>2006</v>
      </c>
      <c r="I241">
        <v>4029</v>
      </c>
      <c r="N241">
        <v>722</v>
      </c>
      <c r="O241">
        <v>730</v>
      </c>
      <c r="R241" t="s">
        <v>4375</v>
      </c>
      <c r="S241" t="s">
        <v>4376</v>
      </c>
      <c r="T241">
        <v>1</v>
      </c>
      <c r="U241">
        <v>7.0000000000000007E-2</v>
      </c>
      <c r="V241">
        <v>0</v>
      </c>
      <c r="W241">
        <v>0</v>
      </c>
      <c r="X241">
        <v>0</v>
      </c>
      <c r="Y241">
        <v>0</v>
      </c>
      <c r="Z241">
        <v>0</v>
      </c>
      <c r="AA241">
        <v>0</v>
      </c>
      <c r="AB241">
        <v>0</v>
      </c>
      <c r="AC241">
        <v>1</v>
      </c>
      <c r="AD241">
        <v>0</v>
      </c>
      <c r="AE241">
        <v>0</v>
      </c>
      <c r="AF241">
        <v>0</v>
      </c>
      <c r="AG241">
        <v>0</v>
      </c>
      <c r="AH241">
        <v>0</v>
      </c>
      <c r="AI241">
        <v>0</v>
      </c>
      <c r="AJ241">
        <v>0</v>
      </c>
      <c r="AK241">
        <v>0</v>
      </c>
      <c r="AL241">
        <v>0</v>
      </c>
      <c r="AM241">
        <v>0</v>
      </c>
      <c r="AN241">
        <v>0</v>
      </c>
    </row>
    <row r="242" spans="1:40" x14ac:dyDescent="0.25">
      <c r="A242" t="s">
        <v>4652</v>
      </c>
      <c r="B242" t="s">
        <v>4653</v>
      </c>
      <c r="E242" t="s">
        <v>4654</v>
      </c>
      <c r="F242" t="s">
        <v>4655</v>
      </c>
      <c r="G242">
        <v>2006</v>
      </c>
      <c r="H242">
        <v>2006</v>
      </c>
      <c r="I242">
        <v>345</v>
      </c>
      <c r="N242">
        <v>230</v>
      </c>
      <c r="O242">
        <v>240</v>
      </c>
      <c r="R242" t="s">
        <v>4656</v>
      </c>
      <c r="S242" t="s">
        <v>4657</v>
      </c>
      <c r="T242">
        <v>1</v>
      </c>
      <c r="U242">
        <v>7.0000000000000007E-2</v>
      </c>
      <c r="V242">
        <v>0</v>
      </c>
      <c r="W242">
        <v>0</v>
      </c>
      <c r="X242">
        <v>0</v>
      </c>
      <c r="Y242">
        <v>0</v>
      </c>
      <c r="Z242">
        <v>0</v>
      </c>
      <c r="AA242">
        <v>0</v>
      </c>
      <c r="AB242">
        <v>0</v>
      </c>
      <c r="AC242">
        <v>0</v>
      </c>
      <c r="AD242">
        <v>1</v>
      </c>
      <c r="AE242">
        <v>0</v>
      </c>
      <c r="AF242">
        <v>0</v>
      </c>
      <c r="AG242">
        <v>0</v>
      </c>
      <c r="AH242">
        <v>0</v>
      </c>
      <c r="AI242">
        <v>0</v>
      </c>
      <c r="AJ242">
        <v>0</v>
      </c>
      <c r="AK242">
        <v>0</v>
      </c>
      <c r="AL242">
        <v>0</v>
      </c>
      <c r="AM242">
        <v>0</v>
      </c>
      <c r="AN242">
        <v>0</v>
      </c>
    </row>
    <row r="243" spans="1:40" x14ac:dyDescent="0.25">
      <c r="A243" t="s">
        <v>1611</v>
      </c>
      <c r="B243" t="s">
        <v>1613</v>
      </c>
      <c r="E243" t="s">
        <v>4658</v>
      </c>
      <c r="F243" t="s">
        <v>340</v>
      </c>
      <c r="G243">
        <v>2005</v>
      </c>
      <c r="H243">
        <v>2005</v>
      </c>
      <c r="I243">
        <v>3789</v>
      </c>
      <c r="N243">
        <v>318</v>
      </c>
      <c r="O243">
        <v>327</v>
      </c>
      <c r="R243" t="s">
        <v>4659</v>
      </c>
      <c r="S243" t="s">
        <v>4660</v>
      </c>
      <c r="T243">
        <v>1</v>
      </c>
      <c r="U243">
        <v>7.0000000000000007E-2</v>
      </c>
      <c r="V243">
        <v>0</v>
      </c>
      <c r="W243">
        <v>0</v>
      </c>
      <c r="X243">
        <v>0</v>
      </c>
      <c r="Y243">
        <v>0</v>
      </c>
      <c r="Z243">
        <v>0</v>
      </c>
      <c r="AA243">
        <v>0</v>
      </c>
      <c r="AB243">
        <v>0</v>
      </c>
      <c r="AC243">
        <v>1</v>
      </c>
      <c r="AD243">
        <v>0</v>
      </c>
      <c r="AE243">
        <v>0</v>
      </c>
      <c r="AF243">
        <v>0</v>
      </c>
      <c r="AG243">
        <v>0</v>
      </c>
      <c r="AH243">
        <v>0</v>
      </c>
      <c r="AI243">
        <v>0</v>
      </c>
      <c r="AJ243">
        <v>0</v>
      </c>
      <c r="AK243">
        <v>0</v>
      </c>
      <c r="AL243">
        <v>0</v>
      </c>
      <c r="AM243">
        <v>0</v>
      </c>
      <c r="AN243">
        <v>0</v>
      </c>
    </row>
    <row r="244" spans="1:40" x14ac:dyDescent="0.25">
      <c r="A244" t="s">
        <v>4661</v>
      </c>
      <c r="B244" t="s">
        <v>4662</v>
      </c>
      <c r="E244" t="s">
        <v>4663</v>
      </c>
      <c r="F244" t="s">
        <v>4664</v>
      </c>
      <c r="G244">
        <v>2005</v>
      </c>
      <c r="H244">
        <v>2005</v>
      </c>
      <c r="I244">
        <v>3776</v>
      </c>
      <c r="N244">
        <v>11</v>
      </c>
      <c r="O244">
        <v>20</v>
      </c>
      <c r="R244" t="s">
        <v>4665</v>
      </c>
      <c r="S244" t="s">
        <v>4666</v>
      </c>
      <c r="T244">
        <v>1</v>
      </c>
      <c r="U244">
        <v>7.0000000000000007E-2</v>
      </c>
      <c r="V244">
        <v>0</v>
      </c>
      <c r="W244">
        <v>0</v>
      </c>
      <c r="X244">
        <v>0</v>
      </c>
      <c r="Y244">
        <v>0</v>
      </c>
      <c r="Z244">
        <v>0</v>
      </c>
      <c r="AA244">
        <v>0</v>
      </c>
      <c r="AB244">
        <v>0</v>
      </c>
      <c r="AC244">
        <v>0</v>
      </c>
      <c r="AD244">
        <v>0</v>
      </c>
      <c r="AE244">
        <v>0</v>
      </c>
      <c r="AF244">
        <v>0</v>
      </c>
      <c r="AG244">
        <v>0</v>
      </c>
      <c r="AH244">
        <v>0</v>
      </c>
      <c r="AI244">
        <v>0</v>
      </c>
      <c r="AJ244">
        <v>0</v>
      </c>
      <c r="AK244">
        <v>1</v>
      </c>
      <c r="AL244">
        <v>0</v>
      </c>
      <c r="AM244">
        <v>0</v>
      </c>
      <c r="AN244">
        <v>0</v>
      </c>
    </row>
    <row r="245" spans="1:40" x14ac:dyDescent="0.25">
      <c r="A245" t="s">
        <v>4667</v>
      </c>
      <c r="B245" t="s">
        <v>4668</v>
      </c>
      <c r="E245" t="s">
        <v>4669</v>
      </c>
      <c r="F245" t="s">
        <v>4670</v>
      </c>
      <c r="G245">
        <v>2003</v>
      </c>
      <c r="H245">
        <v>2003</v>
      </c>
      <c r="I245">
        <v>2667</v>
      </c>
      <c r="N245">
        <v>51</v>
      </c>
      <c r="O245">
        <v>58</v>
      </c>
      <c r="R245" t="s">
        <v>4671</v>
      </c>
      <c r="S245" t="s">
        <v>4672</v>
      </c>
      <c r="T245">
        <v>1</v>
      </c>
      <c r="U245">
        <v>0.06</v>
      </c>
      <c r="V245">
        <v>0</v>
      </c>
      <c r="W245">
        <v>0</v>
      </c>
      <c r="X245">
        <v>0</v>
      </c>
      <c r="Y245">
        <v>0</v>
      </c>
      <c r="Z245">
        <v>0</v>
      </c>
      <c r="AA245">
        <v>0</v>
      </c>
      <c r="AB245">
        <v>1</v>
      </c>
      <c r="AC245">
        <v>0</v>
      </c>
      <c r="AD245">
        <v>0</v>
      </c>
      <c r="AE245">
        <v>0</v>
      </c>
      <c r="AF245">
        <v>0</v>
      </c>
      <c r="AG245">
        <v>0</v>
      </c>
      <c r="AH245">
        <v>0</v>
      </c>
      <c r="AI245">
        <v>0</v>
      </c>
      <c r="AJ245">
        <v>0</v>
      </c>
      <c r="AK245">
        <v>0</v>
      </c>
      <c r="AL245">
        <v>0</v>
      </c>
      <c r="AM245">
        <v>0</v>
      </c>
      <c r="AN245">
        <v>0</v>
      </c>
    </row>
    <row r="246" spans="1:40" x14ac:dyDescent="0.25">
      <c r="A246" t="s">
        <v>4673</v>
      </c>
      <c r="B246" t="s">
        <v>4674</v>
      </c>
      <c r="E246" t="s">
        <v>4675</v>
      </c>
      <c r="F246" t="s">
        <v>4676</v>
      </c>
      <c r="G246">
        <v>2003</v>
      </c>
      <c r="H246">
        <v>2003</v>
      </c>
      <c r="I246">
        <v>2821</v>
      </c>
      <c r="N246">
        <v>312</v>
      </c>
      <c r="O246">
        <v>326</v>
      </c>
      <c r="R246" t="s">
        <v>4677</v>
      </c>
      <c r="S246" t="s">
        <v>4678</v>
      </c>
      <c r="T246">
        <v>1</v>
      </c>
      <c r="U246">
        <v>0.06</v>
      </c>
      <c r="V246">
        <v>0</v>
      </c>
      <c r="W246">
        <v>0</v>
      </c>
      <c r="X246">
        <v>0</v>
      </c>
      <c r="Y246">
        <v>0</v>
      </c>
      <c r="Z246">
        <v>1</v>
      </c>
      <c r="AA246">
        <v>0</v>
      </c>
      <c r="AB246">
        <v>0</v>
      </c>
      <c r="AC246">
        <v>0</v>
      </c>
      <c r="AD246">
        <v>0</v>
      </c>
      <c r="AE246">
        <v>0</v>
      </c>
      <c r="AF246">
        <v>0</v>
      </c>
      <c r="AG246">
        <v>0</v>
      </c>
      <c r="AH246">
        <v>0</v>
      </c>
      <c r="AI246">
        <v>0</v>
      </c>
      <c r="AJ246">
        <v>0</v>
      </c>
      <c r="AK246">
        <v>0</v>
      </c>
      <c r="AL246">
        <v>0</v>
      </c>
      <c r="AM246">
        <v>0</v>
      </c>
      <c r="AN246">
        <v>0</v>
      </c>
    </row>
    <row r="247" spans="1:40" x14ac:dyDescent="0.25">
      <c r="A247" t="s">
        <v>4679</v>
      </c>
      <c r="B247" t="s">
        <v>4680</v>
      </c>
      <c r="E247" t="s">
        <v>2491</v>
      </c>
      <c r="F247" t="s">
        <v>344</v>
      </c>
      <c r="G247">
        <v>2003</v>
      </c>
      <c r="H247">
        <v>2003</v>
      </c>
      <c r="I247">
        <v>2781</v>
      </c>
      <c r="N247">
        <v>84</v>
      </c>
      <c r="O247">
        <v>91</v>
      </c>
      <c r="R247" t="s">
        <v>2492</v>
      </c>
      <c r="S247" t="s">
        <v>2493</v>
      </c>
      <c r="T247">
        <v>1</v>
      </c>
      <c r="U247">
        <v>0.06</v>
      </c>
      <c r="V247">
        <v>0</v>
      </c>
      <c r="W247">
        <v>0</v>
      </c>
      <c r="X247">
        <v>0</v>
      </c>
      <c r="Y247">
        <v>0</v>
      </c>
      <c r="Z247">
        <v>1</v>
      </c>
      <c r="AA247">
        <v>0</v>
      </c>
      <c r="AB247">
        <v>0</v>
      </c>
      <c r="AC247">
        <v>0</v>
      </c>
      <c r="AD247">
        <v>0</v>
      </c>
      <c r="AE247">
        <v>0</v>
      </c>
      <c r="AF247">
        <v>0</v>
      </c>
      <c r="AG247">
        <v>0</v>
      </c>
      <c r="AH247">
        <v>0</v>
      </c>
      <c r="AI247">
        <v>0</v>
      </c>
      <c r="AJ247">
        <v>0</v>
      </c>
      <c r="AK247">
        <v>0</v>
      </c>
      <c r="AL247">
        <v>0</v>
      </c>
      <c r="AM247">
        <v>0</v>
      </c>
      <c r="AN247">
        <v>0</v>
      </c>
    </row>
    <row r="248" spans="1:40" x14ac:dyDescent="0.25">
      <c r="A248" t="s">
        <v>4681</v>
      </c>
      <c r="B248" t="s">
        <v>4682</v>
      </c>
      <c r="F248" t="s">
        <v>310</v>
      </c>
      <c r="G248" t="s">
        <v>4100</v>
      </c>
      <c r="H248">
        <v>2018</v>
      </c>
      <c r="I248">
        <v>12</v>
      </c>
      <c r="J248">
        <v>5</v>
      </c>
      <c r="N248">
        <v>679</v>
      </c>
      <c r="O248">
        <v>685</v>
      </c>
      <c r="Q248" t="s">
        <v>4683</v>
      </c>
      <c r="T248">
        <v>2</v>
      </c>
      <c r="U248">
        <v>1</v>
      </c>
      <c r="V248">
        <v>0</v>
      </c>
      <c r="W248">
        <v>0</v>
      </c>
      <c r="X248">
        <v>0</v>
      </c>
      <c r="Y248">
        <v>0</v>
      </c>
      <c r="Z248">
        <v>0</v>
      </c>
      <c r="AA248">
        <v>0</v>
      </c>
      <c r="AB248">
        <v>0</v>
      </c>
      <c r="AC248">
        <v>0</v>
      </c>
      <c r="AD248">
        <v>0</v>
      </c>
      <c r="AE248">
        <v>0</v>
      </c>
      <c r="AF248">
        <v>0</v>
      </c>
      <c r="AG248">
        <v>0</v>
      </c>
      <c r="AH248">
        <v>0</v>
      </c>
      <c r="AI248">
        <v>0</v>
      </c>
      <c r="AJ248">
        <v>0</v>
      </c>
      <c r="AK248">
        <v>0</v>
      </c>
      <c r="AL248">
        <v>0</v>
      </c>
      <c r="AM248">
        <v>2</v>
      </c>
      <c r="AN248">
        <v>0</v>
      </c>
    </row>
    <row r="249" spans="1:40" x14ac:dyDescent="0.25">
      <c r="A249" t="s">
        <v>1032</v>
      </c>
      <c r="B249" t="s">
        <v>1034</v>
      </c>
      <c r="F249" t="s">
        <v>304</v>
      </c>
      <c r="G249" t="s">
        <v>4100</v>
      </c>
      <c r="H249">
        <v>2018</v>
      </c>
      <c r="I249">
        <v>50</v>
      </c>
      <c r="J249">
        <v>2</v>
      </c>
      <c r="N249">
        <v>241</v>
      </c>
      <c r="O249">
        <v>259</v>
      </c>
      <c r="Q249" t="s">
        <v>4684</v>
      </c>
      <c r="T249">
        <v>2</v>
      </c>
      <c r="U249">
        <v>1</v>
      </c>
      <c r="V249">
        <v>0</v>
      </c>
      <c r="W249">
        <v>0</v>
      </c>
      <c r="X249">
        <v>0</v>
      </c>
      <c r="Y249">
        <v>0</v>
      </c>
      <c r="Z249">
        <v>0</v>
      </c>
      <c r="AA249">
        <v>0</v>
      </c>
      <c r="AB249">
        <v>0</v>
      </c>
      <c r="AC249">
        <v>0</v>
      </c>
      <c r="AD249">
        <v>0</v>
      </c>
      <c r="AE249">
        <v>0</v>
      </c>
      <c r="AF249">
        <v>0</v>
      </c>
      <c r="AG249">
        <v>0</v>
      </c>
      <c r="AH249">
        <v>0</v>
      </c>
      <c r="AI249">
        <v>0</v>
      </c>
      <c r="AJ249">
        <v>0</v>
      </c>
      <c r="AK249">
        <v>0</v>
      </c>
      <c r="AL249">
        <v>1</v>
      </c>
      <c r="AM249">
        <v>1</v>
      </c>
      <c r="AN249">
        <v>0</v>
      </c>
    </row>
    <row r="250" spans="1:40" x14ac:dyDescent="0.25">
      <c r="A250" t="s">
        <v>1021</v>
      </c>
      <c r="B250" t="s">
        <v>1023</v>
      </c>
      <c r="F250" t="s">
        <v>304</v>
      </c>
      <c r="G250" t="s">
        <v>4100</v>
      </c>
      <c r="H250">
        <v>2018</v>
      </c>
      <c r="I250">
        <v>50</v>
      </c>
      <c r="J250">
        <v>2</v>
      </c>
      <c r="N250">
        <v>283</v>
      </c>
      <c r="O250">
        <v>339</v>
      </c>
      <c r="Q250" t="s">
        <v>4685</v>
      </c>
      <c r="T250">
        <v>2</v>
      </c>
      <c r="U250">
        <v>1</v>
      </c>
      <c r="V250">
        <v>0</v>
      </c>
      <c r="W250">
        <v>0</v>
      </c>
      <c r="X250">
        <v>0</v>
      </c>
      <c r="Y250">
        <v>0</v>
      </c>
      <c r="Z250">
        <v>0</v>
      </c>
      <c r="AA250">
        <v>0</v>
      </c>
      <c r="AB250">
        <v>0</v>
      </c>
      <c r="AC250">
        <v>0</v>
      </c>
      <c r="AD250">
        <v>0</v>
      </c>
      <c r="AE250">
        <v>0</v>
      </c>
      <c r="AF250">
        <v>0</v>
      </c>
      <c r="AG250">
        <v>0</v>
      </c>
      <c r="AH250">
        <v>0</v>
      </c>
      <c r="AI250">
        <v>0</v>
      </c>
      <c r="AJ250">
        <v>0</v>
      </c>
      <c r="AK250">
        <v>0</v>
      </c>
      <c r="AL250">
        <v>1</v>
      </c>
      <c r="AM250">
        <v>1</v>
      </c>
      <c r="AN250">
        <v>0</v>
      </c>
    </row>
    <row r="251" spans="1:40" x14ac:dyDescent="0.25">
      <c r="A251" t="s">
        <v>4686</v>
      </c>
      <c r="B251" t="s">
        <v>4687</v>
      </c>
      <c r="F251" t="s">
        <v>303</v>
      </c>
      <c r="G251" t="s">
        <v>4131</v>
      </c>
      <c r="H251">
        <v>2018</v>
      </c>
      <c r="I251">
        <v>126</v>
      </c>
      <c r="J251">
        <v>5</v>
      </c>
      <c r="N251">
        <v>476</v>
      </c>
      <c r="O251">
        <v>494</v>
      </c>
      <c r="Q251" t="s">
        <v>4688</v>
      </c>
      <c r="T251">
        <v>2</v>
      </c>
      <c r="U251">
        <v>1</v>
      </c>
      <c r="V251">
        <v>0</v>
      </c>
      <c r="W251">
        <v>0</v>
      </c>
      <c r="X251">
        <v>0</v>
      </c>
      <c r="Y251">
        <v>0</v>
      </c>
      <c r="Z251">
        <v>0</v>
      </c>
      <c r="AA251">
        <v>0</v>
      </c>
      <c r="AB251">
        <v>0</v>
      </c>
      <c r="AC251">
        <v>0</v>
      </c>
      <c r="AD251">
        <v>0</v>
      </c>
      <c r="AE251">
        <v>0</v>
      </c>
      <c r="AF251">
        <v>0</v>
      </c>
      <c r="AG251">
        <v>0</v>
      </c>
      <c r="AH251">
        <v>0</v>
      </c>
      <c r="AI251">
        <v>0</v>
      </c>
      <c r="AJ251">
        <v>0</v>
      </c>
      <c r="AK251">
        <v>0</v>
      </c>
      <c r="AL251">
        <v>0</v>
      </c>
      <c r="AM251">
        <v>2</v>
      </c>
      <c r="AN251">
        <v>0</v>
      </c>
    </row>
    <row r="252" spans="1:40" x14ac:dyDescent="0.25">
      <c r="A252" t="s">
        <v>1728</v>
      </c>
      <c r="B252" t="s">
        <v>1730</v>
      </c>
      <c r="F252" t="s">
        <v>305</v>
      </c>
      <c r="G252" t="s">
        <v>4689</v>
      </c>
      <c r="H252">
        <v>2018</v>
      </c>
      <c r="I252">
        <v>105</v>
      </c>
      <c r="M252" t="s">
        <v>1948</v>
      </c>
      <c r="N252">
        <v>13</v>
      </c>
      <c r="O252">
        <v>22</v>
      </c>
      <c r="Q252" t="s">
        <v>4690</v>
      </c>
      <c r="T252">
        <v>2</v>
      </c>
      <c r="U252">
        <v>1</v>
      </c>
      <c r="V252">
        <v>0</v>
      </c>
      <c r="W252">
        <v>0</v>
      </c>
      <c r="X252">
        <v>0</v>
      </c>
      <c r="Y252">
        <v>0</v>
      </c>
      <c r="Z252">
        <v>0</v>
      </c>
      <c r="AA252">
        <v>0</v>
      </c>
      <c r="AB252">
        <v>0</v>
      </c>
      <c r="AC252">
        <v>0</v>
      </c>
      <c r="AD252">
        <v>0</v>
      </c>
      <c r="AE252">
        <v>0</v>
      </c>
      <c r="AF252">
        <v>0</v>
      </c>
      <c r="AG252">
        <v>0</v>
      </c>
      <c r="AH252">
        <v>0</v>
      </c>
      <c r="AI252">
        <v>0</v>
      </c>
      <c r="AJ252">
        <v>0</v>
      </c>
      <c r="AK252">
        <v>0</v>
      </c>
      <c r="AL252">
        <v>0</v>
      </c>
      <c r="AM252">
        <v>2</v>
      </c>
      <c r="AN252">
        <v>0</v>
      </c>
    </row>
    <row r="253" spans="1:40" x14ac:dyDescent="0.25">
      <c r="A253" t="s">
        <v>4691</v>
      </c>
      <c r="B253" t="s">
        <v>4692</v>
      </c>
      <c r="F253" t="s">
        <v>306</v>
      </c>
      <c r="G253" t="s">
        <v>4693</v>
      </c>
      <c r="H253">
        <v>2018</v>
      </c>
      <c r="I253">
        <v>280</v>
      </c>
      <c r="M253" t="s">
        <v>1948</v>
      </c>
      <c r="N253">
        <v>46</v>
      </c>
      <c r="O253">
        <v>55</v>
      </c>
      <c r="Q253" t="s">
        <v>4694</v>
      </c>
      <c r="T253">
        <v>2</v>
      </c>
      <c r="U253">
        <v>1</v>
      </c>
      <c r="V253">
        <v>0</v>
      </c>
      <c r="W253">
        <v>0</v>
      </c>
      <c r="X253">
        <v>0</v>
      </c>
      <c r="Y253">
        <v>0</v>
      </c>
      <c r="Z253">
        <v>0</v>
      </c>
      <c r="AA253">
        <v>0</v>
      </c>
      <c r="AB253">
        <v>0</v>
      </c>
      <c r="AC253">
        <v>0</v>
      </c>
      <c r="AD253">
        <v>0</v>
      </c>
      <c r="AE253">
        <v>0</v>
      </c>
      <c r="AF253">
        <v>0</v>
      </c>
      <c r="AG253">
        <v>0</v>
      </c>
      <c r="AH253">
        <v>0</v>
      </c>
      <c r="AI253">
        <v>0</v>
      </c>
      <c r="AJ253">
        <v>0</v>
      </c>
      <c r="AK253">
        <v>0</v>
      </c>
      <c r="AL253">
        <v>0</v>
      </c>
      <c r="AM253">
        <v>1</v>
      </c>
      <c r="AN253">
        <v>1</v>
      </c>
    </row>
    <row r="254" spans="1:40" x14ac:dyDescent="0.25">
      <c r="A254" t="s">
        <v>4695</v>
      </c>
      <c r="B254" t="s">
        <v>4696</v>
      </c>
      <c r="F254" t="s">
        <v>306</v>
      </c>
      <c r="G254" t="s">
        <v>4171</v>
      </c>
      <c r="H254">
        <v>2018</v>
      </c>
      <c r="I254">
        <v>275</v>
      </c>
      <c r="N254">
        <v>1035</v>
      </c>
      <c r="O254">
        <v>1042</v>
      </c>
      <c r="Q254" t="s">
        <v>4697</v>
      </c>
      <c r="T254">
        <v>2</v>
      </c>
      <c r="U254">
        <v>1</v>
      </c>
      <c r="V254">
        <v>0</v>
      </c>
      <c r="W254">
        <v>0</v>
      </c>
      <c r="X254">
        <v>0</v>
      </c>
      <c r="Y254">
        <v>0</v>
      </c>
      <c r="Z254">
        <v>0</v>
      </c>
      <c r="AA254">
        <v>0</v>
      </c>
      <c r="AB254">
        <v>0</v>
      </c>
      <c r="AC254">
        <v>0</v>
      </c>
      <c r="AD254">
        <v>0</v>
      </c>
      <c r="AE254">
        <v>0</v>
      </c>
      <c r="AF254">
        <v>0</v>
      </c>
      <c r="AG254">
        <v>0</v>
      </c>
      <c r="AH254">
        <v>0</v>
      </c>
      <c r="AI254">
        <v>0</v>
      </c>
      <c r="AJ254">
        <v>0</v>
      </c>
      <c r="AK254">
        <v>0</v>
      </c>
      <c r="AL254">
        <v>0</v>
      </c>
      <c r="AM254">
        <v>2</v>
      </c>
      <c r="AN254">
        <v>0</v>
      </c>
    </row>
    <row r="255" spans="1:40" x14ac:dyDescent="0.25">
      <c r="A255" t="s">
        <v>4698</v>
      </c>
      <c r="B255" t="s">
        <v>4699</v>
      </c>
      <c r="F255" t="s">
        <v>2787</v>
      </c>
      <c r="G255" t="s">
        <v>3675</v>
      </c>
      <c r="H255">
        <v>2018</v>
      </c>
      <c r="I255">
        <v>22</v>
      </c>
      <c r="J255">
        <v>2</v>
      </c>
      <c r="M255" t="s">
        <v>1948</v>
      </c>
      <c r="N255">
        <v>499</v>
      </c>
      <c r="O255">
        <v>509</v>
      </c>
      <c r="Q255" t="s">
        <v>4700</v>
      </c>
      <c r="T255">
        <v>2</v>
      </c>
      <c r="U255">
        <v>1</v>
      </c>
      <c r="V255">
        <v>0</v>
      </c>
      <c r="W255">
        <v>0</v>
      </c>
      <c r="X255">
        <v>0</v>
      </c>
      <c r="Y255">
        <v>0</v>
      </c>
      <c r="Z255">
        <v>0</v>
      </c>
      <c r="AA255">
        <v>0</v>
      </c>
      <c r="AB255">
        <v>0</v>
      </c>
      <c r="AC255">
        <v>0</v>
      </c>
      <c r="AD255">
        <v>0</v>
      </c>
      <c r="AE255">
        <v>0</v>
      </c>
      <c r="AF255">
        <v>0</v>
      </c>
      <c r="AG255">
        <v>0</v>
      </c>
      <c r="AH255">
        <v>0</v>
      </c>
      <c r="AI255">
        <v>0</v>
      </c>
      <c r="AJ255">
        <v>0</v>
      </c>
      <c r="AK255">
        <v>0</v>
      </c>
      <c r="AL255">
        <v>0</v>
      </c>
      <c r="AM255">
        <v>2</v>
      </c>
      <c r="AN255">
        <v>0</v>
      </c>
    </row>
    <row r="256" spans="1:40" x14ac:dyDescent="0.25">
      <c r="A256" t="s">
        <v>4701</v>
      </c>
      <c r="B256" t="s">
        <v>4702</v>
      </c>
      <c r="F256" t="s">
        <v>306</v>
      </c>
      <c r="G256" t="s">
        <v>4703</v>
      </c>
      <c r="H256">
        <v>2017</v>
      </c>
      <c r="I256">
        <v>269</v>
      </c>
      <c r="M256" t="s">
        <v>1948</v>
      </c>
      <c r="N256">
        <v>21</v>
      </c>
      <c r="O256">
        <v>28</v>
      </c>
      <c r="Q256" t="s">
        <v>4704</v>
      </c>
      <c r="T256">
        <v>2</v>
      </c>
      <c r="U256">
        <v>0.67</v>
      </c>
      <c r="V256">
        <v>0</v>
      </c>
      <c r="W256">
        <v>0</v>
      </c>
      <c r="X256">
        <v>0</v>
      </c>
      <c r="Y256">
        <v>0</v>
      </c>
      <c r="Z256">
        <v>0</v>
      </c>
      <c r="AA256">
        <v>0</v>
      </c>
      <c r="AB256">
        <v>0</v>
      </c>
      <c r="AC256">
        <v>0</v>
      </c>
      <c r="AD256">
        <v>0</v>
      </c>
      <c r="AE256">
        <v>0</v>
      </c>
      <c r="AF256">
        <v>0</v>
      </c>
      <c r="AG256">
        <v>0</v>
      </c>
      <c r="AH256">
        <v>0</v>
      </c>
      <c r="AI256">
        <v>0</v>
      </c>
      <c r="AJ256">
        <v>0</v>
      </c>
      <c r="AK256">
        <v>0</v>
      </c>
      <c r="AL256">
        <v>0</v>
      </c>
      <c r="AM256">
        <v>2</v>
      </c>
      <c r="AN256">
        <v>0</v>
      </c>
    </row>
    <row r="257" spans="1:40" x14ac:dyDescent="0.25">
      <c r="A257" t="s">
        <v>1133</v>
      </c>
      <c r="B257" t="s">
        <v>1135</v>
      </c>
      <c r="F257" t="s">
        <v>310</v>
      </c>
      <c r="G257" t="s">
        <v>3496</v>
      </c>
      <c r="H257">
        <v>2017</v>
      </c>
      <c r="I257">
        <v>11</v>
      </c>
      <c r="J257">
        <v>8</v>
      </c>
      <c r="N257">
        <v>744</v>
      </c>
      <c r="O257">
        <v>749</v>
      </c>
      <c r="Q257" t="s">
        <v>4705</v>
      </c>
      <c r="T257">
        <v>2</v>
      </c>
      <c r="U257">
        <v>0.67</v>
      </c>
      <c r="V257">
        <v>0</v>
      </c>
      <c r="W257">
        <v>0</v>
      </c>
      <c r="X257">
        <v>0</v>
      </c>
      <c r="Y257">
        <v>0</v>
      </c>
      <c r="Z257">
        <v>0</v>
      </c>
      <c r="AA257">
        <v>0</v>
      </c>
      <c r="AB257">
        <v>0</v>
      </c>
      <c r="AC257">
        <v>0</v>
      </c>
      <c r="AD257">
        <v>0</v>
      </c>
      <c r="AE257">
        <v>0</v>
      </c>
      <c r="AF257">
        <v>0</v>
      </c>
      <c r="AG257">
        <v>0</v>
      </c>
      <c r="AH257">
        <v>0</v>
      </c>
      <c r="AI257">
        <v>0</v>
      </c>
      <c r="AJ257">
        <v>0</v>
      </c>
      <c r="AK257">
        <v>0</v>
      </c>
      <c r="AL257">
        <v>0</v>
      </c>
      <c r="AM257">
        <v>0</v>
      </c>
      <c r="AN257">
        <v>2</v>
      </c>
    </row>
    <row r="258" spans="1:40" x14ac:dyDescent="0.25">
      <c r="A258" t="s">
        <v>4706</v>
      </c>
      <c r="B258" t="s">
        <v>4707</v>
      </c>
      <c r="F258" t="s">
        <v>316</v>
      </c>
      <c r="G258" t="s">
        <v>3496</v>
      </c>
      <c r="H258">
        <v>2017</v>
      </c>
      <c r="I258">
        <v>11</v>
      </c>
      <c r="J258">
        <v>12</v>
      </c>
      <c r="N258">
        <v>1210</v>
      </c>
      <c r="O258">
        <v>1218</v>
      </c>
      <c r="Q258" t="s">
        <v>4708</v>
      </c>
      <c r="T258">
        <v>2</v>
      </c>
      <c r="U258">
        <v>0.67</v>
      </c>
      <c r="V258">
        <v>0</v>
      </c>
      <c r="W258">
        <v>0</v>
      </c>
      <c r="X258">
        <v>0</v>
      </c>
      <c r="Y258">
        <v>0</v>
      </c>
      <c r="Z258">
        <v>0</v>
      </c>
      <c r="AA258">
        <v>0</v>
      </c>
      <c r="AB258">
        <v>0</v>
      </c>
      <c r="AC258">
        <v>0</v>
      </c>
      <c r="AD258">
        <v>0</v>
      </c>
      <c r="AE258">
        <v>0</v>
      </c>
      <c r="AF258">
        <v>0</v>
      </c>
      <c r="AG258">
        <v>0</v>
      </c>
      <c r="AH258">
        <v>0</v>
      </c>
      <c r="AI258">
        <v>0</v>
      </c>
      <c r="AJ258">
        <v>0</v>
      </c>
      <c r="AK258">
        <v>0</v>
      </c>
      <c r="AL258">
        <v>0</v>
      </c>
      <c r="AM258">
        <v>2</v>
      </c>
      <c r="AN258">
        <v>0</v>
      </c>
    </row>
    <row r="259" spans="1:40" x14ac:dyDescent="0.25">
      <c r="A259" t="s">
        <v>4709</v>
      </c>
      <c r="B259" t="s">
        <v>4710</v>
      </c>
      <c r="F259" t="s">
        <v>3783</v>
      </c>
      <c r="G259" t="s">
        <v>3496</v>
      </c>
      <c r="H259">
        <v>2017</v>
      </c>
      <c r="I259">
        <v>47</v>
      </c>
      <c r="J259">
        <v>4</v>
      </c>
      <c r="N259">
        <v>1087</v>
      </c>
      <c r="O259">
        <v>1098</v>
      </c>
      <c r="Q259" t="s">
        <v>4711</v>
      </c>
      <c r="T259">
        <v>2</v>
      </c>
      <c r="U259">
        <v>0.67</v>
      </c>
      <c r="V259">
        <v>0</v>
      </c>
      <c r="W259">
        <v>0</v>
      </c>
      <c r="X259">
        <v>0</v>
      </c>
      <c r="Y259">
        <v>0</v>
      </c>
      <c r="Z259">
        <v>0</v>
      </c>
      <c r="AA259">
        <v>0</v>
      </c>
      <c r="AB259">
        <v>0</v>
      </c>
      <c r="AC259">
        <v>0</v>
      </c>
      <c r="AD259">
        <v>0</v>
      </c>
      <c r="AE259">
        <v>0</v>
      </c>
      <c r="AF259">
        <v>0</v>
      </c>
      <c r="AG259">
        <v>0</v>
      </c>
      <c r="AH259">
        <v>0</v>
      </c>
      <c r="AI259">
        <v>0</v>
      </c>
      <c r="AJ259">
        <v>0</v>
      </c>
      <c r="AK259">
        <v>0</v>
      </c>
      <c r="AL259">
        <v>0</v>
      </c>
      <c r="AM259">
        <v>2</v>
      </c>
      <c r="AN259">
        <v>0</v>
      </c>
    </row>
    <row r="260" spans="1:40" x14ac:dyDescent="0.25">
      <c r="A260" t="s">
        <v>4712</v>
      </c>
      <c r="B260" t="s">
        <v>4713</v>
      </c>
      <c r="F260" t="s">
        <v>313</v>
      </c>
      <c r="G260" t="s">
        <v>4223</v>
      </c>
      <c r="H260">
        <v>2017</v>
      </c>
      <c r="I260">
        <v>81</v>
      </c>
      <c r="N260">
        <v>163</v>
      </c>
      <c r="O260">
        <v>176</v>
      </c>
      <c r="Q260" t="s">
        <v>4714</v>
      </c>
      <c r="T260">
        <v>2</v>
      </c>
      <c r="U260">
        <v>0.67</v>
      </c>
      <c r="V260">
        <v>0</v>
      </c>
      <c r="W260">
        <v>0</v>
      </c>
      <c r="X260">
        <v>0</v>
      </c>
      <c r="Y260">
        <v>0</v>
      </c>
      <c r="Z260">
        <v>0</v>
      </c>
      <c r="AA260">
        <v>0</v>
      </c>
      <c r="AB260">
        <v>0</v>
      </c>
      <c r="AC260">
        <v>0</v>
      </c>
      <c r="AD260">
        <v>0</v>
      </c>
      <c r="AE260">
        <v>0</v>
      </c>
      <c r="AF260">
        <v>0</v>
      </c>
      <c r="AG260">
        <v>0</v>
      </c>
      <c r="AH260">
        <v>0</v>
      </c>
      <c r="AI260">
        <v>0</v>
      </c>
      <c r="AJ260">
        <v>0</v>
      </c>
      <c r="AK260">
        <v>0</v>
      </c>
      <c r="AL260">
        <v>2</v>
      </c>
      <c r="AM260">
        <v>0</v>
      </c>
      <c r="AN260">
        <v>0</v>
      </c>
    </row>
    <row r="261" spans="1:40" x14ac:dyDescent="0.25">
      <c r="A261" t="s">
        <v>1251</v>
      </c>
      <c r="B261" t="s">
        <v>1253</v>
      </c>
      <c r="F261" t="s">
        <v>298</v>
      </c>
      <c r="G261" t="s">
        <v>3354</v>
      </c>
      <c r="H261">
        <v>2017</v>
      </c>
      <c r="I261">
        <v>162</v>
      </c>
      <c r="N261">
        <v>116</v>
      </c>
      <c r="O261">
        <v>134</v>
      </c>
      <c r="Q261" t="s">
        <v>4715</v>
      </c>
      <c r="T261">
        <v>2</v>
      </c>
      <c r="U261">
        <v>0.67</v>
      </c>
      <c r="V261">
        <v>0</v>
      </c>
      <c r="W261">
        <v>0</v>
      </c>
      <c r="X261">
        <v>0</v>
      </c>
      <c r="Y261">
        <v>0</v>
      </c>
      <c r="Z261">
        <v>0</v>
      </c>
      <c r="AA261">
        <v>0</v>
      </c>
      <c r="AB261">
        <v>0</v>
      </c>
      <c r="AC261">
        <v>0</v>
      </c>
      <c r="AD261">
        <v>0</v>
      </c>
      <c r="AE261">
        <v>0</v>
      </c>
      <c r="AF261">
        <v>0</v>
      </c>
      <c r="AG261">
        <v>0</v>
      </c>
      <c r="AH261">
        <v>0</v>
      </c>
      <c r="AI261">
        <v>0</v>
      </c>
      <c r="AJ261">
        <v>0</v>
      </c>
      <c r="AK261">
        <v>0</v>
      </c>
      <c r="AL261">
        <v>0</v>
      </c>
      <c r="AM261">
        <v>2</v>
      </c>
      <c r="AN261">
        <v>0</v>
      </c>
    </row>
    <row r="262" spans="1:40" x14ac:dyDescent="0.25">
      <c r="A262" t="s">
        <v>4716</v>
      </c>
      <c r="B262" t="s">
        <v>4717</v>
      </c>
      <c r="F262" t="s">
        <v>298</v>
      </c>
      <c r="G262" t="s">
        <v>2806</v>
      </c>
      <c r="H262">
        <v>2017</v>
      </c>
      <c r="I262">
        <v>160</v>
      </c>
      <c r="N262">
        <v>133</v>
      </c>
      <c r="O262">
        <v>147</v>
      </c>
      <c r="Q262" t="s">
        <v>4718</v>
      </c>
      <c r="T262">
        <v>2</v>
      </c>
      <c r="U262">
        <v>0.67</v>
      </c>
      <c r="V262">
        <v>0</v>
      </c>
      <c r="W262">
        <v>0</v>
      </c>
      <c r="X262">
        <v>0</v>
      </c>
      <c r="Y262">
        <v>0</v>
      </c>
      <c r="Z262">
        <v>0</v>
      </c>
      <c r="AA262">
        <v>0</v>
      </c>
      <c r="AB262">
        <v>0</v>
      </c>
      <c r="AC262">
        <v>0</v>
      </c>
      <c r="AD262">
        <v>0</v>
      </c>
      <c r="AE262">
        <v>0</v>
      </c>
      <c r="AF262">
        <v>0</v>
      </c>
      <c r="AG262">
        <v>0</v>
      </c>
      <c r="AH262">
        <v>0</v>
      </c>
      <c r="AI262">
        <v>0</v>
      </c>
      <c r="AJ262">
        <v>0</v>
      </c>
      <c r="AK262">
        <v>0</v>
      </c>
      <c r="AL262">
        <v>0</v>
      </c>
      <c r="AM262">
        <v>1</v>
      </c>
      <c r="AN262">
        <v>1</v>
      </c>
    </row>
    <row r="263" spans="1:40" x14ac:dyDescent="0.25">
      <c r="A263" t="s">
        <v>4719</v>
      </c>
      <c r="B263" t="s">
        <v>4720</v>
      </c>
      <c r="F263" t="s">
        <v>306</v>
      </c>
      <c r="G263" t="s">
        <v>4721</v>
      </c>
      <c r="H263">
        <v>2017</v>
      </c>
      <c r="I263">
        <v>244</v>
      </c>
      <c r="N263">
        <v>19</v>
      </c>
      <c r="O263">
        <v>32</v>
      </c>
      <c r="Q263" t="s">
        <v>4722</v>
      </c>
      <c r="T263">
        <v>2</v>
      </c>
      <c r="U263">
        <v>0.67</v>
      </c>
      <c r="V263">
        <v>0</v>
      </c>
      <c r="W263">
        <v>0</v>
      </c>
      <c r="X263">
        <v>0</v>
      </c>
      <c r="Y263">
        <v>0</v>
      </c>
      <c r="Z263">
        <v>0</v>
      </c>
      <c r="AA263">
        <v>0</v>
      </c>
      <c r="AB263">
        <v>0</v>
      </c>
      <c r="AC263">
        <v>0</v>
      </c>
      <c r="AD263">
        <v>0</v>
      </c>
      <c r="AE263">
        <v>0</v>
      </c>
      <c r="AF263">
        <v>0</v>
      </c>
      <c r="AG263">
        <v>0</v>
      </c>
      <c r="AH263">
        <v>0</v>
      </c>
      <c r="AI263">
        <v>0</v>
      </c>
      <c r="AJ263">
        <v>0</v>
      </c>
      <c r="AK263">
        <v>0</v>
      </c>
      <c r="AL263">
        <v>0</v>
      </c>
      <c r="AM263">
        <v>2</v>
      </c>
      <c r="AN263">
        <v>0</v>
      </c>
    </row>
    <row r="264" spans="1:40" x14ac:dyDescent="0.25">
      <c r="A264" t="s">
        <v>1584</v>
      </c>
      <c r="B264" t="s">
        <v>1586</v>
      </c>
      <c r="F264" t="s">
        <v>312</v>
      </c>
      <c r="G264" t="s">
        <v>3883</v>
      </c>
      <c r="H264">
        <v>2017</v>
      </c>
      <c r="I264">
        <v>13</v>
      </c>
      <c r="J264">
        <v>2</v>
      </c>
      <c r="N264">
        <v>311</v>
      </c>
      <c r="O264">
        <v>325</v>
      </c>
      <c r="Q264" t="s">
        <v>4723</v>
      </c>
      <c r="T264">
        <v>2</v>
      </c>
      <c r="U264">
        <v>0.67</v>
      </c>
      <c r="V264">
        <v>0</v>
      </c>
      <c r="W264">
        <v>0</v>
      </c>
      <c r="X264">
        <v>0</v>
      </c>
      <c r="Y264">
        <v>0</v>
      </c>
      <c r="Z264">
        <v>0</v>
      </c>
      <c r="AA264">
        <v>0</v>
      </c>
      <c r="AB264">
        <v>0</v>
      </c>
      <c r="AC264">
        <v>0</v>
      </c>
      <c r="AD264">
        <v>0</v>
      </c>
      <c r="AE264">
        <v>0</v>
      </c>
      <c r="AF264">
        <v>0</v>
      </c>
      <c r="AG264">
        <v>0</v>
      </c>
      <c r="AH264">
        <v>0</v>
      </c>
      <c r="AI264">
        <v>0</v>
      </c>
      <c r="AJ264">
        <v>0</v>
      </c>
      <c r="AK264">
        <v>0</v>
      </c>
      <c r="AL264">
        <v>0</v>
      </c>
      <c r="AM264">
        <v>0</v>
      </c>
      <c r="AN264">
        <v>2</v>
      </c>
    </row>
    <row r="265" spans="1:40" x14ac:dyDescent="0.25">
      <c r="A265" t="s">
        <v>4724</v>
      </c>
      <c r="B265" t="s">
        <v>4725</v>
      </c>
      <c r="F265" t="s">
        <v>312</v>
      </c>
      <c r="G265" t="s">
        <v>3883</v>
      </c>
      <c r="H265">
        <v>2017</v>
      </c>
      <c r="I265">
        <v>13</v>
      </c>
      <c r="J265">
        <v>2</v>
      </c>
      <c r="N265">
        <v>345</v>
      </c>
      <c r="O265">
        <v>361</v>
      </c>
      <c r="Q265" t="s">
        <v>4726</v>
      </c>
      <c r="T265">
        <v>2</v>
      </c>
      <c r="U265">
        <v>0.67</v>
      </c>
      <c r="V265">
        <v>0</v>
      </c>
      <c r="W265">
        <v>0</v>
      </c>
      <c r="X265">
        <v>0</v>
      </c>
      <c r="Y265">
        <v>0</v>
      </c>
      <c r="Z265">
        <v>0</v>
      </c>
      <c r="AA265">
        <v>0</v>
      </c>
      <c r="AB265">
        <v>0</v>
      </c>
      <c r="AC265">
        <v>0</v>
      </c>
      <c r="AD265">
        <v>0</v>
      </c>
      <c r="AE265">
        <v>0</v>
      </c>
      <c r="AF265">
        <v>0</v>
      </c>
      <c r="AG265">
        <v>0</v>
      </c>
      <c r="AH265">
        <v>0</v>
      </c>
      <c r="AI265">
        <v>0</v>
      </c>
      <c r="AJ265">
        <v>0</v>
      </c>
      <c r="AK265">
        <v>0</v>
      </c>
      <c r="AL265">
        <v>1</v>
      </c>
      <c r="AM265">
        <v>1</v>
      </c>
      <c r="AN265">
        <v>0</v>
      </c>
    </row>
    <row r="266" spans="1:40" x14ac:dyDescent="0.25">
      <c r="A266" t="s">
        <v>1155</v>
      </c>
      <c r="B266" t="s">
        <v>1157</v>
      </c>
      <c r="F266" t="s">
        <v>312</v>
      </c>
      <c r="G266" t="s">
        <v>3883</v>
      </c>
      <c r="H266">
        <v>2017</v>
      </c>
      <c r="I266">
        <v>13</v>
      </c>
      <c r="J266">
        <v>2</v>
      </c>
      <c r="N266">
        <v>397</v>
      </c>
      <c r="O266">
        <v>414</v>
      </c>
      <c r="Q266" t="s">
        <v>4727</v>
      </c>
      <c r="T266">
        <v>2</v>
      </c>
      <c r="U266">
        <v>0.67</v>
      </c>
      <c r="V266">
        <v>0</v>
      </c>
      <c r="W266">
        <v>0</v>
      </c>
      <c r="X266">
        <v>0</v>
      </c>
      <c r="Y266">
        <v>0</v>
      </c>
      <c r="Z266">
        <v>0</v>
      </c>
      <c r="AA266">
        <v>0</v>
      </c>
      <c r="AB266">
        <v>0</v>
      </c>
      <c r="AC266">
        <v>0</v>
      </c>
      <c r="AD266">
        <v>0</v>
      </c>
      <c r="AE266">
        <v>0</v>
      </c>
      <c r="AF266">
        <v>0</v>
      </c>
      <c r="AG266">
        <v>0</v>
      </c>
      <c r="AH266">
        <v>0</v>
      </c>
      <c r="AI266">
        <v>1</v>
      </c>
      <c r="AJ266">
        <v>0</v>
      </c>
      <c r="AK266">
        <v>0</v>
      </c>
      <c r="AL266">
        <v>0</v>
      </c>
      <c r="AM266">
        <v>1</v>
      </c>
      <c r="AN266">
        <v>0</v>
      </c>
    </row>
    <row r="267" spans="1:40" x14ac:dyDescent="0.25">
      <c r="A267" t="s">
        <v>4728</v>
      </c>
      <c r="B267" t="s">
        <v>4729</v>
      </c>
      <c r="F267" t="s">
        <v>346</v>
      </c>
      <c r="G267" t="s">
        <v>2553</v>
      </c>
      <c r="H267">
        <v>2017</v>
      </c>
      <c r="I267">
        <v>91</v>
      </c>
      <c r="N267">
        <v>151</v>
      </c>
      <c r="O267">
        <v>168</v>
      </c>
      <c r="Q267" t="s">
        <v>4730</v>
      </c>
      <c r="T267">
        <v>2</v>
      </c>
      <c r="U267">
        <v>0.67</v>
      </c>
      <c r="V267">
        <v>0</v>
      </c>
      <c r="W267">
        <v>0</v>
      </c>
      <c r="X267">
        <v>0</v>
      </c>
      <c r="Y267">
        <v>0</v>
      </c>
      <c r="Z267">
        <v>0</v>
      </c>
      <c r="AA267">
        <v>0</v>
      </c>
      <c r="AB267">
        <v>0</v>
      </c>
      <c r="AC267">
        <v>0</v>
      </c>
      <c r="AD267">
        <v>0</v>
      </c>
      <c r="AE267">
        <v>0</v>
      </c>
      <c r="AF267">
        <v>0</v>
      </c>
      <c r="AG267">
        <v>0</v>
      </c>
      <c r="AH267">
        <v>0</v>
      </c>
      <c r="AI267">
        <v>0</v>
      </c>
      <c r="AJ267">
        <v>0</v>
      </c>
      <c r="AK267">
        <v>0</v>
      </c>
      <c r="AL267">
        <v>1</v>
      </c>
      <c r="AM267">
        <v>1</v>
      </c>
      <c r="AN267">
        <v>0</v>
      </c>
    </row>
    <row r="268" spans="1:40" x14ac:dyDescent="0.25">
      <c r="A268" t="s">
        <v>1314</v>
      </c>
      <c r="B268" t="s">
        <v>1316</v>
      </c>
      <c r="F268" t="s">
        <v>314</v>
      </c>
      <c r="G268" t="s">
        <v>3776</v>
      </c>
      <c r="H268">
        <v>2017</v>
      </c>
      <c r="I268">
        <v>47</v>
      </c>
      <c r="J268">
        <v>4</v>
      </c>
      <c r="N268">
        <v>960</v>
      </c>
      <c r="O268">
        <v>973</v>
      </c>
      <c r="Q268" t="s">
        <v>4731</v>
      </c>
      <c r="T268">
        <v>2</v>
      </c>
      <c r="U268">
        <v>0.67</v>
      </c>
      <c r="V268">
        <v>0</v>
      </c>
      <c r="W268">
        <v>0</v>
      </c>
      <c r="X268">
        <v>0</v>
      </c>
      <c r="Y268">
        <v>0</v>
      </c>
      <c r="Z268">
        <v>0</v>
      </c>
      <c r="AA268">
        <v>0</v>
      </c>
      <c r="AB268">
        <v>0</v>
      </c>
      <c r="AC268">
        <v>0</v>
      </c>
      <c r="AD268">
        <v>0</v>
      </c>
      <c r="AE268">
        <v>0</v>
      </c>
      <c r="AF268">
        <v>0</v>
      </c>
      <c r="AG268">
        <v>0</v>
      </c>
      <c r="AH268">
        <v>0</v>
      </c>
      <c r="AI268">
        <v>0</v>
      </c>
      <c r="AJ268">
        <v>0</v>
      </c>
      <c r="AK268">
        <v>0</v>
      </c>
      <c r="AL268">
        <v>1</v>
      </c>
      <c r="AM268">
        <v>1</v>
      </c>
      <c r="AN268">
        <v>0</v>
      </c>
    </row>
    <row r="269" spans="1:40" x14ac:dyDescent="0.25">
      <c r="A269" t="s">
        <v>4732</v>
      </c>
      <c r="B269" t="s">
        <v>4733</v>
      </c>
      <c r="F269" t="s">
        <v>298</v>
      </c>
      <c r="G269" t="s">
        <v>3500</v>
      </c>
      <c r="H269">
        <v>2017</v>
      </c>
      <c r="I269">
        <v>156</v>
      </c>
      <c r="N269">
        <v>174</v>
      </c>
      <c r="O269">
        <v>185</v>
      </c>
      <c r="Q269" t="s">
        <v>4734</v>
      </c>
      <c r="T269">
        <v>2</v>
      </c>
      <c r="U269">
        <v>0.67</v>
      </c>
      <c r="V269">
        <v>0</v>
      </c>
      <c r="W269">
        <v>0</v>
      </c>
      <c r="X269">
        <v>0</v>
      </c>
      <c r="Y269">
        <v>0</v>
      </c>
      <c r="Z269">
        <v>0</v>
      </c>
      <c r="AA269">
        <v>0</v>
      </c>
      <c r="AB269">
        <v>0</v>
      </c>
      <c r="AC269">
        <v>0</v>
      </c>
      <c r="AD269">
        <v>0</v>
      </c>
      <c r="AE269">
        <v>0</v>
      </c>
      <c r="AF269">
        <v>0</v>
      </c>
      <c r="AG269">
        <v>0</v>
      </c>
      <c r="AH269">
        <v>0</v>
      </c>
      <c r="AI269">
        <v>0</v>
      </c>
      <c r="AJ269">
        <v>0</v>
      </c>
      <c r="AK269">
        <v>0</v>
      </c>
      <c r="AL269">
        <v>0</v>
      </c>
      <c r="AM269">
        <v>2</v>
      </c>
      <c r="AN269">
        <v>0</v>
      </c>
    </row>
    <row r="270" spans="1:40" x14ac:dyDescent="0.25">
      <c r="A270" t="s">
        <v>1359</v>
      </c>
      <c r="B270" t="s">
        <v>1361</v>
      </c>
      <c r="F270" t="s">
        <v>300</v>
      </c>
      <c r="G270" t="s">
        <v>2774</v>
      </c>
      <c r="H270">
        <v>2016</v>
      </c>
      <c r="I270">
        <v>38</v>
      </c>
      <c r="J270">
        <v>11</v>
      </c>
      <c r="N270">
        <v>2327</v>
      </c>
      <c r="O270">
        <v>2334</v>
      </c>
      <c r="Q270" t="s">
        <v>4735</v>
      </c>
      <c r="T270">
        <v>2</v>
      </c>
      <c r="U270">
        <v>0.5</v>
      </c>
      <c r="V270">
        <v>0</v>
      </c>
      <c r="W270">
        <v>0</v>
      </c>
      <c r="X270">
        <v>0</v>
      </c>
      <c r="Y270">
        <v>0</v>
      </c>
      <c r="Z270">
        <v>0</v>
      </c>
      <c r="AA270">
        <v>0</v>
      </c>
      <c r="AB270">
        <v>0</v>
      </c>
      <c r="AC270">
        <v>0</v>
      </c>
      <c r="AD270">
        <v>0</v>
      </c>
      <c r="AE270">
        <v>0</v>
      </c>
      <c r="AF270">
        <v>0</v>
      </c>
      <c r="AG270">
        <v>0</v>
      </c>
      <c r="AH270">
        <v>0</v>
      </c>
      <c r="AI270">
        <v>0</v>
      </c>
      <c r="AJ270">
        <v>0</v>
      </c>
      <c r="AK270">
        <v>0</v>
      </c>
      <c r="AL270">
        <v>1</v>
      </c>
      <c r="AM270">
        <v>1</v>
      </c>
      <c r="AN270">
        <v>0</v>
      </c>
    </row>
    <row r="271" spans="1:40" x14ac:dyDescent="0.25">
      <c r="A271" t="s">
        <v>1689</v>
      </c>
      <c r="B271" t="s">
        <v>1691</v>
      </c>
      <c r="F271" t="s">
        <v>308</v>
      </c>
      <c r="G271" t="s">
        <v>2774</v>
      </c>
      <c r="H271">
        <v>2016</v>
      </c>
      <c r="I271">
        <v>59</v>
      </c>
      <c r="M271" t="s">
        <v>1948</v>
      </c>
      <c r="N271">
        <v>55</v>
      </c>
      <c r="O271">
        <v>62</v>
      </c>
      <c r="Q271" t="s">
        <v>4736</v>
      </c>
      <c r="T271">
        <v>2</v>
      </c>
      <c r="U271">
        <v>0.5</v>
      </c>
      <c r="V271">
        <v>0</v>
      </c>
      <c r="W271">
        <v>0</v>
      </c>
      <c r="X271">
        <v>0</v>
      </c>
      <c r="Y271">
        <v>0</v>
      </c>
      <c r="Z271">
        <v>0</v>
      </c>
      <c r="AA271">
        <v>0</v>
      </c>
      <c r="AB271">
        <v>0</v>
      </c>
      <c r="AC271">
        <v>0</v>
      </c>
      <c r="AD271">
        <v>0</v>
      </c>
      <c r="AE271">
        <v>0</v>
      </c>
      <c r="AF271">
        <v>0</v>
      </c>
      <c r="AG271">
        <v>0</v>
      </c>
      <c r="AH271">
        <v>0</v>
      </c>
      <c r="AI271">
        <v>0</v>
      </c>
      <c r="AJ271">
        <v>0</v>
      </c>
      <c r="AK271">
        <v>0</v>
      </c>
      <c r="AL271">
        <v>1</v>
      </c>
      <c r="AM271">
        <v>1</v>
      </c>
      <c r="AN271">
        <v>0</v>
      </c>
    </row>
    <row r="272" spans="1:40" x14ac:dyDescent="0.25">
      <c r="A272" t="s">
        <v>1551</v>
      </c>
      <c r="B272" t="s">
        <v>1553</v>
      </c>
      <c r="F272" t="s">
        <v>334</v>
      </c>
      <c r="G272" t="s">
        <v>3576</v>
      </c>
      <c r="H272">
        <v>2016</v>
      </c>
      <c r="I272">
        <v>10</v>
      </c>
      <c r="J272">
        <v>3</v>
      </c>
      <c r="M272" t="s">
        <v>1948</v>
      </c>
      <c r="N272">
        <v>379</v>
      </c>
      <c r="O272">
        <v>397</v>
      </c>
      <c r="Q272" t="s">
        <v>4737</v>
      </c>
      <c r="T272">
        <v>2</v>
      </c>
      <c r="U272">
        <v>0.5</v>
      </c>
      <c r="V272">
        <v>0</v>
      </c>
      <c r="W272">
        <v>0</v>
      </c>
      <c r="X272">
        <v>0</v>
      </c>
      <c r="Y272">
        <v>0</v>
      </c>
      <c r="Z272">
        <v>0</v>
      </c>
      <c r="AA272">
        <v>0</v>
      </c>
      <c r="AB272">
        <v>0</v>
      </c>
      <c r="AC272">
        <v>0</v>
      </c>
      <c r="AD272">
        <v>0</v>
      </c>
      <c r="AE272">
        <v>0</v>
      </c>
      <c r="AF272">
        <v>0</v>
      </c>
      <c r="AG272">
        <v>0</v>
      </c>
      <c r="AH272">
        <v>0</v>
      </c>
      <c r="AI272">
        <v>0</v>
      </c>
      <c r="AJ272">
        <v>0</v>
      </c>
      <c r="AK272">
        <v>0</v>
      </c>
      <c r="AL272">
        <v>2</v>
      </c>
      <c r="AM272">
        <v>0</v>
      </c>
      <c r="AN272">
        <v>0</v>
      </c>
    </row>
    <row r="273" spans="1:40" x14ac:dyDescent="0.25">
      <c r="A273" t="s">
        <v>4738</v>
      </c>
      <c r="B273" t="s">
        <v>4739</v>
      </c>
      <c r="F273" t="s">
        <v>305</v>
      </c>
      <c r="G273" t="s">
        <v>4740</v>
      </c>
      <c r="H273">
        <v>2016</v>
      </c>
      <c r="I273">
        <v>77</v>
      </c>
      <c r="N273">
        <v>42</v>
      </c>
      <c r="O273">
        <v>49</v>
      </c>
      <c r="Q273" t="s">
        <v>4741</v>
      </c>
      <c r="T273">
        <v>2</v>
      </c>
      <c r="U273">
        <v>0.5</v>
      </c>
      <c r="V273">
        <v>0</v>
      </c>
      <c r="W273">
        <v>0</v>
      </c>
      <c r="X273">
        <v>0</v>
      </c>
      <c r="Y273">
        <v>0</v>
      </c>
      <c r="Z273">
        <v>0</v>
      </c>
      <c r="AA273">
        <v>0</v>
      </c>
      <c r="AB273">
        <v>0</v>
      </c>
      <c r="AC273">
        <v>0</v>
      </c>
      <c r="AD273">
        <v>0</v>
      </c>
      <c r="AE273">
        <v>0</v>
      </c>
      <c r="AF273">
        <v>0</v>
      </c>
      <c r="AG273">
        <v>0</v>
      </c>
      <c r="AH273">
        <v>0</v>
      </c>
      <c r="AI273">
        <v>0</v>
      </c>
      <c r="AJ273">
        <v>0</v>
      </c>
      <c r="AK273">
        <v>0</v>
      </c>
      <c r="AL273">
        <v>2</v>
      </c>
      <c r="AM273">
        <v>0</v>
      </c>
      <c r="AN273">
        <v>0</v>
      </c>
    </row>
    <row r="274" spans="1:40" x14ac:dyDescent="0.25">
      <c r="A274" t="s">
        <v>4742</v>
      </c>
      <c r="B274" t="s">
        <v>4743</v>
      </c>
      <c r="F274" t="s">
        <v>310</v>
      </c>
      <c r="G274" t="s">
        <v>2778</v>
      </c>
      <c r="H274">
        <v>2016</v>
      </c>
      <c r="I274">
        <v>10</v>
      </c>
      <c r="J274">
        <v>4</v>
      </c>
      <c r="M274" t="s">
        <v>1948</v>
      </c>
      <c r="N274">
        <v>315</v>
      </c>
      <c r="O274">
        <v>322</v>
      </c>
      <c r="Q274" t="s">
        <v>4744</v>
      </c>
      <c r="T274">
        <v>2</v>
      </c>
      <c r="U274">
        <v>0.5</v>
      </c>
      <c r="V274">
        <v>0</v>
      </c>
      <c r="W274">
        <v>0</v>
      </c>
      <c r="X274">
        <v>0</v>
      </c>
      <c r="Y274">
        <v>0</v>
      </c>
      <c r="Z274">
        <v>0</v>
      </c>
      <c r="AA274">
        <v>0</v>
      </c>
      <c r="AB274">
        <v>0</v>
      </c>
      <c r="AC274">
        <v>0</v>
      </c>
      <c r="AD274">
        <v>0</v>
      </c>
      <c r="AE274">
        <v>0</v>
      </c>
      <c r="AF274">
        <v>0</v>
      </c>
      <c r="AG274">
        <v>0</v>
      </c>
      <c r="AH274">
        <v>0</v>
      </c>
      <c r="AI274">
        <v>0</v>
      </c>
      <c r="AJ274">
        <v>0</v>
      </c>
      <c r="AK274">
        <v>0</v>
      </c>
      <c r="AL274">
        <v>2</v>
      </c>
      <c r="AM274">
        <v>0</v>
      </c>
      <c r="AN274">
        <v>0</v>
      </c>
    </row>
    <row r="275" spans="1:40" x14ac:dyDescent="0.25">
      <c r="A275" t="s">
        <v>1668</v>
      </c>
      <c r="B275" t="s">
        <v>1670</v>
      </c>
      <c r="F275" t="s">
        <v>343</v>
      </c>
      <c r="G275" t="s">
        <v>3329</v>
      </c>
      <c r="H275">
        <v>2016</v>
      </c>
      <c r="I275">
        <v>19</v>
      </c>
      <c r="J275">
        <v>1</v>
      </c>
      <c r="N275">
        <v>267</v>
      </c>
      <c r="O275">
        <v>282</v>
      </c>
      <c r="Q275" t="s">
        <v>4745</v>
      </c>
      <c r="T275">
        <v>2</v>
      </c>
      <c r="U275">
        <v>0.5</v>
      </c>
      <c r="V275">
        <v>0</v>
      </c>
      <c r="W275">
        <v>0</v>
      </c>
      <c r="X275">
        <v>0</v>
      </c>
      <c r="Y275">
        <v>0</v>
      </c>
      <c r="Z275">
        <v>0</v>
      </c>
      <c r="AA275">
        <v>0</v>
      </c>
      <c r="AB275">
        <v>0</v>
      </c>
      <c r="AC275">
        <v>0</v>
      </c>
      <c r="AD275">
        <v>0</v>
      </c>
      <c r="AE275">
        <v>0</v>
      </c>
      <c r="AF275">
        <v>0</v>
      </c>
      <c r="AG275">
        <v>0</v>
      </c>
      <c r="AH275">
        <v>0</v>
      </c>
      <c r="AI275">
        <v>0</v>
      </c>
      <c r="AJ275">
        <v>0</v>
      </c>
      <c r="AK275">
        <v>0</v>
      </c>
      <c r="AL275">
        <v>1</v>
      </c>
      <c r="AM275">
        <v>1</v>
      </c>
      <c r="AN275">
        <v>0</v>
      </c>
    </row>
    <row r="276" spans="1:40" x14ac:dyDescent="0.25">
      <c r="A276" t="s">
        <v>1283</v>
      </c>
      <c r="B276" t="s">
        <v>1285</v>
      </c>
      <c r="F276" t="s">
        <v>322</v>
      </c>
      <c r="G276" t="s">
        <v>4746</v>
      </c>
      <c r="H276">
        <v>2016</v>
      </c>
      <c r="I276">
        <v>28</v>
      </c>
      <c r="J276">
        <v>1</v>
      </c>
      <c r="N276">
        <v>27</v>
      </c>
      <c r="O276">
        <v>46</v>
      </c>
      <c r="Q276" t="s">
        <v>4747</v>
      </c>
      <c r="T276">
        <v>2</v>
      </c>
      <c r="U276">
        <v>0.5</v>
      </c>
      <c r="V276">
        <v>0</v>
      </c>
      <c r="W276">
        <v>0</v>
      </c>
      <c r="X276">
        <v>0</v>
      </c>
      <c r="Y276">
        <v>0</v>
      </c>
      <c r="Z276">
        <v>0</v>
      </c>
      <c r="AA276">
        <v>0</v>
      </c>
      <c r="AB276">
        <v>0</v>
      </c>
      <c r="AC276">
        <v>0</v>
      </c>
      <c r="AD276">
        <v>0</v>
      </c>
      <c r="AE276">
        <v>0</v>
      </c>
      <c r="AF276">
        <v>0</v>
      </c>
      <c r="AG276">
        <v>0</v>
      </c>
      <c r="AH276">
        <v>0</v>
      </c>
      <c r="AI276">
        <v>0</v>
      </c>
      <c r="AJ276">
        <v>0</v>
      </c>
      <c r="AK276">
        <v>0</v>
      </c>
      <c r="AL276">
        <v>2</v>
      </c>
      <c r="AM276">
        <v>0</v>
      </c>
      <c r="AN276">
        <v>0</v>
      </c>
    </row>
    <row r="277" spans="1:40" x14ac:dyDescent="0.25">
      <c r="A277" t="s">
        <v>4748</v>
      </c>
      <c r="B277" t="s">
        <v>4749</v>
      </c>
      <c r="F277" t="s">
        <v>300</v>
      </c>
      <c r="G277" t="s">
        <v>2393</v>
      </c>
      <c r="H277">
        <v>2015</v>
      </c>
      <c r="I277">
        <v>37</v>
      </c>
      <c r="J277">
        <v>12</v>
      </c>
      <c r="N277">
        <v>2545</v>
      </c>
      <c r="O277">
        <v>2557</v>
      </c>
      <c r="Q277" t="s">
        <v>4750</v>
      </c>
      <c r="T277">
        <v>2</v>
      </c>
      <c r="U277">
        <v>0.4</v>
      </c>
      <c r="V277">
        <v>0</v>
      </c>
      <c r="W277">
        <v>0</v>
      </c>
      <c r="X277">
        <v>0</v>
      </c>
      <c r="Y277">
        <v>0</v>
      </c>
      <c r="Z277">
        <v>0</v>
      </c>
      <c r="AA277">
        <v>0</v>
      </c>
      <c r="AB277">
        <v>0</v>
      </c>
      <c r="AC277">
        <v>0</v>
      </c>
      <c r="AD277">
        <v>0</v>
      </c>
      <c r="AE277">
        <v>0</v>
      </c>
      <c r="AF277">
        <v>0</v>
      </c>
      <c r="AG277">
        <v>0</v>
      </c>
      <c r="AH277">
        <v>0</v>
      </c>
      <c r="AI277">
        <v>0</v>
      </c>
      <c r="AJ277">
        <v>0</v>
      </c>
      <c r="AK277">
        <v>0</v>
      </c>
      <c r="AL277">
        <v>0</v>
      </c>
      <c r="AM277">
        <v>1</v>
      </c>
      <c r="AN277">
        <v>1</v>
      </c>
    </row>
    <row r="278" spans="1:40" x14ac:dyDescent="0.25">
      <c r="A278" t="s">
        <v>1731</v>
      </c>
      <c r="B278" t="s">
        <v>1733</v>
      </c>
      <c r="F278" t="s">
        <v>305</v>
      </c>
      <c r="G278" t="s">
        <v>2616</v>
      </c>
      <c r="H278">
        <v>2015</v>
      </c>
      <c r="I278">
        <v>67</v>
      </c>
      <c r="K278">
        <v>1</v>
      </c>
      <c r="N278">
        <v>66</v>
      </c>
      <c r="O278">
        <v>74</v>
      </c>
      <c r="Q278" t="s">
        <v>4751</v>
      </c>
      <c r="T278">
        <v>2</v>
      </c>
      <c r="U278">
        <v>0.4</v>
      </c>
      <c r="V278">
        <v>0</v>
      </c>
      <c r="W278">
        <v>0</v>
      </c>
      <c r="X278">
        <v>0</v>
      </c>
      <c r="Y278">
        <v>0</v>
      </c>
      <c r="Z278">
        <v>0</v>
      </c>
      <c r="AA278">
        <v>0</v>
      </c>
      <c r="AB278">
        <v>0</v>
      </c>
      <c r="AC278">
        <v>0</v>
      </c>
      <c r="AD278">
        <v>0</v>
      </c>
      <c r="AE278">
        <v>0</v>
      </c>
      <c r="AF278">
        <v>0</v>
      </c>
      <c r="AG278">
        <v>0</v>
      </c>
      <c r="AH278">
        <v>0</v>
      </c>
      <c r="AI278">
        <v>0</v>
      </c>
      <c r="AJ278">
        <v>0</v>
      </c>
      <c r="AK278">
        <v>0</v>
      </c>
      <c r="AL278">
        <v>0</v>
      </c>
      <c r="AM278">
        <v>2</v>
      </c>
      <c r="AN278">
        <v>0</v>
      </c>
    </row>
    <row r="279" spans="1:40" x14ac:dyDescent="0.25">
      <c r="A279" t="s">
        <v>4752</v>
      </c>
      <c r="B279" t="s">
        <v>4753</v>
      </c>
      <c r="F279" t="s">
        <v>298</v>
      </c>
      <c r="G279" t="s">
        <v>3291</v>
      </c>
      <c r="H279">
        <v>2015</v>
      </c>
      <c r="I279">
        <v>135</v>
      </c>
      <c r="N279">
        <v>31</v>
      </c>
      <c r="O279">
        <v>48</v>
      </c>
      <c r="Q279" t="s">
        <v>4754</v>
      </c>
      <c r="T279">
        <v>2</v>
      </c>
      <c r="U279">
        <v>0.4</v>
      </c>
      <c r="V279">
        <v>0</v>
      </c>
      <c r="W279">
        <v>0</v>
      </c>
      <c r="X279">
        <v>0</v>
      </c>
      <c r="Y279">
        <v>0</v>
      </c>
      <c r="Z279">
        <v>0</v>
      </c>
      <c r="AA279">
        <v>0</v>
      </c>
      <c r="AB279">
        <v>0</v>
      </c>
      <c r="AC279">
        <v>0</v>
      </c>
      <c r="AD279">
        <v>0</v>
      </c>
      <c r="AE279">
        <v>0</v>
      </c>
      <c r="AF279">
        <v>0</v>
      </c>
      <c r="AG279">
        <v>0</v>
      </c>
      <c r="AH279">
        <v>0</v>
      </c>
      <c r="AI279">
        <v>0</v>
      </c>
      <c r="AJ279">
        <v>0</v>
      </c>
      <c r="AK279">
        <v>0</v>
      </c>
      <c r="AL279">
        <v>2</v>
      </c>
      <c r="AM279">
        <v>0</v>
      </c>
      <c r="AN279">
        <v>0</v>
      </c>
    </row>
    <row r="280" spans="1:40" x14ac:dyDescent="0.25">
      <c r="A280" t="s">
        <v>4755</v>
      </c>
      <c r="B280" t="s">
        <v>4756</v>
      </c>
      <c r="F280" t="s">
        <v>306</v>
      </c>
      <c r="G280" t="s">
        <v>4757</v>
      </c>
      <c r="H280">
        <v>2014</v>
      </c>
      <c r="I280">
        <v>139</v>
      </c>
      <c r="M280" t="s">
        <v>1948</v>
      </c>
      <c r="N280">
        <v>15</v>
      </c>
      <c r="O280">
        <v>21</v>
      </c>
      <c r="Q280" t="s">
        <v>4758</v>
      </c>
      <c r="T280">
        <v>2</v>
      </c>
      <c r="U280">
        <v>0.33</v>
      </c>
      <c r="V280">
        <v>0</v>
      </c>
      <c r="W280">
        <v>0</v>
      </c>
      <c r="X280">
        <v>0</v>
      </c>
      <c r="Y280">
        <v>0</v>
      </c>
      <c r="Z280">
        <v>0</v>
      </c>
      <c r="AA280">
        <v>0</v>
      </c>
      <c r="AB280">
        <v>0</v>
      </c>
      <c r="AC280">
        <v>0</v>
      </c>
      <c r="AD280">
        <v>0</v>
      </c>
      <c r="AE280">
        <v>0</v>
      </c>
      <c r="AF280">
        <v>0</v>
      </c>
      <c r="AG280">
        <v>0</v>
      </c>
      <c r="AH280">
        <v>0</v>
      </c>
      <c r="AI280">
        <v>0</v>
      </c>
      <c r="AJ280">
        <v>0</v>
      </c>
      <c r="AK280">
        <v>2</v>
      </c>
      <c r="AL280">
        <v>0</v>
      </c>
      <c r="AM280">
        <v>0</v>
      </c>
      <c r="AN280">
        <v>0</v>
      </c>
    </row>
    <row r="281" spans="1:40" x14ac:dyDescent="0.25">
      <c r="A281" t="s">
        <v>4759</v>
      </c>
      <c r="B281" t="s">
        <v>4760</v>
      </c>
      <c r="F281" t="s">
        <v>3783</v>
      </c>
      <c r="G281" t="s">
        <v>2932</v>
      </c>
      <c r="H281">
        <v>2014</v>
      </c>
      <c r="I281">
        <v>40</v>
      </c>
      <c r="J281">
        <v>3</v>
      </c>
      <c r="N281">
        <v>389</v>
      </c>
      <c r="O281">
        <v>403</v>
      </c>
      <c r="Q281" t="s">
        <v>4761</v>
      </c>
      <c r="T281">
        <v>2</v>
      </c>
      <c r="U281">
        <v>0.33</v>
      </c>
      <c r="V281">
        <v>0</v>
      </c>
      <c r="W281">
        <v>0</v>
      </c>
      <c r="X281">
        <v>0</v>
      </c>
      <c r="Y281">
        <v>0</v>
      </c>
      <c r="Z281">
        <v>0</v>
      </c>
      <c r="AA281">
        <v>0</v>
      </c>
      <c r="AB281">
        <v>0</v>
      </c>
      <c r="AC281">
        <v>0</v>
      </c>
      <c r="AD281">
        <v>0</v>
      </c>
      <c r="AE281">
        <v>0</v>
      </c>
      <c r="AF281">
        <v>0</v>
      </c>
      <c r="AG281">
        <v>0</v>
      </c>
      <c r="AH281">
        <v>0</v>
      </c>
      <c r="AI281">
        <v>0</v>
      </c>
      <c r="AJ281">
        <v>1</v>
      </c>
      <c r="AK281">
        <v>1</v>
      </c>
      <c r="AL281">
        <v>0</v>
      </c>
      <c r="AM281">
        <v>0</v>
      </c>
      <c r="AN281">
        <v>0</v>
      </c>
    </row>
    <row r="282" spans="1:40" x14ac:dyDescent="0.25">
      <c r="A282" t="s">
        <v>4762</v>
      </c>
      <c r="B282" t="s">
        <v>4763</v>
      </c>
      <c r="F282" t="s">
        <v>343</v>
      </c>
      <c r="G282" t="s">
        <v>2555</v>
      </c>
      <c r="H282">
        <v>2014</v>
      </c>
      <c r="I282">
        <v>17</v>
      </c>
      <c r="J282">
        <v>1</v>
      </c>
      <c r="N282">
        <v>195</v>
      </c>
      <c r="O282">
        <v>209</v>
      </c>
      <c r="Q282" t="s">
        <v>4764</v>
      </c>
      <c r="T282">
        <v>2</v>
      </c>
      <c r="U282">
        <v>0.33</v>
      </c>
      <c r="V282">
        <v>0</v>
      </c>
      <c r="W282">
        <v>0</v>
      </c>
      <c r="X282">
        <v>0</v>
      </c>
      <c r="Y282">
        <v>0</v>
      </c>
      <c r="Z282">
        <v>0</v>
      </c>
      <c r="AA282">
        <v>0</v>
      </c>
      <c r="AB282">
        <v>0</v>
      </c>
      <c r="AC282">
        <v>0</v>
      </c>
      <c r="AD282">
        <v>0</v>
      </c>
      <c r="AE282">
        <v>0</v>
      </c>
      <c r="AF282">
        <v>0</v>
      </c>
      <c r="AG282">
        <v>0</v>
      </c>
      <c r="AH282">
        <v>0</v>
      </c>
      <c r="AI282">
        <v>0</v>
      </c>
      <c r="AJ282">
        <v>1</v>
      </c>
      <c r="AK282">
        <v>0</v>
      </c>
      <c r="AL282">
        <v>1</v>
      </c>
      <c r="AM282">
        <v>0</v>
      </c>
      <c r="AN282">
        <v>0</v>
      </c>
    </row>
    <row r="283" spans="1:40" x14ac:dyDescent="0.25">
      <c r="A283" t="s">
        <v>1554</v>
      </c>
      <c r="B283" t="s">
        <v>1556</v>
      </c>
      <c r="F283" t="s">
        <v>318</v>
      </c>
      <c r="G283" t="s">
        <v>2720</v>
      </c>
      <c r="H283">
        <v>2013</v>
      </c>
      <c r="I283">
        <v>22</v>
      </c>
      <c r="J283">
        <v>6</v>
      </c>
      <c r="M283" t="s">
        <v>1948</v>
      </c>
      <c r="P283">
        <v>1350030</v>
      </c>
      <c r="Q283" t="s">
        <v>4765</v>
      </c>
      <c r="T283">
        <v>2</v>
      </c>
      <c r="U283">
        <v>0.28999999999999998</v>
      </c>
      <c r="V283">
        <v>0</v>
      </c>
      <c r="W283">
        <v>0</v>
      </c>
      <c r="X283">
        <v>0</v>
      </c>
      <c r="Y283">
        <v>0</v>
      </c>
      <c r="Z283">
        <v>0</v>
      </c>
      <c r="AA283">
        <v>0</v>
      </c>
      <c r="AB283">
        <v>0</v>
      </c>
      <c r="AC283">
        <v>0</v>
      </c>
      <c r="AD283">
        <v>0</v>
      </c>
      <c r="AE283">
        <v>0</v>
      </c>
      <c r="AF283">
        <v>0</v>
      </c>
      <c r="AG283">
        <v>0</v>
      </c>
      <c r="AH283">
        <v>0</v>
      </c>
      <c r="AI283">
        <v>0</v>
      </c>
      <c r="AJ283">
        <v>1</v>
      </c>
      <c r="AK283">
        <v>1</v>
      </c>
      <c r="AL283">
        <v>0</v>
      </c>
      <c r="AM283">
        <v>0</v>
      </c>
      <c r="AN283">
        <v>0</v>
      </c>
    </row>
    <row r="284" spans="1:40" x14ac:dyDescent="0.25">
      <c r="A284" t="s">
        <v>4766</v>
      </c>
      <c r="B284" t="s">
        <v>4767</v>
      </c>
      <c r="F284" t="s">
        <v>305</v>
      </c>
      <c r="G284" t="s">
        <v>3618</v>
      </c>
      <c r="H284">
        <v>2013</v>
      </c>
      <c r="I284">
        <v>34</v>
      </c>
      <c r="J284">
        <v>15</v>
      </c>
      <c r="M284" t="s">
        <v>1948</v>
      </c>
      <c r="N284">
        <v>1971</v>
      </c>
      <c r="O284">
        <v>1979</v>
      </c>
      <c r="Q284" t="s">
        <v>4768</v>
      </c>
      <c r="T284">
        <v>2</v>
      </c>
      <c r="U284">
        <v>0.28999999999999998</v>
      </c>
      <c r="V284">
        <v>0</v>
      </c>
      <c r="W284">
        <v>0</v>
      </c>
      <c r="X284">
        <v>0</v>
      </c>
      <c r="Y284">
        <v>0</v>
      </c>
      <c r="Z284">
        <v>0</v>
      </c>
      <c r="AA284">
        <v>0</v>
      </c>
      <c r="AB284">
        <v>0</v>
      </c>
      <c r="AC284">
        <v>0</v>
      </c>
      <c r="AD284">
        <v>0</v>
      </c>
      <c r="AE284">
        <v>0</v>
      </c>
      <c r="AF284">
        <v>0</v>
      </c>
      <c r="AG284">
        <v>0</v>
      </c>
      <c r="AH284">
        <v>0</v>
      </c>
      <c r="AI284">
        <v>0</v>
      </c>
      <c r="AJ284">
        <v>2</v>
      </c>
      <c r="AK284">
        <v>0</v>
      </c>
      <c r="AL284">
        <v>0</v>
      </c>
      <c r="AM284">
        <v>0</v>
      </c>
      <c r="AN284">
        <v>0</v>
      </c>
    </row>
    <row r="285" spans="1:40" x14ac:dyDescent="0.25">
      <c r="A285" t="s">
        <v>1599</v>
      </c>
      <c r="B285" t="s">
        <v>1601</v>
      </c>
      <c r="F285" t="s">
        <v>315</v>
      </c>
      <c r="G285" t="s">
        <v>2964</v>
      </c>
      <c r="H285">
        <v>2013</v>
      </c>
      <c r="I285">
        <v>24</v>
      </c>
      <c r="J285">
        <v>3</v>
      </c>
      <c r="N285">
        <v>579</v>
      </c>
      <c r="O285">
        <v>605</v>
      </c>
      <c r="Q285" t="s">
        <v>4769</v>
      </c>
      <c r="T285">
        <v>2</v>
      </c>
      <c r="U285">
        <v>0.28999999999999998</v>
      </c>
      <c r="V285">
        <v>0</v>
      </c>
      <c r="W285">
        <v>0</v>
      </c>
      <c r="X285">
        <v>0</v>
      </c>
      <c r="Y285">
        <v>0</v>
      </c>
      <c r="Z285">
        <v>0</v>
      </c>
      <c r="AA285">
        <v>0</v>
      </c>
      <c r="AB285">
        <v>0</v>
      </c>
      <c r="AC285">
        <v>0</v>
      </c>
      <c r="AD285">
        <v>0</v>
      </c>
      <c r="AE285">
        <v>0</v>
      </c>
      <c r="AF285">
        <v>0</v>
      </c>
      <c r="AG285">
        <v>0</v>
      </c>
      <c r="AH285">
        <v>0</v>
      </c>
      <c r="AI285">
        <v>0</v>
      </c>
      <c r="AJ285">
        <v>1</v>
      </c>
      <c r="AK285">
        <v>0</v>
      </c>
      <c r="AL285">
        <v>1</v>
      </c>
      <c r="AM285">
        <v>0</v>
      </c>
      <c r="AN285">
        <v>0</v>
      </c>
    </row>
    <row r="286" spans="1:40" x14ac:dyDescent="0.25">
      <c r="A286" t="s">
        <v>4770</v>
      </c>
      <c r="B286" t="s">
        <v>4771</v>
      </c>
      <c r="F286" t="s">
        <v>305</v>
      </c>
      <c r="G286" t="s">
        <v>4772</v>
      </c>
      <c r="H286">
        <v>2011</v>
      </c>
      <c r="I286">
        <v>32</v>
      </c>
      <c r="J286">
        <v>15</v>
      </c>
      <c r="N286">
        <v>2086</v>
      </c>
      <c r="O286">
        <v>2096</v>
      </c>
      <c r="Q286" t="s">
        <v>4773</v>
      </c>
      <c r="T286">
        <v>2</v>
      </c>
      <c r="U286">
        <v>0.22</v>
      </c>
      <c r="V286">
        <v>0</v>
      </c>
      <c r="W286">
        <v>0</v>
      </c>
      <c r="X286">
        <v>0</v>
      </c>
      <c r="Y286">
        <v>0</v>
      </c>
      <c r="Z286">
        <v>0</v>
      </c>
      <c r="AA286">
        <v>0</v>
      </c>
      <c r="AB286">
        <v>0</v>
      </c>
      <c r="AC286">
        <v>0</v>
      </c>
      <c r="AD286">
        <v>0</v>
      </c>
      <c r="AE286">
        <v>0</v>
      </c>
      <c r="AF286">
        <v>0</v>
      </c>
      <c r="AG286">
        <v>0</v>
      </c>
      <c r="AH286">
        <v>0</v>
      </c>
      <c r="AI286">
        <v>1</v>
      </c>
      <c r="AJ286">
        <v>0</v>
      </c>
      <c r="AK286">
        <v>1</v>
      </c>
      <c r="AL286">
        <v>0</v>
      </c>
      <c r="AM286">
        <v>0</v>
      </c>
      <c r="AN286">
        <v>0</v>
      </c>
    </row>
    <row r="287" spans="1:40" x14ac:dyDescent="0.25">
      <c r="A287" t="s">
        <v>4774</v>
      </c>
      <c r="B287" t="s">
        <v>4775</v>
      </c>
      <c r="F287" t="s">
        <v>300</v>
      </c>
      <c r="G287" t="s">
        <v>2568</v>
      </c>
      <c r="H287">
        <v>2011</v>
      </c>
      <c r="I287">
        <v>33</v>
      </c>
      <c r="J287">
        <v>7</v>
      </c>
      <c r="N287">
        <v>1324</v>
      </c>
      <c r="O287">
        <v>1338</v>
      </c>
      <c r="Q287" t="s">
        <v>4776</v>
      </c>
      <c r="T287">
        <v>2</v>
      </c>
      <c r="U287">
        <v>0.22</v>
      </c>
      <c r="V287">
        <v>0</v>
      </c>
      <c r="W287">
        <v>0</v>
      </c>
      <c r="X287">
        <v>0</v>
      </c>
      <c r="Y287">
        <v>0</v>
      </c>
      <c r="Z287">
        <v>0</v>
      </c>
      <c r="AA287">
        <v>0</v>
      </c>
      <c r="AB287">
        <v>0</v>
      </c>
      <c r="AC287">
        <v>0</v>
      </c>
      <c r="AD287">
        <v>0</v>
      </c>
      <c r="AE287">
        <v>0</v>
      </c>
      <c r="AF287">
        <v>0</v>
      </c>
      <c r="AG287">
        <v>0</v>
      </c>
      <c r="AH287">
        <v>1</v>
      </c>
      <c r="AI287">
        <v>0</v>
      </c>
      <c r="AJ287">
        <v>0</v>
      </c>
      <c r="AK287">
        <v>1</v>
      </c>
      <c r="AL287">
        <v>0</v>
      </c>
      <c r="AM287">
        <v>0</v>
      </c>
      <c r="AN287">
        <v>0</v>
      </c>
    </row>
    <row r="288" spans="1:40" x14ac:dyDescent="0.25">
      <c r="A288" t="s">
        <v>4777</v>
      </c>
      <c r="B288" t="s">
        <v>4778</v>
      </c>
      <c r="F288" t="s">
        <v>4179</v>
      </c>
      <c r="G288">
        <v>2011</v>
      </c>
      <c r="H288">
        <v>2011</v>
      </c>
      <c r="I288">
        <v>11</v>
      </c>
      <c r="J288">
        <v>4</v>
      </c>
      <c r="N288">
        <v>111</v>
      </c>
      <c r="O288">
        <v>116</v>
      </c>
      <c r="Q288" t="s">
        <v>4779</v>
      </c>
      <c r="T288">
        <v>2</v>
      </c>
      <c r="U288">
        <v>0.22</v>
      </c>
      <c r="V288">
        <v>0</v>
      </c>
      <c r="W288">
        <v>0</v>
      </c>
      <c r="X288">
        <v>0</v>
      </c>
      <c r="Y288">
        <v>0</v>
      </c>
      <c r="Z288">
        <v>0</v>
      </c>
      <c r="AA288">
        <v>0</v>
      </c>
      <c r="AB288">
        <v>0</v>
      </c>
      <c r="AC288">
        <v>0</v>
      </c>
      <c r="AD288">
        <v>0</v>
      </c>
      <c r="AE288">
        <v>0</v>
      </c>
      <c r="AF288">
        <v>0</v>
      </c>
      <c r="AG288">
        <v>1</v>
      </c>
      <c r="AH288">
        <v>1</v>
      </c>
      <c r="AI288">
        <v>0</v>
      </c>
      <c r="AJ288">
        <v>0</v>
      </c>
      <c r="AK288">
        <v>0</v>
      </c>
      <c r="AL288">
        <v>0</v>
      </c>
      <c r="AM288">
        <v>0</v>
      </c>
      <c r="AN288">
        <v>0</v>
      </c>
    </row>
    <row r="289" spans="1:40" x14ac:dyDescent="0.25">
      <c r="A289" t="s">
        <v>4780</v>
      </c>
      <c r="B289" t="s">
        <v>4781</v>
      </c>
      <c r="F289" t="s">
        <v>317</v>
      </c>
      <c r="G289" t="s">
        <v>2430</v>
      </c>
      <c r="H289">
        <v>2010</v>
      </c>
      <c r="I289">
        <v>19</v>
      </c>
      <c r="J289">
        <v>2</v>
      </c>
      <c r="M289" t="s">
        <v>1948</v>
      </c>
      <c r="N289">
        <v>237</v>
      </c>
      <c r="O289">
        <v>254</v>
      </c>
      <c r="Q289" t="s">
        <v>4782</v>
      </c>
      <c r="R289" t="s">
        <v>4783</v>
      </c>
      <c r="S289" t="s">
        <v>4784</v>
      </c>
      <c r="T289">
        <v>2</v>
      </c>
      <c r="U289">
        <v>0.2</v>
      </c>
      <c r="V289">
        <v>0</v>
      </c>
      <c r="W289">
        <v>0</v>
      </c>
      <c r="X289">
        <v>0</v>
      </c>
      <c r="Y289">
        <v>0</v>
      </c>
      <c r="Z289">
        <v>0</v>
      </c>
      <c r="AA289">
        <v>0</v>
      </c>
      <c r="AB289">
        <v>0</v>
      </c>
      <c r="AC289">
        <v>0</v>
      </c>
      <c r="AD289">
        <v>0</v>
      </c>
      <c r="AE289">
        <v>0</v>
      </c>
      <c r="AF289">
        <v>1</v>
      </c>
      <c r="AG289">
        <v>1</v>
      </c>
      <c r="AH289">
        <v>0</v>
      </c>
      <c r="AI289">
        <v>0</v>
      </c>
      <c r="AJ289">
        <v>0</v>
      </c>
      <c r="AK289">
        <v>0</v>
      </c>
      <c r="AL289">
        <v>0</v>
      </c>
      <c r="AM289">
        <v>0</v>
      </c>
      <c r="AN289">
        <v>0</v>
      </c>
    </row>
    <row r="290" spans="1:40" x14ac:dyDescent="0.25">
      <c r="A290" t="s">
        <v>4785</v>
      </c>
      <c r="B290" t="s">
        <v>4786</v>
      </c>
      <c r="F290" t="s">
        <v>313</v>
      </c>
      <c r="G290" t="s">
        <v>3542</v>
      </c>
      <c r="H290">
        <v>2009</v>
      </c>
      <c r="I290">
        <v>36</v>
      </c>
      <c r="J290">
        <v>9</v>
      </c>
      <c r="N290">
        <v>11517</v>
      </c>
      <c r="O290">
        <v>11527</v>
      </c>
      <c r="Q290" t="s">
        <v>4787</v>
      </c>
      <c r="T290">
        <v>2</v>
      </c>
      <c r="U290">
        <v>0.18</v>
      </c>
      <c r="V290">
        <v>0</v>
      </c>
      <c r="W290">
        <v>0</v>
      </c>
      <c r="X290">
        <v>0</v>
      </c>
      <c r="Y290">
        <v>0</v>
      </c>
      <c r="Z290">
        <v>0</v>
      </c>
      <c r="AA290">
        <v>0</v>
      </c>
      <c r="AB290">
        <v>0</v>
      </c>
      <c r="AC290">
        <v>0</v>
      </c>
      <c r="AD290">
        <v>0</v>
      </c>
      <c r="AE290">
        <v>0</v>
      </c>
      <c r="AF290">
        <v>1</v>
      </c>
      <c r="AG290">
        <v>0</v>
      </c>
      <c r="AH290">
        <v>1</v>
      </c>
      <c r="AI290">
        <v>0</v>
      </c>
      <c r="AJ290">
        <v>0</v>
      </c>
      <c r="AK290">
        <v>0</v>
      </c>
      <c r="AL290">
        <v>0</v>
      </c>
      <c r="AM290">
        <v>0</v>
      </c>
      <c r="AN290">
        <v>0</v>
      </c>
    </row>
    <row r="291" spans="1:40" x14ac:dyDescent="0.25">
      <c r="A291" t="s">
        <v>4788</v>
      </c>
      <c r="B291" t="s">
        <v>4789</v>
      </c>
      <c r="F291" t="s">
        <v>339</v>
      </c>
      <c r="G291" t="s">
        <v>3272</v>
      </c>
      <c r="H291">
        <v>2009</v>
      </c>
      <c r="I291">
        <v>34</v>
      </c>
      <c r="J291">
        <v>2</v>
      </c>
      <c r="N291">
        <v>222</v>
      </c>
      <c r="O291">
        <v>233</v>
      </c>
      <c r="Q291" t="s">
        <v>4790</v>
      </c>
      <c r="T291">
        <v>2</v>
      </c>
      <c r="U291">
        <v>0.18</v>
      </c>
      <c r="V291">
        <v>0</v>
      </c>
      <c r="W291">
        <v>0</v>
      </c>
      <c r="X291">
        <v>0</v>
      </c>
      <c r="Y291">
        <v>0</v>
      </c>
      <c r="Z291">
        <v>0</v>
      </c>
      <c r="AA291">
        <v>0</v>
      </c>
      <c r="AB291">
        <v>0</v>
      </c>
      <c r="AC291">
        <v>0</v>
      </c>
      <c r="AD291">
        <v>0</v>
      </c>
      <c r="AE291">
        <v>0</v>
      </c>
      <c r="AF291">
        <v>0</v>
      </c>
      <c r="AG291">
        <v>0</v>
      </c>
      <c r="AH291">
        <v>0</v>
      </c>
      <c r="AI291">
        <v>2</v>
      </c>
      <c r="AJ291">
        <v>0</v>
      </c>
      <c r="AK291">
        <v>0</v>
      </c>
      <c r="AL291">
        <v>0</v>
      </c>
      <c r="AM291">
        <v>0</v>
      </c>
      <c r="AN291">
        <v>0</v>
      </c>
    </row>
    <row r="292" spans="1:40" x14ac:dyDescent="0.25">
      <c r="A292" t="s">
        <v>1439</v>
      </c>
      <c r="B292" t="s">
        <v>1441</v>
      </c>
      <c r="F292" t="s">
        <v>302</v>
      </c>
      <c r="G292" t="s">
        <v>4791</v>
      </c>
      <c r="H292">
        <v>2009</v>
      </c>
      <c r="I292">
        <v>27</v>
      </c>
      <c r="J292" t="s">
        <v>2439</v>
      </c>
      <c r="N292">
        <v>131</v>
      </c>
      <c r="O292">
        <v>140</v>
      </c>
      <c r="Q292" t="s">
        <v>4792</v>
      </c>
      <c r="R292" t="s">
        <v>4793</v>
      </c>
      <c r="S292">
        <v>2006</v>
      </c>
      <c r="T292">
        <v>2</v>
      </c>
      <c r="U292">
        <v>0.18</v>
      </c>
      <c r="V292">
        <v>0</v>
      </c>
      <c r="W292">
        <v>0</v>
      </c>
      <c r="X292">
        <v>0</v>
      </c>
      <c r="Y292">
        <v>0</v>
      </c>
      <c r="Z292">
        <v>0</v>
      </c>
      <c r="AA292">
        <v>0</v>
      </c>
      <c r="AB292">
        <v>0</v>
      </c>
      <c r="AC292">
        <v>0</v>
      </c>
      <c r="AD292">
        <v>0</v>
      </c>
      <c r="AE292">
        <v>0</v>
      </c>
      <c r="AF292">
        <v>1</v>
      </c>
      <c r="AG292">
        <v>0</v>
      </c>
      <c r="AH292">
        <v>0</v>
      </c>
      <c r="AI292">
        <v>0</v>
      </c>
      <c r="AJ292">
        <v>0</v>
      </c>
      <c r="AK292">
        <v>0</v>
      </c>
      <c r="AL292">
        <v>0</v>
      </c>
      <c r="AM292">
        <v>1</v>
      </c>
      <c r="AN292">
        <v>0</v>
      </c>
    </row>
    <row r="293" spans="1:40" x14ac:dyDescent="0.25">
      <c r="A293" t="s">
        <v>4794</v>
      </c>
      <c r="B293" t="s">
        <v>4795</v>
      </c>
      <c r="F293" t="s">
        <v>298</v>
      </c>
      <c r="G293" t="s">
        <v>2688</v>
      </c>
      <c r="H293">
        <v>2008</v>
      </c>
      <c r="I293">
        <v>112</v>
      </c>
      <c r="J293">
        <v>1</v>
      </c>
      <c r="N293">
        <v>55</v>
      </c>
      <c r="O293">
        <v>66</v>
      </c>
      <c r="Q293" t="s">
        <v>4796</v>
      </c>
      <c r="T293">
        <v>2</v>
      </c>
      <c r="U293">
        <v>0.17</v>
      </c>
      <c r="V293">
        <v>0</v>
      </c>
      <c r="W293">
        <v>0</v>
      </c>
      <c r="X293">
        <v>0</v>
      </c>
      <c r="Y293">
        <v>0</v>
      </c>
      <c r="Z293">
        <v>0</v>
      </c>
      <c r="AA293">
        <v>0</v>
      </c>
      <c r="AB293">
        <v>0</v>
      </c>
      <c r="AC293">
        <v>0</v>
      </c>
      <c r="AD293">
        <v>2</v>
      </c>
      <c r="AE293">
        <v>0</v>
      </c>
      <c r="AF293">
        <v>0</v>
      </c>
      <c r="AG293">
        <v>0</v>
      </c>
      <c r="AH293">
        <v>0</v>
      </c>
      <c r="AI293">
        <v>0</v>
      </c>
      <c r="AJ293">
        <v>0</v>
      </c>
      <c r="AK293">
        <v>0</v>
      </c>
      <c r="AL293">
        <v>0</v>
      </c>
      <c r="AM293">
        <v>0</v>
      </c>
      <c r="AN293">
        <v>0</v>
      </c>
    </row>
    <row r="294" spans="1:40" x14ac:dyDescent="0.25">
      <c r="A294" t="s">
        <v>4797</v>
      </c>
      <c r="B294" t="s">
        <v>4798</v>
      </c>
      <c r="E294" t="s">
        <v>4799</v>
      </c>
      <c r="F294" t="s">
        <v>4800</v>
      </c>
      <c r="G294">
        <v>2006</v>
      </c>
      <c r="H294">
        <v>2006</v>
      </c>
      <c r="I294">
        <v>4020</v>
      </c>
      <c r="N294">
        <v>480</v>
      </c>
      <c r="O294">
        <v>487</v>
      </c>
      <c r="R294" t="s">
        <v>4801</v>
      </c>
      <c r="S294" t="s">
        <v>4802</v>
      </c>
      <c r="T294">
        <v>2</v>
      </c>
      <c r="U294">
        <v>0.14000000000000001</v>
      </c>
      <c r="V294">
        <v>0</v>
      </c>
      <c r="W294">
        <v>0</v>
      </c>
      <c r="X294">
        <v>0</v>
      </c>
      <c r="Y294">
        <v>0</v>
      </c>
      <c r="Z294">
        <v>0</v>
      </c>
      <c r="AA294">
        <v>0</v>
      </c>
      <c r="AB294">
        <v>0</v>
      </c>
      <c r="AC294">
        <v>0</v>
      </c>
      <c r="AD294">
        <v>0</v>
      </c>
      <c r="AE294">
        <v>0</v>
      </c>
      <c r="AF294">
        <v>0</v>
      </c>
      <c r="AG294">
        <v>0</v>
      </c>
      <c r="AH294">
        <v>1</v>
      </c>
      <c r="AI294">
        <v>0</v>
      </c>
      <c r="AJ294">
        <v>0</v>
      </c>
      <c r="AK294">
        <v>1</v>
      </c>
      <c r="AL294">
        <v>0</v>
      </c>
      <c r="AM294">
        <v>0</v>
      </c>
      <c r="AN294">
        <v>0</v>
      </c>
    </row>
    <row r="295" spans="1:40" x14ac:dyDescent="0.25">
      <c r="A295" t="s">
        <v>4803</v>
      </c>
      <c r="B295" t="s">
        <v>3851</v>
      </c>
      <c r="E295" t="s">
        <v>4804</v>
      </c>
      <c r="F295" t="s">
        <v>4805</v>
      </c>
      <c r="G295">
        <v>2005</v>
      </c>
      <c r="H295">
        <v>2005</v>
      </c>
      <c r="I295">
        <v>3691</v>
      </c>
      <c r="N295">
        <v>347</v>
      </c>
      <c r="O295">
        <v>354</v>
      </c>
      <c r="R295" t="s">
        <v>4806</v>
      </c>
      <c r="S295" t="s">
        <v>4807</v>
      </c>
      <c r="T295">
        <v>2</v>
      </c>
      <c r="U295">
        <v>0.13</v>
      </c>
      <c r="V295">
        <v>0</v>
      </c>
      <c r="W295">
        <v>0</v>
      </c>
      <c r="X295">
        <v>0</v>
      </c>
      <c r="Y295">
        <v>0</v>
      </c>
      <c r="Z295">
        <v>0</v>
      </c>
      <c r="AA295">
        <v>0</v>
      </c>
      <c r="AB295">
        <v>0</v>
      </c>
      <c r="AC295">
        <v>0</v>
      </c>
      <c r="AD295">
        <v>0</v>
      </c>
      <c r="AE295">
        <v>0</v>
      </c>
      <c r="AF295">
        <v>1</v>
      </c>
      <c r="AG295">
        <v>0</v>
      </c>
      <c r="AH295">
        <v>0</v>
      </c>
      <c r="AI295">
        <v>0</v>
      </c>
      <c r="AJ295">
        <v>0</v>
      </c>
      <c r="AK295">
        <v>1</v>
      </c>
      <c r="AL295">
        <v>0</v>
      </c>
      <c r="AM295">
        <v>0</v>
      </c>
      <c r="AN295">
        <v>0</v>
      </c>
    </row>
    <row r="296" spans="1:40" x14ac:dyDescent="0.25">
      <c r="A296" t="s">
        <v>4808</v>
      </c>
      <c r="B296" t="s">
        <v>4809</v>
      </c>
      <c r="E296" t="s">
        <v>4810</v>
      </c>
      <c r="F296" t="s">
        <v>4811</v>
      </c>
      <c r="G296">
        <v>2005</v>
      </c>
      <c r="H296">
        <v>2005</v>
      </c>
      <c r="I296">
        <v>3635</v>
      </c>
      <c r="N296">
        <v>242</v>
      </c>
      <c r="O296">
        <v>255</v>
      </c>
      <c r="R296" t="s">
        <v>4812</v>
      </c>
      <c r="S296" t="s">
        <v>4813</v>
      </c>
      <c r="T296">
        <v>2</v>
      </c>
      <c r="U296">
        <v>0.13</v>
      </c>
      <c r="V296">
        <v>0</v>
      </c>
      <c r="W296">
        <v>0</v>
      </c>
      <c r="X296">
        <v>0</v>
      </c>
      <c r="Y296">
        <v>0</v>
      </c>
      <c r="Z296">
        <v>0</v>
      </c>
      <c r="AA296">
        <v>0</v>
      </c>
      <c r="AB296">
        <v>0</v>
      </c>
      <c r="AC296">
        <v>0</v>
      </c>
      <c r="AD296">
        <v>1</v>
      </c>
      <c r="AE296">
        <v>0</v>
      </c>
      <c r="AF296">
        <v>0</v>
      </c>
      <c r="AG296">
        <v>1</v>
      </c>
      <c r="AH296">
        <v>0</v>
      </c>
      <c r="AI296">
        <v>0</v>
      </c>
      <c r="AJ296">
        <v>0</v>
      </c>
      <c r="AK296">
        <v>0</v>
      </c>
      <c r="AL296">
        <v>0</v>
      </c>
      <c r="AM296">
        <v>0</v>
      </c>
      <c r="AN296">
        <v>0</v>
      </c>
    </row>
    <row r="297" spans="1:40" x14ac:dyDescent="0.25">
      <c r="A297" t="s">
        <v>1743</v>
      </c>
      <c r="B297" t="s">
        <v>1745</v>
      </c>
      <c r="E297" t="s">
        <v>4814</v>
      </c>
      <c r="F297" t="s">
        <v>345</v>
      </c>
      <c r="G297">
        <v>2005</v>
      </c>
      <c r="H297">
        <v>2005</v>
      </c>
      <c r="I297">
        <v>3808</v>
      </c>
      <c r="N297">
        <v>87</v>
      </c>
      <c r="O297">
        <v>98</v>
      </c>
      <c r="R297" t="s">
        <v>4815</v>
      </c>
      <c r="S297" t="s">
        <v>4816</v>
      </c>
      <c r="T297">
        <v>2</v>
      </c>
      <c r="U297">
        <v>0.13</v>
      </c>
      <c r="V297">
        <v>0</v>
      </c>
      <c r="W297">
        <v>0</v>
      </c>
      <c r="X297">
        <v>0</v>
      </c>
      <c r="Y297">
        <v>0</v>
      </c>
      <c r="Z297">
        <v>0</v>
      </c>
      <c r="AA297">
        <v>0</v>
      </c>
      <c r="AB297">
        <v>0</v>
      </c>
      <c r="AC297">
        <v>1</v>
      </c>
      <c r="AD297">
        <v>0</v>
      </c>
      <c r="AE297">
        <v>1</v>
      </c>
      <c r="AF297">
        <v>0</v>
      </c>
      <c r="AG297">
        <v>0</v>
      </c>
      <c r="AH297">
        <v>0</v>
      </c>
      <c r="AI297">
        <v>0</v>
      </c>
      <c r="AJ297">
        <v>0</v>
      </c>
      <c r="AK297">
        <v>0</v>
      </c>
      <c r="AL297">
        <v>0</v>
      </c>
      <c r="AM297">
        <v>0</v>
      </c>
      <c r="AN297">
        <v>0</v>
      </c>
    </row>
    <row r="298" spans="1:40" x14ac:dyDescent="0.25">
      <c r="A298" t="s">
        <v>4817</v>
      </c>
      <c r="B298" t="s">
        <v>4818</v>
      </c>
      <c r="F298" t="s">
        <v>308</v>
      </c>
      <c r="G298" t="s">
        <v>4819</v>
      </c>
      <c r="H298">
        <v>2003</v>
      </c>
      <c r="I298">
        <v>36</v>
      </c>
      <c r="J298">
        <v>5</v>
      </c>
      <c r="N298">
        <v>1107</v>
      </c>
      <c r="O298">
        <v>1118</v>
      </c>
      <c r="P298" t="s">
        <v>4820</v>
      </c>
      <c r="Q298" t="s">
        <v>4821</v>
      </c>
      <c r="T298">
        <v>2</v>
      </c>
      <c r="U298">
        <v>0.12</v>
      </c>
      <c r="V298">
        <v>0</v>
      </c>
      <c r="W298">
        <v>0</v>
      </c>
      <c r="X298">
        <v>0</v>
      </c>
      <c r="Y298">
        <v>1</v>
      </c>
      <c r="Z298">
        <v>0</v>
      </c>
      <c r="AA298">
        <v>0</v>
      </c>
      <c r="AB298">
        <v>0</v>
      </c>
      <c r="AC298">
        <v>0</v>
      </c>
      <c r="AD298">
        <v>0</v>
      </c>
      <c r="AE298">
        <v>0</v>
      </c>
      <c r="AF298">
        <v>1</v>
      </c>
      <c r="AG298">
        <v>0</v>
      </c>
      <c r="AH298">
        <v>0</v>
      </c>
      <c r="AI298">
        <v>0</v>
      </c>
      <c r="AJ298">
        <v>0</v>
      </c>
      <c r="AK298">
        <v>0</v>
      </c>
      <c r="AL298">
        <v>0</v>
      </c>
      <c r="AM298">
        <v>0</v>
      </c>
      <c r="AN298">
        <v>0</v>
      </c>
    </row>
    <row r="299" spans="1:40" x14ac:dyDescent="0.25">
      <c r="A299" t="s">
        <v>4822</v>
      </c>
      <c r="B299" t="s">
        <v>4823</v>
      </c>
      <c r="E299" t="s">
        <v>4824</v>
      </c>
      <c r="F299" t="s">
        <v>4825</v>
      </c>
      <c r="G299">
        <v>2002</v>
      </c>
      <c r="H299">
        <v>2002</v>
      </c>
      <c r="I299">
        <v>2479</v>
      </c>
      <c r="N299">
        <v>253</v>
      </c>
      <c r="O299">
        <v>267</v>
      </c>
      <c r="R299" t="s">
        <v>4826</v>
      </c>
      <c r="S299" t="s">
        <v>4827</v>
      </c>
      <c r="T299">
        <v>2</v>
      </c>
      <c r="U299">
        <v>0.11</v>
      </c>
      <c r="V299">
        <v>0</v>
      </c>
      <c r="W299">
        <v>0</v>
      </c>
      <c r="X299">
        <v>2</v>
      </c>
      <c r="Y299">
        <v>0</v>
      </c>
      <c r="Z299">
        <v>0</v>
      </c>
      <c r="AA299">
        <v>0</v>
      </c>
      <c r="AB299">
        <v>0</v>
      </c>
      <c r="AC299">
        <v>0</v>
      </c>
      <c r="AD299">
        <v>0</v>
      </c>
      <c r="AE299">
        <v>0</v>
      </c>
      <c r="AF299">
        <v>0</v>
      </c>
      <c r="AG299">
        <v>0</v>
      </c>
      <c r="AH299">
        <v>0</v>
      </c>
      <c r="AI299">
        <v>0</v>
      </c>
      <c r="AJ299">
        <v>0</v>
      </c>
      <c r="AK299">
        <v>0</v>
      </c>
      <c r="AL299">
        <v>0</v>
      </c>
      <c r="AM299">
        <v>0</v>
      </c>
      <c r="AN299">
        <v>0</v>
      </c>
    </row>
    <row r="300" spans="1:40" x14ac:dyDescent="0.25">
      <c r="A300" t="s">
        <v>4828</v>
      </c>
      <c r="B300" t="s">
        <v>4829</v>
      </c>
      <c r="F300" t="s">
        <v>4830</v>
      </c>
      <c r="G300" t="s">
        <v>2574</v>
      </c>
      <c r="H300">
        <v>2001</v>
      </c>
      <c r="I300">
        <v>127</v>
      </c>
      <c r="J300">
        <v>1</v>
      </c>
      <c r="N300">
        <v>31</v>
      </c>
      <c r="O300">
        <v>55</v>
      </c>
      <c r="Q300" t="s">
        <v>4831</v>
      </c>
      <c r="T300">
        <v>2</v>
      </c>
      <c r="U300">
        <v>0.11</v>
      </c>
      <c r="V300">
        <v>0</v>
      </c>
      <c r="W300">
        <v>0</v>
      </c>
      <c r="X300">
        <v>0</v>
      </c>
      <c r="Y300">
        <v>0</v>
      </c>
      <c r="Z300">
        <v>1</v>
      </c>
      <c r="AA300">
        <v>1</v>
      </c>
      <c r="AB300">
        <v>0</v>
      </c>
      <c r="AC300">
        <v>0</v>
      </c>
      <c r="AD300">
        <v>0</v>
      </c>
      <c r="AE300">
        <v>0</v>
      </c>
      <c r="AF300">
        <v>0</v>
      </c>
      <c r="AG300">
        <v>0</v>
      </c>
      <c r="AH300">
        <v>0</v>
      </c>
      <c r="AI300">
        <v>0</v>
      </c>
      <c r="AJ300">
        <v>0</v>
      </c>
      <c r="AK300">
        <v>0</v>
      </c>
      <c r="AL300">
        <v>0</v>
      </c>
      <c r="AM300">
        <v>0</v>
      </c>
      <c r="AN300">
        <v>0</v>
      </c>
    </row>
    <row r="301" spans="1:40" x14ac:dyDescent="0.25">
      <c r="A301" t="s">
        <v>1635</v>
      </c>
      <c r="B301" t="s">
        <v>1637</v>
      </c>
      <c r="F301" t="s">
        <v>306</v>
      </c>
      <c r="G301" t="s">
        <v>4832</v>
      </c>
      <c r="H301">
        <v>2018</v>
      </c>
      <c r="I301">
        <v>300</v>
      </c>
      <c r="N301">
        <v>17</v>
      </c>
      <c r="O301">
        <v>33</v>
      </c>
      <c r="Q301" t="s">
        <v>4833</v>
      </c>
      <c r="T301">
        <v>3</v>
      </c>
      <c r="U301">
        <v>1.5</v>
      </c>
      <c r="V301">
        <v>0</v>
      </c>
      <c r="W301">
        <v>0</v>
      </c>
      <c r="X301">
        <v>0</v>
      </c>
      <c r="Y301">
        <v>0</v>
      </c>
      <c r="Z301">
        <v>0</v>
      </c>
      <c r="AA301">
        <v>0</v>
      </c>
      <c r="AB301">
        <v>0</v>
      </c>
      <c r="AC301">
        <v>0</v>
      </c>
      <c r="AD301">
        <v>0</v>
      </c>
      <c r="AE301">
        <v>0</v>
      </c>
      <c r="AF301">
        <v>0</v>
      </c>
      <c r="AG301">
        <v>0</v>
      </c>
      <c r="AH301">
        <v>0</v>
      </c>
      <c r="AI301">
        <v>0</v>
      </c>
      <c r="AJ301">
        <v>0</v>
      </c>
      <c r="AK301">
        <v>0</v>
      </c>
      <c r="AL301">
        <v>0</v>
      </c>
      <c r="AM301">
        <v>3</v>
      </c>
      <c r="AN301">
        <v>0</v>
      </c>
    </row>
    <row r="302" spans="1:40" x14ac:dyDescent="0.25">
      <c r="A302" t="s">
        <v>4834</v>
      </c>
      <c r="B302" t="s">
        <v>4835</v>
      </c>
      <c r="F302" t="s">
        <v>300</v>
      </c>
      <c r="G302" t="s">
        <v>4112</v>
      </c>
      <c r="H302">
        <v>2018</v>
      </c>
      <c r="I302">
        <v>40</v>
      </c>
      <c r="J302">
        <v>6</v>
      </c>
      <c r="N302">
        <v>1437</v>
      </c>
      <c r="O302">
        <v>1451</v>
      </c>
      <c r="Q302" t="s">
        <v>4836</v>
      </c>
      <c r="T302">
        <v>3</v>
      </c>
      <c r="U302">
        <v>1.5</v>
      </c>
      <c r="V302">
        <v>0</v>
      </c>
      <c r="W302">
        <v>0</v>
      </c>
      <c r="X302">
        <v>0</v>
      </c>
      <c r="Y302">
        <v>0</v>
      </c>
      <c r="Z302">
        <v>0</v>
      </c>
      <c r="AA302">
        <v>0</v>
      </c>
      <c r="AB302">
        <v>0</v>
      </c>
      <c r="AC302">
        <v>0</v>
      </c>
      <c r="AD302">
        <v>0</v>
      </c>
      <c r="AE302">
        <v>0</v>
      </c>
      <c r="AF302">
        <v>0</v>
      </c>
      <c r="AG302">
        <v>0</v>
      </c>
      <c r="AH302">
        <v>0</v>
      </c>
      <c r="AI302">
        <v>0</v>
      </c>
      <c r="AJ302">
        <v>0</v>
      </c>
      <c r="AK302">
        <v>0</v>
      </c>
      <c r="AL302">
        <v>0</v>
      </c>
      <c r="AM302">
        <v>2</v>
      </c>
      <c r="AN302">
        <v>1</v>
      </c>
    </row>
    <row r="303" spans="1:40" x14ac:dyDescent="0.25">
      <c r="A303" t="s">
        <v>4837</v>
      </c>
      <c r="B303" t="s">
        <v>4838</v>
      </c>
      <c r="F303" t="s">
        <v>312</v>
      </c>
      <c r="G303" t="s">
        <v>3325</v>
      </c>
      <c r="H303">
        <v>2018</v>
      </c>
      <c r="I303">
        <v>14</v>
      </c>
      <c r="J303">
        <v>2</v>
      </c>
      <c r="N303">
        <v>267</v>
      </c>
      <c r="O303">
        <v>277</v>
      </c>
      <c r="Q303" t="s">
        <v>4839</v>
      </c>
      <c r="T303">
        <v>3</v>
      </c>
      <c r="U303">
        <v>1.5</v>
      </c>
      <c r="V303">
        <v>0</v>
      </c>
      <c r="W303">
        <v>0</v>
      </c>
      <c r="X303">
        <v>0</v>
      </c>
      <c r="Y303">
        <v>0</v>
      </c>
      <c r="Z303">
        <v>0</v>
      </c>
      <c r="AA303">
        <v>0</v>
      </c>
      <c r="AB303">
        <v>0</v>
      </c>
      <c r="AC303">
        <v>0</v>
      </c>
      <c r="AD303">
        <v>0</v>
      </c>
      <c r="AE303">
        <v>0</v>
      </c>
      <c r="AF303">
        <v>0</v>
      </c>
      <c r="AG303">
        <v>0</v>
      </c>
      <c r="AH303">
        <v>0</v>
      </c>
      <c r="AI303">
        <v>0</v>
      </c>
      <c r="AJ303">
        <v>0</v>
      </c>
      <c r="AK303">
        <v>1</v>
      </c>
      <c r="AL303">
        <v>0</v>
      </c>
      <c r="AM303">
        <v>2</v>
      </c>
      <c r="AN303">
        <v>0</v>
      </c>
    </row>
    <row r="304" spans="1:40" x14ac:dyDescent="0.25">
      <c r="A304" t="s">
        <v>4840</v>
      </c>
      <c r="B304" t="s">
        <v>4841</v>
      </c>
      <c r="F304" t="s">
        <v>306</v>
      </c>
      <c r="G304" t="s">
        <v>4171</v>
      </c>
      <c r="H304">
        <v>2018</v>
      </c>
      <c r="I304">
        <v>275</v>
      </c>
      <c r="N304">
        <v>940</v>
      </c>
      <c r="O304">
        <v>947</v>
      </c>
      <c r="Q304" t="s">
        <v>4842</v>
      </c>
      <c r="T304">
        <v>3</v>
      </c>
      <c r="U304">
        <v>1.5</v>
      </c>
      <c r="V304">
        <v>0</v>
      </c>
      <c r="W304">
        <v>0</v>
      </c>
      <c r="X304">
        <v>0</v>
      </c>
      <c r="Y304">
        <v>0</v>
      </c>
      <c r="Z304">
        <v>0</v>
      </c>
      <c r="AA304">
        <v>0</v>
      </c>
      <c r="AB304">
        <v>0</v>
      </c>
      <c r="AC304">
        <v>0</v>
      </c>
      <c r="AD304">
        <v>0</v>
      </c>
      <c r="AE304">
        <v>0</v>
      </c>
      <c r="AF304">
        <v>0</v>
      </c>
      <c r="AG304">
        <v>0</v>
      </c>
      <c r="AH304">
        <v>0</v>
      </c>
      <c r="AI304">
        <v>0</v>
      </c>
      <c r="AJ304">
        <v>0</v>
      </c>
      <c r="AK304">
        <v>0</v>
      </c>
      <c r="AL304">
        <v>0</v>
      </c>
      <c r="AM304">
        <v>2</v>
      </c>
      <c r="AN304">
        <v>1</v>
      </c>
    </row>
    <row r="305" spans="1:40" x14ac:dyDescent="0.25">
      <c r="A305" t="s">
        <v>1620</v>
      </c>
      <c r="B305" t="s">
        <v>1622</v>
      </c>
      <c r="F305" t="s">
        <v>317</v>
      </c>
      <c r="G305" t="s">
        <v>3496</v>
      </c>
      <c r="H305">
        <v>2017</v>
      </c>
      <c r="I305">
        <v>28</v>
      </c>
      <c r="L305">
        <v>1</v>
      </c>
      <c r="N305" t="s">
        <v>4843</v>
      </c>
      <c r="O305" t="s">
        <v>4844</v>
      </c>
      <c r="Q305" t="s">
        <v>4845</v>
      </c>
      <c r="T305">
        <v>3</v>
      </c>
      <c r="U305">
        <v>1</v>
      </c>
      <c r="V305">
        <v>0</v>
      </c>
      <c r="W305">
        <v>0</v>
      </c>
      <c r="X305">
        <v>0</v>
      </c>
      <c r="Y305">
        <v>0</v>
      </c>
      <c r="Z305">
        <v>0</v>
      </c>
      <c r="AA305">
        <v>0</v>
      </c>
      <c r="AB305">
        <v>0</v>
      </c>
      <c r="AC305">
        <v>0</v>
      </c>
      <c r="AD305">
        <v>0</v>
      </c>
      <c r="AE305">
        <v>0</v>
      </c>
      <c r="AF305">
        <v>0</v>
      </c>
      <c r="AG305">
        <v>0</v>
      </c>
      <c r="AH305">
        <v>0</v>
      </c>
      <c r="AI305">
        <v>0</v>
      </c>
      <c r="AJ305">
        <v>0</v>
      </c>
      <c r="AK305">
        <v>0</v>
      </c>
      <c r="AL305">
        <v>0</v>
      </c>
      <c r="AM305">
        <v>3</v>
      </c>
      <c r="AN305">
        <v>0</v>
      </c>
    </row>
    <row r="306" spans="1:40" x14ac:dyDescent="0.25">
      <c r="A306" t="s">
        <v>1623</v>
      </c>
      <c r="B306" t="s">
        <v>1625</v>
      </c>
      <c r="F306" t="s">
        <v>317</v>
      </c>
      <c r="G306" t="s">
        <v>3496</v>
      </c>
      <c r="H306">
        <v>2017</v>
      </c>
      <c r="I306">
        <v>28</v>
      </c>
      <c r="J306">
        <v>12</v>
      </c>
      <c r="N306">
        <v>3827</v>
      </c>
      <c r="O306">
        <v>3835</v>
      </c>
      <c r="Q306" t="s">
        <v>4846</v>
      </c>
      <c r="T306">
        <v>3</v>
      </c>
      <c r="U306">
        <v>1</v>
      </c>
      <c r="V306">
        <v>0</v>
      </c>
      <c r="W306">
        <v>0</v>
      </c>
      <c r="X306">
        <v>0</v>
      </c>
      <c r="Y306">
        <v>0</v>
      </c>
      <c r="Z306">
        <v>0</v>
      </c>
      <c r="AA306">
        <v>0</v>
      </c>
      <c r="AB306">
        <v>0</v>
      </c>
      <c r="AC306">
        <v>0</v>
      </c>
      <c r="AD306">
        <v>0</v>
      </c>
      <c r="AE306">
        <v>0</v>
      </c>
      <c r="AF306">
        <v>0</v>
      </c>
      <c r="AG306">
        <v>0</v>
      </c>
      <c r="AH306">
        <v>0</v>
      </c>
      <c r="AI306">
        <v>0</v>
      </c>
      <c r="AJ306">
        <v>0</v>
      </c>
      <c r="AK306">
        <v>0</v>
      </c>
      <c r="AL306">
        <v>0</v>
      </c>
      <c r="AM306">
        <v>3</v>
      </c>
      <c r="AN306">
        <v>0</v>
      </c>
    </row>
    <row r="307" spans="1:40" x14ac:dyDescent="0.25">
      <c r="A307" t="s">
        <v>1404</v>
      </c>
      <c r="B307" t="s">
        <v>1406</v>
      </c>
      <c r="F307" t="s">
        <v>310</v>
      </c>
      <c r="G307" t="s">
        <v>3883</v>
      </c>
      <c r="H307">
        <v>2017</v>
      </c>
      <c r="I307">
        <v>11</v>
      </c>
      <c r="J307">
        <v>4</v>
      </c>
      <c r="N307">
        <v>265</v>
      </c>
      <c r="O307">
        <v>285</v>
      </c>
      <c r="Q307" t="s">
        <v>4847</v>
      </c>
      <c r="T307">
        <v>3</v>
      </c>
      <c r="U307">
        <v>1</v>
      </c>
      <c r="V307">
        <v>0</v>
      </c>
      <c r="W307">
        <v>0</v>
      </c>
      <c r="X307">
        <v>0</v>
      </c>
      <c r="Y307">
        <v>0</v>
      </c>
      <c r="Z307">
        <v>0</v>
      </c>
      <c r="AA307">
        <v>0</v>
      </c>
      <c r="AB307">
        <v>0</v>
      </c>
      <c r="AC307">
        <v>0</v>
      </c>
      <c r="AD307">
        <v>0</v>
      </c>
      <c r="AE307">
        <v>0</v>
      </c>
      <c r="AF307">
        <v>0</v>
      </c>
      <c r="AG307">
        <v>0</v>
      </c>
      <c r="AH307">
        <v>0</v>
      </c>
      <c r="AI307">
        <v>0</v>
      </c>
      <c r="AJ307">
        <v>0</v>
      </c>
      <c r="AK307">
        <v>0</v>
      </c>
      <c r="AL307">
        <v>1</v>
      </c>
      <c r="AM307">
        <v>2</v>
      </c>
      <c r="AN307">
        <v>0</v>
      </c>
    </row>
    <row r="308" spans="1:40" x14ac:dyDescent="0.25">
      <c r="A308" t="s">
        <v>4848</v>
      </c>
      <c r="B308" t="s">
        <v>4849</v>
      </c>
      <c r="F308" t="s">
        <v>306</v>
      </c>
      <c r="G308" t="s">
        <v>4547</v>
      </c>
      <c r="H308">
        <v>2017</v>
      </c>
      <c r="I308">
        <v>240</v>
      </c>
      <c r="N308">
        <v>84</v>
      </c>
      <c r="O308">
        <v>97</v>
      </c>
      <c r="Q308" t="s">
        <v>4850</v>
      </c>
      <c r="T308">
        <v>3</v>
      </c>
      <c r="U308">
        <v>1</v>
      </c>
      <c r="V308">
        <v>0</v>
      </c>
      <c r="W308">
        <v>0</v>
      </c>
      <c r="X308">
        <v>0</v>
      </c>
      <c r="Y308">
        <v>0</v>
      </c>
      <c r="Z308">
        <v>0</v>
      </c>
      <c r="AA308">
        <v>0</v>
      </c>
      <c r="AB308">
        <v>0</v>
      </c>
      <c r="AC308">
        <v>0</v>
      </c>
      <c r="AD308">
        <v>0</v>
      </c>
      <c r="AE308">
        <v>0</v>
      </c>
      <c r="AF308">
        <v>0</v>
      </c>
      <c r="AG308">
        <v>0</v>
      </c>
      <c r="AH308">
        <v>0</v>
      </c>
      <c r="AI308">
        <v>0</v>
      </c>
      <c r="AJ308">
        <v>0</v>
      </c>
      <c r="AK308">
        <v>0</v>
      </c>
      <c r="AL308">
        <v>1</v>
      </c>
      <c r="AM308">
        <v>2</v>
      </c>
      <c r="AN308">
        <v>0</v>
      </c>
    </row>
    <row r="309" spans="1:40" x14ac:dyDescent="0.25">
      <c r="A309" t="s">
        <v>4851</v>
      </c>
      <c r="B309" t="s">
        <v>4852</v>
      </c>
      <c r="F309" t="s">
        <v>303</v>
      </c>
      <c r="G309" t="s">
        <v>2553</v>
      </c>
      <c r="H309">
        <v>2017</v>
      </c>
      <c r="I309">
        <v>122</v>
      </c>
      <c r="J309">
        <v>3</v>
      </c>
      <c r="M309" t="s">
        <v>1948</v>
      </c>
      <c r="N309">
        <v>542</v>
      </c>
      <c r="O309">
        <v>557</v>
      </c>
      <c r="Q309" t="s">
        <v>4853</v>
      </c>
      <c r="T309">
        <v>3</v>
      </c>
      <c r="U309">
        <v>1</v>
      </c>
      <c r="V309">
        <v>0</v>
      </c>
      <c r="W309">
        <v>0</v>
      </c>
      <c r="X309">
        <v>0</v>
      </c>
      <c r="Y309">
        <v>0</v>
      </c>
      <c r="Z309">
        <v>0</v>
      </c>
      <c r="AA309">
        <v>0</v>
      </c>
      <c r="AB309">
        <v>0</v>
      </c>
      <c r="AC309">
        <v>0</v>
      </c>
      <c r="AD309">
        <v>0</v>
      </c>
      <c r="AE309">
        <v>0</v>
      </c>
      <c r="AF309">
        <v>0</v>
      </c>
      <c r="AG309">
        <v>0</v>
      </c>
      <c r="AH309">
        <v>0</v>
      </c>
      <c r="AI309">
        <v>0</v>
      </c>
      <c r="AJ309">
        <v>0</v>
      </c>
      <c r="AK309">
        <v>0</v>
      </c>
      <c r="AL309">
        <v>2</v>
      </c>
      <c r="AM309">
        <v>1</v>
      </c>
      <c r="AN309">
        <v>0</v>
      </c>
    </row>
    <row r="310" spans="1:40" x14ac:dyDescent="0.25">
      <c r="A310" t="s">
        <v>4854</v>
      </c>
      <c r="B310" t="s">
        <v>4855</v>
      </c>
      <c r="F310" t="s">
        <v>314</v>
      </c>
      <c r="G310" t="s">
        <v>3776</v>
      </c>
      <c r="H310">
        <v>2017</v>
      </c>
      <c r="I310">
        <v>47</v>
      </c>
      <c r="J310">
        <v>4</v>
      </c>
      <c r="N310">
        <v>1090</v>
      </c>
      <c r="O310">
        <v>1101</v>
      </c>
      <c r="Q310" t="s">
        <v>4856</v>
      </c>
      <c r="T310">
        <v>3</v>
      </c>
      <c r="U310">
        <v>1</v>
      </c>
      <c r="V310">
        <v>0</v>
      </c>
      <c r="W310">
        <v>0</v>
      </c>
      <c r="X310">
        <v>0</v>
      </c>
      <c r="Y310">
        <v>0</v>
      </c>
      <c r="Z310">
        <v>0</v>
      </c>
      <c r="AA310">
        <v>0</v>
      </c>
      <c r="AB310">
        <v>0</v>
      </c>
      <c r="AC310">
        <v>0</v>
      </c>
      <c r="AD310">
        <v>0</v>
      </c>
      <c r="AE310">
        <v>0</v>
      </c>
      <c r="AF310">
        <v>0</v>
      </c>
      <c r="AG310">
        <v>0</v>
      </c>
      <c r="AH310">
        <v>0</v>
      </c>
      <c r="AI310">
        <v>0</v>
      </c>
      <c r="AJ310">
        <v>0</v>
      </c>
      <c r="AK310">
        <v>0</v>
      </c>
      <c r="AL310">
        <v>0</v>
      </c>
      <c r="AM310">
        <v>3</v>
      </c>
      <c r="AN310">
        <v>0</v>
      </c>
    </row>
    <row r="311" spans="1:40" x14ac:dyDescent="0.25">
      <c r="A311" t="s">
        <v>4857</v>
      </c>
      <c r="B311" t="s">
        <v>4858</v>
      </c>
      <c r="F311" t="s">
        <v>308</v>
      </c>
      <c r="G311" t="s">
        <v>3776</v>
      </c>
      <c r="H311">
        <v>2017</v>
      </c>
      <c r="I311">
        <v>64</v>
      </c>
      <c r="N311">
        <v>425</v>
      </c>
      <c r="O311">
        <v>436</v>
      </c>
      <c r="Q311" t="s">
        <v>4859</v>
      </c>
      <c r="T311">
        <v>3</v>
      </c>
      <c r="U311">
        <v>1</v>
      </c>
      <c r="V311">
        <v>0</v>
      </c>
      <c r="W311">
        <v>0</v>
      </c>
      <c r="X311">
        <v>0</v>
      </c>
      <c r="Y311">
        <v>0</v>
      </c>
      <c r="Z311">
        <v>0</v>
      </c>
      <c r="AA311">
        <v>0</v>
      </c>
      <c r="AB311">
        <v>0</v>
      </c>
      <c r="AC311">
        <v>0</v>
      </c>
      <c r="AD311">
        <v>0</v>
      </c>
      <c r="AE311">
        <v>0</v>
      </c>
      <c r="AF311">
        <v>0</v>
      </c>
      <c r="AG311">
        <v>0</v>
      </c>
      <c r="AH311">
        <v>0</v>
      </c>
      <c r="AI311">
        <v>0</v>
      </c>
      <c r="AJ311">
        <v>0</v>
      </c>
      <c r="AK311">
        <v>0</v>
      </c>
      <c r="AL311">
        <v>1</v>
      </c>
      <c r="AM311">
        <v>2</v>
      </c>
      <c r="AN311">
        <v>0</v>
      </c>
    </row>
    <row r="312" spans="1:40" x14ac:dyDescent="0.25">
      <c r="A312" t="s">
        <v>1563</v>
      </c>
      <c r="B312" t="s">
        <v>1565</v>
      </c>
      <c r="F312" t="s">
        <v>336</v>
      </c>
      <c r="G312" t="s">
        <v>3500</v>
      </c>
      <c r="H312">
        <v>2017</v>
      </c>
      <c r="I312">
        <v>21</v>
      </c>
      <c r="J312">
        <v>2</v>
      </c>
      <c r="N312">
        <v>235</v>
      </c>
      <c r="O312">
        <v>246</v>
      </c>
      <c r="Q312" t="s">
        <v>4860</v>
      </c>
      <c r="T312">
        <v>3</v>
      </c>
      <c r="U312">
        <v>1</v>
      </c>
      <c r="V312">
        <v>0</v>
      </c>
      <c r="W312">
        <v>0</v>
      </c>
      <c r="X312">
        <v>0</v>
      </c>
      <c r="Y312">
        <v>0</v>
      </c>
      <c r="Z312">
        <v>0</v>
      </c>
      <c r="AA312">
        <v>0</v>
      </c>
      <c r="AB312">
        <v>0</v>
      </c>
      <c r="AC312">
        <v>0</v>
      </c>
      <c r="AD312">
        <v>0</v>
      </c>
      <c r="AE312">
        <v>0</v>
      </c>
      <c r="AF312">
        <v>0</v>
      </c>
      <c r="AG312">
        <v>0</v>
      </c>
      <c r="AH312">
        <v>0</v>
      </c>
      <c r="AI312">
        <v>0</v>
      </c>
      <c r="AJ312">
        <v>0</v>
      </c>
      <c r="AK312">
        <v>0</v>
      </c>
      <c r="AL312">
        <v>2</v>
      </c>
      <c r="AM312">
        <v>1</v>
      </c>
      <c r="AN312">
        <v>0</v>
      </c>
    </row>
    <row r="313" spans="1:40" x14ac:dyDescent="0.25">
      <c r="A313" t="s">
        <v>4861</v>
      </c>
      <c r="B313" t="s">
        <v>4862</v>
      </c>
      <c r="F313" t="s">
        <v>311</v>
      </c>
      <c r="G313" t="s">
        <v>3902</v>
      </c>
      <c r="H313">
        <v>2016</v>
      </c>
      <c r="I313">
        <v>25</v>
      </c>
      <c r="J313">
        <v>12</v>
      </c>
      <c r="N313">
        <v>5622</v>
      </c>
      <c r="O313">
        <v>5634</v>
      </c>
      <c r="Q313" t="s">
        <v>4863</v>
      </c>
      <c r="T313">
        <v>3</v>
      </c>
      <c r="U313">
        <v>0.75</v>
      </c>
      <c r="V313">
        <v>0</v>
      </c>
      <c r="W313">
        <v>0</v>
      </c>
      <c r="X313">
        <v>0</v>
      </c>
      <c r="Y313">
        <v>0</v>
      </c>
      <c r="Z313">
        <v>0</v>
      </c>
      <c r="AA313">
        <v>0</v>
      </c>
      <c r="AB313">
        <v>0</v>
      </c>
      <c r="AC313">
        <v>0</v>
      </c>
      <c r="AD313">
        <v>0</v>
      </c>
      <c r="AE313">
        <v>0</v>
      </c>
      <c r="AF313">
        <v>0</v>
      </c>
      <c r="AG313">
        <v>0</v>
      </c>
      <c r="AH313">
        <v>0</v>
      </c>
      <c r="AI313">
        <v>0</v>
      </c>
      <c r="AJ313">
        <v>0</v>
      </c>
      <c r="AK313">
        <v>0</v>
      </c>
      <c r="AL313">
        <v>0</v>
      </c>
      <c r="AM313">
        <v>3</v>
      </c>
      <c r="AN313">
        <v>0</v>
      </c>
    </row>
    <row r="314" spans="1:40" x14ac:dyDescent="0.25">
      <c r="A314" t="s">
        <v>1472</v>
      </c>
      <c r="B314" t="s">
        <v>1474</v>
      </c>
      <c r="F314" t="s">
        <v>302</v>
      </c>
      <c r="G314" t="s">
        <v>2774</v>
      </c>
      <c r="H314">
        <v>2016</v>
      </c>
      <c r="I314">
        <v>55</v>
      </c>
      <c r="K314">
        <v>2</v>
      </c>
      <c r="M314" t="s">
        <v>1948</v>
      </c>
      <c r="N314">
        <v>77</v>
      </c>
      <c r="O314">
        <v>85</v>
      </c>
      <c r="Q314" t="s">
        <v>4864</v>
      </c>
      <c r="T314">
        <v>3</v>
      </c>
      <c r="U314">
        <v>0.75</v>
      </c>
      <c r="V314">
        <v>0</v>
      </c>
      <c r="W314">
        <v>0</v>
      </c>
      <c r="X314">
        <v>0</v>
      </c>
      <c r="Y314">
        <v>0</v>
      </c>
      <c r="Z314">
        <v>0</v>
      </c>
      <c r="AA314">
        <v>0</v>
      </c>
      <c r="AB314">
        <v>0</v>
      </c>
      <c r="AC314">
        <v>0</v>
      </c>
      <c r="AD314">
        <v>0</v>
      </c>
      <c r="AE314">
        <v>0</v>
      </c>
      <c r="AF314">
        <v>0</v>
      </c>
      <c r="AG314">
        <v>0</v>
      </c>
      <c r="AH314">
        <v>0</v>
      </c>
      <c r="AI314">
        <v>0</v>
      </c>
      <c r="AJ314">
        <v>0</v>
      </c>
      <c r="AK314">
        <v>0</v>
      </c>
      <c r="AL314">
        <v>2</v>
      </c>
      <c r="AM314">
        <v>1</v>
      </c>
      <c r="AN314">
        <v>0</v>
      </c>
    </row>
    <row r="315" spans="1:40" x14ac:dyDescent="0.25">
      <c r="A315" t="s">
        <v>4865</v>
      </c>
      <c r="B315" t="s">
        <v>4866</v>
      </c>
      <c r="F315" t="s">
        <v>305</v>
      </c>
      <c r="G315" t="s">
        <v>4867</v>
      </c>
      <c r="H315">
        <v>2016</v>
      </c>
      <c r="I315">
        <v>83</v>
      </c>
      <c r="K315">
        <v>3</v>
      </c>
      <c r="N315">
        <v>261</v>
      </c>
      <c r="O315">
        <v>267</v>
      </c>
      <c r="Q315" t="s">
        <v>4868</v>
      </c>
      <c r="T315">
        <v>3</v>
      </c>
      <c r="U315">
        <v>0.75</v>
      </c>
      <c r="V315">
        <v>0</v>
      </c>
      <c r="W315">
        <v>0</v>
      </c>
      <c r="X315">
        <v>0</v>
      </c>
      <c r="Y315">
        <v>0</v>
      </c>
      <c r="Z315">
        <v>0</v>
      </c>
      <c r="AA315">
        <v>0</v>
      </c>
      <c r="AB315">
        <v>0</v>
      </c>
      <c r="AC315">
        <v>0</v>
      </c>
      <c r="AD315">
        <v>0</v>
      </c>
      <c r="AE315">
        <v>0</v>
      </c>
      <c r="AF315">
        <v>0</v>
      </c>
      <c r="AG315">
        <v>0</v>
      </c>
      <c r="AH315">
        <v>0</v>
      </c>
      <c r="AI315">
        <v>0</v>
      </c>
      <c r="AJ315">
        <v>0</v>
      </c>
      <c r="AK315">
        <v>0</v>
      </c>
      <c r="AL315">
        <v>1</v>
      </c>
      <c r="AM315">
        <v>2</v>
      </c>
      <c r="AN315">
        <v>0</v>
      </c>
    </row>
    <row r="316" spans="1:40" x14ac:dyDescent="0.25">
      <c r="A316" t="s">
        <v>4869</v>
      </c>
      <c r="B316" t="s">
        <v>4870</v>
      </c>
      <c r="F316" t="s">
        <v>313</v>
      </c>
      <c r="G316" t="s">
        <v>4867</v>
      </c>
      <c r="H316">
        <v>2016</v>
      </c>
      <c r="I316">
        <v>61</v>
      </c>
      <c r="N316">
        <v>78</v>
      </c>
      <c r="O316">
        <v>85</v>
      </c>
      <c r="Q316" t="s">
        <v>4871</v>
      </c>
      <c r="T316">
        <v>3</v>
      </c>
      <c r="U316">
        <v>0.75</v>
      </c>
      <c r="V316">
        <v>0</v>
      </c>
      <c r="W316">
        <v>0</v>
      </c>
      <c r="X316">
        <v>0</v>
      </c>
      <c r="Y316">
        <v>0</v>
      </c>
      <c r="Z316">
        <v>0</v>
      </c>
      <c r="AA316">
        <v>0</v>
      </c>
      <c r="AB316">
        <v>0</v>
      </c>
      <c r="AC316">
        <v>0</v>
      </c>
      <c r="AD316">
        <v>0</v>
      </c>
      <c r="AE316">
        <v>0</v>
      </c>
      <c r="AF316">
        <v>0</v>
      </c>
      <c r="AG316">
        <v>0</v>
      </c>
      <c r="AH316">
        <v>0</v>
      </c>
      <c r="AI316">
        <v>0</v>
      </c>
      <c r="AJ316">
        <v>0</v>
      </c>
      <c r="AK316">
        <v>0</v>
      </c>
      <c r="AL316">
        <v>2</v>
      </c>
      <c r="AM316">
        <v>1</v>
      </c>
      <c r="AN316">
        <v>0</v>
      </c>
    </row>
    <row r="317" spans="1:40" x14ac:dyDescent="0.25">
      <c r="A317" t="s">
        <v>4872</v>
      </c>
      <c r="B317" t="s">
        <v>4873</v>
      </c>
      <c r="F317" t="s">
        <v>300</v>
      </c>
      <c r="G317" t="s">
        <v>3784</v>
      </c>
      <c r="H317">
        <v>2016</v>
      </c>
      <c r="I317">
        <v>38</v>
      </c>
      <c r="J317">
        <v>7</v>
      </c>
      <c r="P317">
        <v>1342</v>
      </c>
      <c r="Q317" t="s">
        <v>4874</v>
      </c>
      <c r="R317" t="s">
        <v>4875</v>
      </c>
      <c r="S317" t="s">
        <v>4876</v>
      </c>
      <c r="T317">
        <v>3</v>
      </c>
      <c r="U317">
        <v>0.75</v>
      </c>
      <c r="V317">
        <v>0</v>
      </c>
      <c r="W317">
        <v>0</v>
      </c>
      <c r="X317">
        <v>0</v>
      </c>
      <c r="Y317">
        <v>0</v>
      </c>
      <c r="Z317">
        <v>0</v>
      </c>
      <c r="AA317">
        <v>0</v>
      </c>
      <c r="AB317">
        <v>0</v>
      </c>
      <c r="AC317">
        <v>0</v>
      </c>
      <c r="AD317">
        <v>0</v>
      </c>
      <c r="AE317">
        <v>0</v>
      </c>
      <c r="AF317">
        <v>0</v>
      </c>
      <c r="AG317">
        <v>0</v>
      </c>
      <c r="AH317">
        <v>0</v>
      </c>
      <c r="AI317">
        <v>0</v>
      </c>
      <c r="AJ317">
        <v>0</v>
      </c>
      <c r="AK317">
        <v>0</v>
      </c>
      <c r="AL317">
        <v>3</v>
      </c>
      <c r="AM317">
        <v>0</v>
      </c>
      <c r="AN317">
        <v>0</v>
      </c>
    </row>
    <row r="318" spans="1:40" x14ac:dyDescent="0.25">
      <c r="A318" t="s">
        <v>4877</v>
      </c>
      <c r="B318" t="s">
        <v>4878</v>
      </c>
      <c r="F318" t="s">
        <v>306</v>
      </c>
      <c r="G318" t="s">
        <v>4879</v>
      </c>
      <c r="H318">
        <v>2016</v>
      </c>
      <c r="I318">
        <v>194</v>
      </c>
      <c r="N318">
        <v>227</v>
      </c>
      <c r="O318">
        <v>240</v>
      </c>
      <c r="Q318" t="s">
        <v>4880</v>
      </c>
      <c r="T318">
        <v>3</v>
      </c>
      <c r="U318">
        <v>0.75</v>
      </c>
      <c r="V318">
        <v>0</v>
      </c>
      <c r="W318">
        <v>0</v>
      </c>
      <c r="X318">
        <v>0</v>
      </c>
      <c r="Y318">
        <v>0</v>
      </c>
      <c r="Z318">
        <v>0</v>
      </c>
      <c r="AA318">
        <v>0</v>
      </c>
      <c r="AB318">
        <v>0</v>
      </c>
      <c r="AC318">
        <v>0</v>
      </c>
      <c r="AD318">
        <v>0</v>
      </c>
      <c r="AE318">
        <v>0</v>
      </c>
      <c r="AF318">
        <v>0</v>
      </c>
      <c r="AG318">
        <v>0</v>
      </c>
      <c r="AH318">
        <v>0</v>
      </c>
      <c r="AI318">
        <v>0</v>
      </c>
      <c r="AJ318">
        <v>0</v>
      </c>
      <c r="AK318">
        <v>0</v>
      </c>
      <c r="AL318">
        <v>3</v>
      </c>
      <c r="AM318">
        <v>0</v>
      </c>
      <c r="AN318">
        <v>0</v>
      </c>
    </row>
    <row r="319" spans="1:40" x14ac:dyDescent="0.25">
      <c r="A319" t="s">
        <v>4881</v>
      </c>
      <c r="B319" t="s">
        <v>4882</v>
      </c>
      <c r="F319" t="s">
        <v>313</v>
      </c>
      <c r="G319" t="s">
        <v>4883</v>
      </c>
      <c r="H319">
        <v>2015</v>
      </c>
      <c r="I319">
        <v>42</v>
      </c>
      <c r="J319">
        <v>23</v>
      </c>
      <c r="N319">
        <v>9279</v>
      </c>
      <c r="O319">
        <v>9283</v>
      </c>
      <c r="Q319" t="s">
        <v>4884</v>
      </c>
      <c r="T319">
        <v>3</v>
      </c>
      <c r="U319">
        <v>0.6</v>
      </c>
      <c r="V319">
        <v>0</v>
      </c>
      <c r="W319">
        <v>0</v>
      </c>
      <c r="X319">
        <v>0</v>
      </c>
      <c r="Y319">
        <v>0</v>
      </c>
      <c r="Z319">
        <v>0</v>
      </c>
      <c r="AA319">
        <v>0</v>
      </c>
      <c r="AB319">
        <v>0</v>
      </c>
      <c r="AC319">
        <v>0</v>
      </c>
      <c r="AD319">
        <v>0</v>
      </c>
      <c r="AE319">
        <v>0</v>
      </c>
      <c r="AF319">
        <v>0</v>
      </c>
      <c r="AG319">
        <v>0</v>
      </c>
      <c r="AH319">
        <v>0</v>
      </c>
      <c r="AI319">
        <v>0</v>
      </c>
      <c r="AJ319">
        <v>0</v>
      </c>
      <c r="AK319">
        <v>0</v>
      </c>
      <c r="AL319">
        <v>1</v>
      </c>
      <c r="AM319">
        <v>2</v>
      </c>
      <c r="AN319">
        <v>0</v>
      </c>
    </row>
    <row r="320" spans="1:40" x14ac:dyDescent="0.25">
      <c r="A320" t="s">
        <v>1590</v>
      </c>
      <c r="B320" t="s">
        <v>1592</v>
      </c>
      <c r="F320" t="s">
        <v>312</v>
      </c>
      <c r="G320" t="s">
        <v>2393</v>
      </c>
      <c r="H320">
        <v>2015</v>
      </c>
      <c r="I320">
        <v>10</v>
      </c>
      <c r="J320">
        <v>4</v>
      </c>
      <c r="N320">
        <v>647</v>
      </c>
      <c r="O320">
        <v>666</v>
      </c>
      <c r="Q320" t="s">
        <v>4885</v>
      </c>
      <c r="T320">
        <v>3</v>
      </c>
      <c r="U320">
        <v>0.6</v>
      </c>
      <c r="V320">
        <v>0</v>
      </c>
      <c r="W320">
        <v>0</v>
      </c>
      <c r="X320">
        <v>0</v>
      </c>
      <c r="Y320">
        <v>0</v>
      </c>
      <c r="Z320">
        <v>0</v>
      </c>
      <c r="AA320">
        <v>0</v>
      </c>
      <c r="AB320">
        <v>0</v>
      </c>
      <c r="AC320">
        <v>0</v>
      </c>
      <c r="AD320">
        <v>0</v>
      </c>
      <c r="AE320">
        <v>0</v>
      </c>
      <c r="AF320">
        <v>0</v>
      </c>
      <c r="AG320">
        <v>0</v>
      </c>
      <c r="AH320">
        <v>0</v>
      </c>
      <c r="AI320">
        <v>0</v>
      </c>
      <c r="AJ320">
        <v>1</v>
      </c>
      <c r="AK320">
        <v>1</v>
      </c>
      <c r="AL320">
        <v>0</v>
      </c>
      <c r="AM320">
        <v>1</v>
      </c>
      <c r="AN320">
        <v>0</v>
      </c>
    </row>
    <row r="321" spans="1:40" x14ac:dyDescent="0.25">
      <c r="A321" t="s">
        <v>4886</v>
      </c>
      <c r="B321" t="s">
        <v>4887</v>
      </c>
      <c r="F321" t="s">
        <v>311</v>
      </c>
      <c r="G321" t="s">
        <v>2393</v>
      </c>
      <c r="H321">
        <v>2015</v>
      </c>
      <c r="I321">
        <v>24</v>
      </c>
      <c r="J321">
        <v>12</v>
      </c>
      <c r="N321">
        <v>5696</v>
      </c>
      <c r="O321">
        <v>5705</v>
      </c>
      <c r="Q321" t="s">
        <v>4888</v>
      </c>
      <c r="T321">
        <v>3</v>
      </c>
      <c r="U321">
        <v>0.6</v>
      </c>
      <c r="V321">
        <v>0</v>
      </c>
      <c r="W321">
        <v>0</v>
      </c>
      <c r="X321">
        <v>0</v>
      </c>
      <c r="Y321">
        <v>0</v>
      </c>
      <c r="Z321">
        <v>0</v>
      </c>
      <c r="AA321">
        <v>0</v>
      </c>
      <c r="AB321">
        <v>0</v>
      </c>
      <c r="AC321">
        <v>0</v>
      </c>
      <c r="AD321">
        <v>0</v>
      </c>
      <c r="AE321">
        <v>0</v>
      </c>
      <c r="AF321">
        <v>0</v>
      </c>
      <c r="AG321">
        <v>0</v>
      </c>
      <c r="AH321">
        <v>0</v>
      </c>
      <c r="AI321">
        <v>0</v>
      </c>
      <c r="AJ321">
        <v>0</v>
      </c>
      <c r="AK321">
        <v>0</v>
      </c>
      <c r="AL321">
        <v>2</v>
      </c>
      <c r="AM321">
        <v>1</v>
      </c>
      <c r="AN321">
        <v>0</v>
      </c>
    </row>
    <row r="322" spans="1:40" x14ac:dyDescent="0.25">
      <c r="A322" t="s">
        <v>4889</v>
      </c>
      <c r="B322" t="s">
        <v>4890</v>
      </c>
      <c r="F322" t="s">
        <v>4891</v>
      </c>
      <c r="G322" t="s">
        <v>3049</v>
      </c>
      <c r="H322">
        <v>2015</v>
      </c>
      <c r="I322">
        <v>5</v>
      </c>
      <c r="J322">
        <v>2</v>
      </c>
      <c r="K322">
        <v>1</v>
      </c>
      <c r="M322" t="s">
        <v>1948</v>
      </c>
      <c r="P322" t="s">
        <v>4892</v>
      </c>
      <c r="Q322" t="s">
        <v>4893</v>
      </c>
      <c r="T322">
        <v>3</v>
      </c>
      <c r="U322">
        <v>0.6</v>
      </c>
      <c r="V322">
        <v>0</v>
      </c>
      <c r="W322">
        <v>0</v>
      </c>
      <c r="X322">
        <v>0</v>
      </c>
      <c r="Y322">
        <v>0</v>
      </c>
      <c r="Z322">
        <v>0</v>
      </c>
      <c r="AA322">
        <v>0</v>
      </c>
      <c r="AB322">
        <v>0</v>
      </c>
      <c r="AC322">
        <v>0</v>
      </c>
      <c r="AD322">
        <v>0</v>
      </c>
      <c r="AE322">
        <v>0</v>
      </c>
      <c r="AF322">
        <v>0</v>
      </c>
      <c r="AG322">
        <v>0</v>
      </c>
      <c r="AH322">
        <v>0</v>
      </c>
      <c r="AI322">
        <v>0</v>
      </c>
      <c r="AJ322">
        <v>0</v>
      </c>
      <c r="AK322">
        <v>2</v>
      </c>
      <c r="AL322">
        <v>1</v>
      </c>
      <c r="AM322">
        <v>0</v>
      </c>
      <c r="AN322">
        <v>0</v>
      </c>
    </row>
    <row r="323" spans="1:40" x14ac:dyDescent="0.25">
      <c r="A323" t="s">
        <v>4894</v>
      </c>
      <c r="B323" t="s">
        <v>4895</v>
      </c>
      <c r="F323" t="s">
        <v>313</v>
      </c>
      <c r="G323" t="s">
        <v>4896</v>
      </c>
      <c r="H323">
        <v>2015</v>
      </c>
      <c r="I323">
        <v>42</v>
      </c>
      <c r="J323">
        <v>8</v>
      </c>
      <c r="N323">
        <v>3991</v>
      </c>
      <c r="O323">
        <v>3999</v>
      </c>
      <c r="Q323" t="s">
        <v>4897</v>
      </c>
      <c r="T323">
        <v>3</v>
      </c>
      <c r="U323">
        <v>0.6</v>
      </c>
      <c r="V323">
        <v>0</v>
      </c>
      <c r="W323">
        <v>0</v>
      </c>
      <c r="X323">
        <v>0</v>
      </c>
      <c r="Y323">
        <v>0</v>
      </c>
      <c r="Z323">
        <v>0</v>
      </c>
      <c r="AA323">
        <v>0</v>
      </c>
      <c r="AB323">
        <v>0</v>
      </c>
      <c r="AC323">
        <v>0</v>
      </c>
      <c r="AD323">
        <v>0</v>
      </c>
      <c r="AE323">
        <v>0</v>
      </c>
      <c r="AF323">
        <v>0</v>
      </c>
      <c r="AG323">
        <v>0</v>
      </c>
      <c r="AH323">
        <v>0</v>
      </c>
      <c r="AI323">
        <v>0</v>
      </c>
      <c r="AJ323">
        <v>1</v>
      </c>
      <c r="AK323">
        <v>1</v>
      </c>
      <c r="AL323">
        <v>1</v>
      </c>
      <c r="AM323">
        <v>0</v>
      </c>
      <c r="AN323">
        <v>0</v>
      </c>
    </row>
    <row r="324" spans="1:40" x14ac:dyDescent="0.25">
      <c r="A324" t="s">
        <v>4898</v>
      </c>
      <c r="B324" t="s">
        <v>4899</v>
      </c>
      <c r="F324" t="s">
        <v>311</v>
      </c>
      <c r="G324" t="s">
        <v>2412</v>
      </c>
      <c r="H324">
        <v>2015</v>
      </c>
      <c r="I324">
        <v>24</v>
      </c>
      <c r="J324">
        <v>3</v>
      </c>
      <c r="N324">
        <v>932</v>
      </c>
      <c r="O324">
        <v>942</v>
      </c>
      <c r="Q324" t="s">
        <v>4900</v>
      </c>
      <c r="T324">
        <v>3</v>
      </c>
      <c r="U324">
        <v>0.6</v>
      </c>
      <c r="V324">
        <v>0</v>
      </c>
      <c r="W324">
        <v>0</v>
      </c>
      <c r="X324">
        <v>0</v>
      </c>
      <c r="Y324">
        <v>0</v>
      </c>
      <c r="Z324">
        <v>0</v>
      </c>
      <c r="AA324">
        <v>0</v>
      </c>
      <c r="AB324">
        <v>0</v>
      </c>
      <c r="AC324">
        <v>0</v>
      </c>
      <c r="AD324">
        <v>0</v>
      </c>
      <c r="AE324">
        <v>0</v>
      </c>
      <c r="AF324">
        <v>0</v>
      </c>
      <c r="AG324">
        <v>0</v>
      </c>
      <c r="AH324">
        <v>0</v>
      </c>
      <c r="AI324">
        <v>0</v>
      </c>
      <c r="AJ324">
        <v>1</v>
      </c>
      <c r="AK324">
        <v>0</v>
      </c>
      <c r="AL324">
        <v>1</v>
      </c>
      <c r="AM324">
        <v>0</v>
      </c>
      <c r="AN324">
        <v>1</v>
      </c>
    </row>
    <row r="325" spans="1:40" x14ac:dyDescent="0.25">
      <c r="A325" t="s">
        <v>4901</v>
      </c>
      <c r="B325" t="s">
        <v>4902</v>
      </c>
      <c r="F325" t="s">
        <v>4903</v>
      </c>
      <c r="G325">
        <v>2015</v>
      </c>
      <c r="H325">
        <v>2015</v>
      </c>
      <c r="I325">
        <v>8</v>
      </c>
      <c r="J325">
        <v>4</v>
      </c>
      <c r="N325">
        <v>2771</v>
      </c>
      <c r="O325">
        <v>2813</v>
      </c>
      <c r="Q325" t="s">
        <v>4904</v>
      </c>
      <c r="T325">
        <v>3</v>
      </c>
      <c r="U325">
        <v>0.6</v>
      </c>
      <c r="V325">
        <v>0</v>
      </c>
      <c r="W325">
        <v>0</v>
      </c>
      <c r="X325">
        <v>0</v>
      </c>
      <c r="Y325">
        <v>0</v>
      </c>
      <c r="Z325">
        <v>0</v>
      </c>
      <c r="AA325">
        <v>0</v>
      </c>
      <c r="AB325">
        <v>0</v>
      </c>
      <c r="AC325">
        <v>0</v>
      </c>
      <c r="AD325">
        <v>0</v>
      </c>
      <c r="AE325">
        <v>0</v>
      </c>
      <c r="AF325">
        <v>0</v>
      </c>
      <c r="AG325">
        <v>0</v>
      </c>
      <c r="AH325">
        <v>0</v>
      </c>
      <c r="AI325">
        <v>0</v>
      </c>
      <c r="AJ325">
        <v>0</v>
      </c>
      <c r="AK325">
        <v>0</v>
      </c>
      <c r="AL325">
        <v>2</v>
      </c>
      <c r="AM325">
        <v>1</v>
      </c>
      <c r="AN325">
        <v>0</v>
      </c>
    </row>
    <row r="326" spans="1:40" x14ac:dyDescent="0.25">
      <c r="A326" t="s">
        <v>4905</v>
      </c>
      <c r="B326" t="s">
        <v>4906</v>
      </c>
      <c r="F326" t="s">
        <v>302</v>
      </c>
      <c r="G326" t="s">
        <v>2831</v>
      </c>
      <c r="H326">
        <v>2014</v>
      </c>
      <c r="I326">
        <v>32</v>
      </c>
      <c r="J326">
        <v>12</v>
      </c>
      <c r="N326">
        <v>979</v>
      </c>
      <c r="O326">
        <v>993</v>
      </c>
      <c r="Q326" t="s">
        <v>4907</v>
      </c>
      <c r="T326">
        <v>3</v>
      </c>
      <c r="U326">
        <v>0.5</v>
      </c>
      <c r="V326">
        <v>0</v>
      </c>
      <c r="W326">
        <v>0</v>
      </c>
      <c r="X326">
        <v>0</v>
      </c>
      <c r="Y326">
        <v>0</v>
      </c>
      <c r="Z326">
        <v>0</v>
      </c>
      <c r="AA326">
        <v>0</v>
      </c>
      <c r="AB326">
        <v>0</v>
      </c>
      <c r="AC326">
        <v>0</v>
      </c>
      <c r="AD326">
        <v>0</v>
      </c>
      <c r="AE326">
        <v>0</v>
      </c>
      <c r="AF326">
        <v>0</v>
      </c>
      <c r="AG326">
        <v>0</v>
      </c>
      <c r="AH326">
        <v>0</v>
      </c>
      <c r="AI326">
        <v>0</v>
      </c>
      <c r="AJ326">
        <v>0</v>
      </c>
      <c r="AK326">
        <v>1</v>
      </c>
      <c r="AL326">
        <v>1</v>
      </c>
      <c r="AM326">
        <v>1</v>
      </c>
      <c r="AN326">
        <v>0</v>
      </c>
    </row>
    <row r="327" spans="1:40" x14ac:dyDescent="0.25">
      <c r="A327" t="s">
        <v>4908</v>
      </c>
      <c r="B327" t="s">
        <v>4909</v>
      </c>
      <c r="F327" t="s">
        <v>306</v>
      </c>
      <c r="G327" t="s">
        <v>4910</v>
      </c>
      <c r="H327">
        <v>2014</v>
      </c>
      <c r="I327">
        <v>142</v>
      </c>
      <c r="M327" t="s">
        <v>1948</v>
      </c>
      <c r="N327">
        <v>508</v>
      </c>
      <c r="O327">
        <v>519</v>
      </c>
      <c r="Q327" t="s">
        <v>4911</v>
      </c>
      <c r="T327">
        <v>3</v>
      </c>
      <c r="U327">
        <v>0.5</v>
      </c>
      <c r="V327">
        <v>0</v>
      </c>
      <c r="W327">
        <v>0</v>
      </c>
      <c r="X327">
        <v>0</v>
      </c>
      <c r="Y327">
        <v>0</v>
      </c>
      <c r="Z327">
        <v>0</v>
      </c>
      <c r="AA327">
        <v>0</v>
      </c>
      <c r="AB327">
        <v>0</v>
      </c>
      <c r="AC327">
        <v>0</v>
      </c>
      <c r="AD327">
        <v>0</v>
      </c>
      <c r="AE327">
        <v>0</v>
      </c>
      <c r="AF327">
        <v>0</v>
      </c>
      <c r="AG327">
        <v>0</v>
      </c>
      <c r="AH327">
        <v>0</v>
      </c>
      <c r="AI327">
        <v>0</v>
      </c>
      <c r="AJ327">
        <v>0</v>
      </c>
      <c r="AK327">
        <v>2</v>
      </c>
      <c r="AL327">
        <v>1</v>
      </c>
      <c r="AM327">
        <v>0</v>
      </c>
      <c r="AN327">
        <v>0</v>
      </c>
    </row>
    <row r="328" spans="1:40" x14ac:dyDescent="0.25">
      <c r="A328" t="s">
        <v>1713</v>
      </c>
      <c r="B328" t="s">
        <v>1715</v>
      </c>
      <c r="F328" t="s">
        <v>305</v>
      </c>
      <c r="G328" t="s">
        <v>4912</v>
      </c>
      <c r="H328">
        <v>2014</v>
      </c>
      <c r="I328">
        <v>43</v>
      </c>
      <c r="N328">
        <v>3</v>
      </c>
      <c r="O328">
        <v>16</v>
      </c>
      <c r="Q328" t="s">
        <v>4913</v>
      </c>
      <c r="T328">
        <v>3</v>
      </c>
      <c r="U328">
        <v>0.5</v>
      </c>
      <c r="V328">
        <v>0</v>
      </c>
      <c r="W328">
        <v>0</v>
      </c>
      <c r="X328">
        <v>0</v>
      </c>
      <c r="Y328">
        <v>0</v>
      </c>
      <c r="Z328">
        <v>0</v>
      </c>
      <c r="AA328">
        <v>0</v>
      </c>
      <c r="AB328">
        <v>0</v>
      </c>
      <c r="AC328">
        <v>0</v>
      </c>
      <c r="AD328">
        <v>0</v>
      </c>
      <c r="AE328">
        <v>0</v>
      </c>
      <c r="AF328">
        <v>0</v>
      </c>
      <c r="AG328">
        <v>0</v>
      </c>
      <c r="AH328">
        <v>0</v>
      </c>
      <c r="AI328">
        <v>0</v>
      </c>
      <c r="AJ328">
        <v>1</v>
      </c>
      <c r="AK328">
        <v>1</v>
      </c>
      <c r="AL328">
        <v>1</v>
      </c>
      <c r="AM328">
        <v>0</v>
      </c>
      <c r="AN328">
        <v>0</v>
      </c>
    </row>
    <row r="329" spans="1:40" x14ac:dyDescent="0.25">
      <c r="A329" t="s">
        <v>4914</v>
      </c>
      <c r="B329" t="s">
        <v>4915</v>
      </c>
      <c r="F329" t="s">
        <v>306</v>
      </c>
      <c r="G329" t="s">
        <v>4916</v>
      </c>
      <c r="H329">
        <v>2013</v>
      </c>
      <c r="I329">
        <v>100</v>
      </c>
      <c r="M329" t="s">
        <v>1948</v>
      </c>
      <c r="N329">
        <v>74</v>
      </c>
      <c r="O329">
        <v>85</v>
      </c>
      <c r="Q329" t="s">
        <v>4917</v>
      </c>
      <c r="T329">
        <v>3</v>
      </c>
      <c r="U329">
        <v>0.43</v>
      </c>
      <c r="V329">
        <v>0</v>
      </c>
      <c r="W329">
        <v>0</v>
      </c>
      <c r="X329">
        <v>0</v>
      </c>
      <c r="Y329">
        <v>0</v>
      </c>
      <c r="Z329">
        <v>0</v>
      </c>
      <c r="AA329">
        <v>0</v>
      </c>
      <c r="AB329">
        <v>0</v>
      </c>
      <c r="AC329">
        <v>0</v>
      </c>
      <c r="AD329">
        <v>0</v>
      </c>
      <c r="AE329">
        <v>0</v>
      </c>
      <c r="AF329">
        <v>0</v>
      </c>
      <c r="AG329">
        <v>0</v>
      </c>
      <c r="AH329">
        <v>1</v>
      </c>
      <c r="AI329">
        <v>0</v>
      </c>
      <c r="AJ329">
        <v>2</v>
      </c>
      <c r="AK329">
        <v>0</v>
      </c>
      <c r="AL329">
        <v>0</v>
      </c>
      <c r="AM329">
        <v>0</v>
      </c>
      <c r="AN329">
        <v>0</v>
      </c>
    </row>
    <row r="330" spans="1:40" x14ac:dyDescent="0.25">
      <c r="A330" t="s">
        <v>4918</v>
      </c>
      <c r="B330" t="s">
        <v>4919</v>
      </c>
      <c r="F330" t="s">
        <v>308</v>
      </c>
      <c r="G330" t="s">
        <v>2647</v>
      </c>
      <c r="H330">
        <v>2011</v>
      </c>
      <c r="I330">
        <v>44</v>
      </c>
      <c r="J330">
        <v>8</v>
      </c>
      <c r="N330">
        <v>1629</v>
      </c>
      <c r="O330">
        <v>1648</v>
      </c>
      <c r="Q330" t="s">
        <v>4920</v>
      </c>
      <c r="T330">
        <v>3</v>
      </c>
      <c r="U330">
        <v>0.33</v>
      </c>
      <c r="V330">
        <v>0</v>
      </c>
      <c r="W330">
        <v>0</v>
      </c>
      <c r="X330">
        <v>0</v>
      </c>
      <c r="Y330">
        <v>0</v>
      </c>
      <c r="Z330">
        <v>0</v>
      </c>
      <c r="AA330">
        <v>0</v>
      </c>
      <c r="AB330">
        <v>0</v>
      </c>
      <c r="AC330">
        <v>0</v>
      </c>
      <c r="AD330">
        <v>0</v>
      </c>
      <c r="AE330">
        <v>0</v>
      </c>
      <c r="AF330">
        <v>0</v>
      </c>
      <c r="AG330">
        <v>0</v>
      </c>
      <c r="AH330">
        <v>0</v>
      </c>
      <c r="AI330">
        <v>0</v>
      </c>
      <c r="AJ330">
        <v>3</v>
      </c>
      <c r="AK330">
        <v>0</v>
      </c>
      <c r="AL330">
        <v>0</v>
      </c>
      <c r="AM330">
        <v>0</v>
      </c>
      <c r="AN330">
        <v>0</v>
      </c>
    </row>
    <row r="331" spans="1:40" x14ac:dyDescent="0.25">
      <c r="A331" t="s">
        <v>4921</v>
      </c>
      <c r="B331" t="s">
        <v>4922</v>
      </c>
      <c r="F331" t="s">
        <v>4179</v>
      </c>
      <c r="G331">
        <v>2011</v>
      </c>
      <c r="H331">
        <v>2011</v>
      </c>
      <c r="I331">
        <v>11</v>
      </c>
      <c r="J331">
        <v>4</v>
      </c>
      <c r="N331">
        <v>15</v>
      </c>
      <c r="O331">
        <v>22</v>
      </c>
      <c r="Q331" t="s">
        <v>4923</v>
      </c>
      <c r="T331">
        <v>3</v>
      </c>
      <c r="U331">
        <v>0.33</v>
      </c>
      <c r="V331">
        <v>0</v>
      </c>
      <c r="W331">
        <v>0</v>
      </c>
      <c r="X331">
        <v>0</v>
      </c>
      <c r="Y331">
        <v>0</v>
      </c>
      <c r="Z331">
        <v>0</v>
      </c>
      <c r="AA331">
        <v>0</v>
      </c>
      <c r="AB331">
        <v>0</v>
      </c>
      <c r="AC331">
        <v>0</v>
      </c>
      <c r="AD331">
        <v>0</v>
      </c>
      <c r="AE331">
        <v>0</v>
      </c>
      <c r="AF331">
        <v>0</v>
      </c>
      <c r="AG331">
        <v>1</v>
      </c>
      <c r="AH331">
        <v>1</v>
      </c>
      <c r="AI331">
        <v>1</v>
      </c>
      <c r="AJ331">
        <v>0</v>
      </c>
      <c r="AK331">
        <v>0</v>
      </c>
      <c r="AL331">
        <v>0</v>
      </c>
      <c r="AM331">
        <v>0</v>
      </c>
      <c r="AN331">
        <v>0</v>
      </c>
    </row>
    <row r="332" spans="1:40" x14ac:dyDescent="0.25">
      <c r="A332" t="s">
        <v>4924</v>
      </c>
      <c r="B332" t="s">
        <v>4925</v>
      </c>
      <c r="F332" t="s">
        <v>304</v>
      </c>
      <c r="G332" t="s">
        <v>2404</v>
      </c>
      <c r="H332">
        <v>2010</v>
      </c>
      <c r="I332">
        <v>34</v>
      </c>
      <c r="J332">
        <v>4</v>
      </c>
      <c r="N332">
        <v>291</v>
      </c>
      <c r="O332">
        <v>308</v>
      </c>
      <c r="Q332" t="s">
        <v>4926</v>
      </c>
      <c r="T332">
        <v>3</v>
      </c>
      <c r="U332">
        <v>0.3</v>
      </c>
      <c r="V332">
        <v>0</v>
      </c>
      <c r="W332">
        <v>0</v>
      </c>
      <c r="X332">
        <v>0</v>
      </c>
      <c r="Y332">
        <v>0</v>
      </c>
      <c r="Z332">
        <v>0</v>
      </c>
      <c r="AA332">
        <v>0</v>
      </c>
      <c r="AB332">
        <v>0</v>
      </c>
      <c r="AC332">
        <v>0</v>
      </c>
      <c r="AD332">
        <v>0</v>
      </c>
      <c r="AE332">
        <v>0</v>
      </c>
      <c r="AF332">
        <v>0</v>
      </c>
      <c r="AG332">
        <v>2</v>
      </c>
      <c r="AH332">
        <v>0</v>
      </c>
      <c r="AI332">
        <v>0</v>
      </c>
      <c r="AJ332">
        <v>0</v>
      </c>
      <c r="AK332">
        <v>1</v>
      </c>
      <c r="AL332">
        <v>0</v>
      </c>
      <c r="AM332">
        <v>0</v>
      </c>
      <c r="AN332">
        <v>0</v>
      </c>
    </row>
    <row r="333" spans="1:40" x14ac:dyDescent="0.25">
      <c r="A333" t="s">
        <v>4927</v>
      </c>
      <c r="B333" t="s">
        <v>4928</v>
      </c>
      <c r="F333" t="s">
        <v>298</v>
      </c>
      <c r="G333" t="s">
        <v>2942</v>
      </c>
      <c r="H333">
        <v>2010</v>
      </c>
      <c r="I333">
        <v>114</v>
      </c>
      <c r="J333">
        <v>11</v>
      </c>
      <c r="N333">
        <v>1139</v>
      </c>
      <c r="O333">
        <v>1151</v>
      </c>
      <c r="Q333" t="s">
        <v>4929</v>
      </c>
      <c r="T333">
        <v>3</v>
      </c>
      <c r="U333">
        <v>0.3</v>
      </c>
      <c r="V333">
        <v>0</v>
      </c>
      <c r="W333">
        <v>0</v>
      </c>
      <c r="X333">
        <v>0</v>
      </c>
      <c r="Y333">
        <v>0</v>
      </c>
      <c r="Z333">
        <v>0</v>
      </c>
      <c r="AA333">
        <v>0</v>
      </c>
      <c r="AB333">
        <v>0</v>
      </c>
      <c r="AC333">
        <v>0</v>
      </c>
      <c r="AD333">
        <v>0</v>
      </c>
      <c r="AE333">
        <v>0</v>
      </c>
      <c r="AF333">
        <v>0</v>
      </c>
      <c r="AG333">
        <v>0</v>
      </c>
      <c r="AH333">
        <v>0</v>
      </c>
      <c r="AI333">
        <v>2</v>
      </c>
      <c r="AJ333">
        <v>0</v>
      </c>
      <c r="AK333">
        <v>0</v>
      </c>
      <c r="AL333">
        <v>1</v>
      </c>
      <c r="AM333">
        <v>0</v>
      </c>
      <c r="AN333">
        <v>0</v>
      </c>
    </row>
    <row r="334" spans="1:40" x14ac:dyDescent="0.25">
      <c r="A334" t="s">
        <v>4930</v>
      </c>
      <c r="B334" t="s">
        <v>4931</v>
      </c>
      <c r="F334" t="s">
        <v>346</v>
      </c>
      <c r="G334" t="s">
        <v>4932</v>
      </c>
      <c r="H334">
        <v>2009</v>
      </c>
      <c r="I334">
        <v>57</v>
      </c>
      <c r="J334">
        <v>10</v>
      </c>
      <c r="M334" t="s">
        <v>1948</v>
      </c>
      <c r="N334">
        <v>982</v>
      </c>
      <c r="O334">
        <v>995</v>
      </c>
      <c r="Q334" t="s">
        <v>4933</v>
      </c>
      <c r="T334">
        <v>3</v>
      </c>
      <c r="U334">
        <v>0.27</v>
      </c>
      <c r="V334">
        <v>0</v>
      </c>
      <c r="W334">
        <v>0</v>
      </c>
      <c r="X334">
        <v>0</v>
      </c>
      <c r="Y334">
        <v>0</v>
      </c>
      <c r="Z334">
        <v>0</v>
      </c>
      <c r="AA334">
        <v>0</v>
      </c>
      <c r="AB334">
        <v>0</v>
      </c>
      <c r="AC334">
        <v>0</v>
      </c>
      <c r="AD334">
        <v>0</v>
      </c>
      <c r="AE334">
        <v>1</v>
      </c>
      <c r="AF334">
        <v>0</v>
      </c>
      <c r="AG334">
        <v>0</v>
      </c>
      <c r="AH334">
        <v>0</v>
      </c>
      <c r="AI334">
        <v>2</v>
      </c>
      <c r="AJ334">
        <v>0</v>
      </c>
      <c r="AK334">
        <v>0</v>
      </c>
      <c r="AL334">
        <v>0</v>
      </c>
      <c r="AM334">
        <v>0</v>
      </c>
      <c r="AN334">
        <v>0</v>
      </c>
    </row>
    <row r="335" spans="1:40" x14ac:dyDescent="0.25">
      <c r="A335" t="s">
        <v>4934</v>
      </c>
      <c r="B335" t="s">
        <v>4935</v>
      </c>
      <c r="F335" t="s">
        <v>302</v>
      </c>
      <c r="G335" t="s">
        <v>4936</v>
      </c>
      <c r="H335">
        <v>2006</v>
      </c>
      <c r="I335">
        <v>24</v>
      </c>
      <c r="J335">
        <v>9</v>
      </c>
      <c r="N335">
        <v>987</v>
      </c>
      <c r="O335">
        <v>1000</v>
      </c>
      <c r="Q335" t="s">
        <v>4937</v>
      </c>
      <c r="T335">
        <v>3</v>
      </c>
      <c r="U335">
        <v>0.21</v>
      </c>
      <c r="V335">
        <v>0</v>
      </c>
      <c r="W335">
        <v>0</v>
      </c>
      <c r="X335">
        <v>0</v>
      </c>
      <c r="Y335">
        <v>0</v>
      </c>
      <c r="Z335">
        <v>0</v>
      </c>
      <c r="AA335">
        <v>0</v>
      </c>
      <c r="AB335">
        <v>0</v>
      </c>
      <c r="AC335">
        <v>0</v>
      </c>
      <c r="AD335">
        <v>0</v>
      </c>
      <c r="AE335">
        <v>2</v>
      </c>
      <c r="AF335">
        <v>1</v>
      </c>
      <c r="AG335">
        <v>0</v>
      </c>
      <c r="AH335">
        <v>0</v>
      </c>
      <c r="AI335">
        <v>0</v>
      </c>
      <c r="AJ335">
        <v>0</v>
      </c>
      <c r="AK335">
        <v>0</v>
      </c>
      <c r="AL335">
        <v>0</v>
      </c>
      <c r="AM335">
        <v>0</v>
      </c>
      <c r="AN335">
        <v>0</v>
      </c>
    </row>
    <row r="336" spans="1:40" x14ac:dyDescent="0.25">
      <c r="A336" t="s">
        <v>4938</v>
      </c>
      <c r="B336" t="s">
        <v>4939</v>
      </c>
      <c r="F336" t="s">
        <v>302</v>
      </c>
      <c r="G336" t="s">
        <v>4940</v>
      </c>
      <c r="H336">
        <v>2005</v>
      </c>
      <c r="I336">
        <v>23</v>
      </c>
      <c r="J336">
        <v>11</v>
      </c>
      <c r="N336">
        <v>972</v>
      </c>
      <c r="O336">
        <v>980</v>
      </c>
      <c r="Q336" t="s">
        <v>4941</v>
      </c>
      <c r="T336">
        <v>3</v>
      </c>
      <c r="U336">
        <v>0.2</v>
      </c>
      <c r="V336">
        <v>0</v>
      </c>
      <c r="W336">
        <v>0</v>
      </c>
      <c r="X336">
        <v>0</v>
      </c>
      <c r="Y336">
        <v>0</v>
      </c>
      <c r="Z336">
        <v>0</v>
      </c>
      <c r="AA336">
        <v>1</v>
      </c>
      <c r="AB336">
        <v>0</v>
      </c>
      <c r="AC336">
        <v>0</v>
      </c>
      <c r="AD336">
        <v>0</v>
      </c>
      <c r="AE336">
        <v>0</v>
      </c>
      <c r="AF336">
        <v>0</v>
      </c>
      <c r="AG336">
        <v>0</v>
      </c>
      <c r="AH336">
        <v>0</v>
      </c>
      <c r="AI336">
        <v>0</v>
      </c>
      <c r="AJ336">
        <v>0</v>
      </c>
      <c r="AK336">
        <v>2</v>
      </c>
      <c r="AL336">
        <v>0</v>
      </c>
      <c r="AM336">
        <v>0</v>
      </c>
      <c r="AN336">
        <v>0</v>
      </c>
    </row>
    <row r="337" spans="1:40" x14ac:dyDescent="0.25">
      <c r="A337" t="s">
        <v>4942</v>
      </c>
      <c r="B337" t="s">
        <v>4943</v>
      </c>
      <c r="F337" t="s">
        <v>3349</v>
      </c>
      <c r="G337" t="s">
        <v>4944</v>
      </c>
      <c r="H337">
        <v>2005</v>
      </c>
      <c r="I337">
        <v>11</v>
      </c>
      <c r="J337">
        <v>1</v>
      </c>
      <c r="N337">
        <v>31</v>
      </c>
      <c r="O337">
        <v>43</v>
      </c>
      <c r="Q337" t="s">
        <v>4945</v>
      </c>
      <c r="T337">
        <v>3</v>
      </c>
      <c r="U337">
        <v>0.2</v>
      </c>
      <c r="V337">
        <v>0</v>
      </c>
      <c r="W337">
        <v>0</v>
      </c>
      <c r="X337">
        <v>0</v>
      </c>
      <c r="Y337">
        <v>0</v>
      </c>
      <c r="Z337">
        <v>0</v>
      </c>
      <c r="AA337">
        <v>1</v>
      </c>
      <c r="AB337">
        <v>1</v>
      </c>
      <c r="AC337">
        <v>1</v>
      </c>
      <c r="AD337">
        <v>0</v>
      </c>
      <c r="AE337">
        <v>0</v>
      </c>
      <c r="AF337">
        <v>0</v>
      </c>
      <c r="AG337">
        <v>0</v>
      </c>
      <c r="AH337">
        <v>0</v>
      </c>
      <c r="AI337">
        <v>0</v>
      </c>
      <c r="AJ337">
        <v>0</v>
      </c>
      <c r="AK337">
        <v>0</v>
      </c>
      <c r="AL337">
        <v>0</v>
      </c>
      <c r="AM337">
        <v>0</v>
      </c>
      <c r="AN337">
        <v>0</v>
      </c>
    </row>
    <row r="338" spans="1:40" x14ac:dyDescent="0.25">
      <c r="A338" t="s">
        <v>1226</v>
      </c>
      <c r="B338" t="s">
        <v>1228</v>
      </c>
      <c r="E338" t="s">
        <v>4946</v>
      </c>
      <c r="F338" t="s">
        <v>299</v>
      </c>
      <c r="G338">
        <v>2005</v>
      </c>
      <c r="H338">
        <v>2005</v>
      </c>
      <c r="I338">
        <v>3611</v>
      </c>
      <c r="N338">
        <v>12</v>
      </c>
      <c r="O338">
        <v>20</v>
      </c>
      <c r="R338" t="s">
        <v>4947</v>
      </c>
      <c r="S338" t="s">
        <v>4948</v>
      </c>
      <c r="T338">
        <v>3</v>
      </c>
      <c r="U338">
        <v>0.2</v>
      </c>
      <c r="V338">
        <v>0</v>
      </c>
      <c r="W338">
        <v>0</v>
      </c>
      <c r="X338">
        <v>0</v>
      </c>
      <c r="Y338">
        <v>0</v>
      </c>
      <c r="Z338">
        <v>0</v>
      </c>
      <c r="AA338">
        <v>0</v>
      </c>
      <c r="AB338">
        <v>0</v>
      </c>
      <c r="AC338">
        <v>0</v>
      </c>
      <c r="AD338">
        <v>0</v>
      </c>
      <c r="AE338">
        <v>0</v>
      </c>
      <c r="AF338">
        <v>0</v>
      </c>
      <c r="AG338">
        <v>0</v>
      </c>
      <c r="AH338">
        <v>1</v>
      </c>
      <c r="AI338">
        <v>1</v>
      </c>
      <c r="AJ338">
        <v>1</v>
      </c>
      <c r="AK338">
        <v>0</v>
      </c>
      <c r="AL338">
        <v>0</v>
      </c>
      <c r="AM338">
        <v>0</v>
      </c>
      <c r="AN338">
        <v>0</v>
      </c>
    </row>
    <row r="339" spans="1:40" x14ac:dyDescent="0.25">
      <c r="A339" t="s">
        <v>4949</v>
      </c>
      <c r="B339" t="s">
        <v>4950</v>
      </c>
      <c r="F339" t="s">
        <v>4951</v>
      </c>
      <c r="G339">
        <v>2005</v>
      </c>
      <c r="H339">
        <v>2005</v>
      </c>
      <c r="I339">
        <v>3801</v>
      </c>
      <c r="N339">
        <v>25</v>
      </c>
      <c r="O339">
        <v>32</v>
      </c>
      <c r="R339" t="s">
        <v>4952</v>
      </c>
      <c r="S339" t="s">
        <v>4953</v>
      </c>
      <c r="T339">
        <v>3</v>
      </c>
      <c r="U339">
        <v>0.2</v>
      </c>
      <c r="V339">
        <v>0</v>
      </c>
      <c r="W339">
        <v>0</v>
      </c>
      <c r="X339">
        <v>0</v>
      </c>
      <c r="Y339">
        <v>0</v>
      </c>
      <c r="Z339">
        <v>0</v>
      </c>
      <c r="AA339">
        <v>2</v>
      </c>
      <c r="AB339">
        <v>0</v>
      </c>
      <c r="AC339">
        <v>1</v>
      </c>
      <c r="AD339">
        <v>0</v>
      </c>
      <c r="AE339">
        <v>0</v>
      </c>
      <c r="AF339">
        <v>0</v>
      </c>
      <c r="AG339">
        <v>0</v>
      </c>
      <c r="AH339">
        <v>0</v>
      </c>
      <c r="AI339">
        <v>0</v>
      </c>
      <c r="AJ339">
        <v>0</v>
      </c>
      <c r="AK339">
        <v>0</v>
      </c>
      <c r="AL339">
        <v>0</v>
      </c>
      <c r="AM339">
        <v>0</v>
      </c>
      <c r="AN339">
        <v>0</v>
      </c>
    </row>
    <row r="340" spans="1:40" x14ac:dyDescent="0.25">
      <c r="A340" t="s">
        <v>4954</v>
      </c>
      <c r="B340" t="s">
        <v>4955</v>
      </c>
      <c r="F340" t="s">
        <v>343</v>
      </c>
      <c r="G340">
        <v>2005</v>
      </c>
      <c r="H340">
        <v>2005</v>
      </c>
      <c r="I340">
        <v>8</v>
      </c>
      <c r="J340" t="s">
        <v>2439</v>
      </c>
      <c r="N340">
        <v>72</v>
      </c>
      <c r="O340">
        <v>83</v>
      </c>
      <c r="Q340" t="s">
        <v>4956</v>
      </c>
      <c r="T340">
        <v>3</v>
      </c>
      <c r="U340">
        <v>0.2</v>
      </c>
      <c r="V340">
        <v>0</v>
      </c>
      <c r="W340">
        <v>0</v>
      </c>
      <c r="X340">
        <v>0</v>
      </c>
      <c r="Y340">
        <v>0</v>
      </c>
      <c r="Z340">
        <v>0</v>
      </c>
      <c r="AA340">
        <v>0</v>
      </c>
      <c r="AB340">
        <v>0</v>
      </c>
      <c r="AC340">
        <v>0</v>
      </c>
      <c r="AD340">
        <v>0</v>
      </c>
      <c r="AE340">
        <v>0</v>
      </c>
      <c r="AF340">
        <v>0</v>
      </c>
      <c r="AG340">
        <v>0</v>
      </c>
      <c r="AH340">
        <v>0</v>
      </c>
      <c r="AI340">
        <v>3</v>
      </c>
      <c r="AJ340">
        <v>0</v>
      </c>
      <c r="AK340">
        <v>0</v>
      </c>
      <c r="AL340">
        <v>0</v>
      </c>
      <c r="AM340">
        <v>0</v>
      </c>
      <c r="AN340">
        <v>0</v>
      </c>
    </row>
    <row r="341" spans="1:40" x14ac:dyDescent="0.25">
      <c r="A341" t="s">
        <v>4957</v>
      </c>
      <c r="B341" t="s">
        <v>4958</v>
      </c>
      <c r="E341" t="s">
        <v>3852</v>
      </c>
      <c r="F341" t="s">
        <v>344</v>
      </c>
      <c r="G341">
        <v>2005</v>
      </c>
      <c r="H341">
        <v>2005</v>
      </c>
      <c r="I341">
        <v>3663</v>
      </c>
      <c r="N341">
        <v>262</v>
      </c>
      <c r="O341">
        <v>268</v>
      </c>
      <c r="R341" t="s">
        <v>3853</v>
      </c>
      <c r="S341" t="s">
        <v>3854</v>
      </c>
      <c r="T341">
        <v>3</v>
      </c>
      <c r="U341">
        <v>0.2</v>
      </c>
      <c r="V341">
        <v>0</v>
      </c>
      <c r="W341">
        <v>0</v>
      </c>
      <c r="X341">
        <v>0</v>
      </c>
      <c r="Y341">
        <v>0</v>
      </c>
      <c r="Z341">
        <v>0</v>
      </c>
      <c r="AA341">
        <v>0</v>
      </c>
      <c r="AB341">
        <v>0</v>
      </c>
      <c r="AC341">
        <v>0</v>
      </c>
      <c r="AD341">
        <v>0</v>
      </c>
      <c r="AE341">
        <v>1</v>
      </c>
      <c r="AF341">
        <v>0</v>
      </c>
      <c r="AG341">
        <v>0</v>
      </c>
      <c r="AH341">
        <v>0</v>
      </c>
      <c r="AI341">
        <v>0</v>
      </c>
      <c r="AJ341">
        <v>2</v>
      </c>
      <c r="AK341">
        <v>0</v>
      </c>
      <c r="AL341">
        <v>0</v>
      </c>
      <c r="AM341">
        <v>0</v>
      </c>
      <c r="AN341">
        <v>0</v>
      </c>
    </row>
    <row r="342" spans="1:40" x14ac:dyDescent="0.25">
      <c r="A342" t="s">
        <v>4959</v>
      </c>
      <c r="B342" t="s">
        <v>4402</v>
      </c>
      <c r="E342" t="s">
        <v>4960</v>
      </c>
      <c r="F342" t="s">
        <v>4961</v>
      </c>
      <c r="G342">
        <v>2004</v>
      </c>
      <c r="H342">
        <v>2004</v>
      </c>
      <c r="I342">
        <v>3215</v>
      </c>
      <c r="N342">
        <v>833</v>
      </c>
      <c r="O342">
        <v>842</v>
      </c>
      <c r="R342" t="s">
        <v>4962</v>
      </c>
      <c r="S342" t="s">
        <v>4963</v>
      </c>
      <c r="T342">
        <v>3</v>
      </c>
      <c r="U342">
        <v>0.19</v>
      </c>
      <c r="V342">
        <v>0</v>
      </c>
      <c r="W342">
        <v>0</v>
      </c>
      <c r="X342">
        <v>0</v>
      </c>
      <c r="Y342">
        <v>0</v>
      </c>
      <c r="Z342">
        <v>2</v>
      </c>
      <c r="AA342">
        <v>1</v>
      </c>
      <c r="AB342">
        <v>0</v>
      </c>
      <c r="AC342">
        <v>0</v>
      </c>
      <c r="AD342">
        <v>0</v>
      </c>
      <c r="AE342">
        <v>0</v>
      </c>
      <c r="AF342">
        <v>0</v>
      </c>
      <c r="AG342">
        <v>0</v>
      </c>
      <c r="AH342">
        <v>0</v>
      </c>
      <c r="AI342">
        <v>0</v>
      </c>
      <c r="AJ342">
        <v>0</v>
      </c>
      <c r="AK342">
        <v>0</v>
      </c>
      <c r="AL342">
        <v>0</v>
      </c>
      <c r="AM342">
        <v>0</v>
      </c>
      <c r="AN342">
        <v>0</v>
      </c>
    </row>
    <row r="343" spans="1:40" x14ac:dyDescent="0.25">
      <c r="A343" t="s">
        <v>4964</v>
      </c>
      <c r="B343" t="s">
        <v>4965</v>
      </c>
      <c r="F343" t="s">
        <v>300</v>
      </c>
      <c r="G343" t="s">
        <v>4966</v>
      </c>
      <c r="H343">
        <v>2009</v>
      </c>
      <c r="I343">
        <v>31</v>
      </c>
      <c r="J343">
        <v>5</v>
      </c>
      <c r="N343">
        <v>900</v>
      </c>
      <c r="O343">
        <v>918</v>
      </c>
      <c r="Q343" t="s">
        <v>4967</v>
      </c>
      <c r="T343">
        <v>4</v>
      </c>
      <c r="U343">
        <v>0.36</v>
      </c>
      <c r="V343">
        <v>0</v>
      </c>
      <c r="W343">
        <v>0</v>
      </c>
      <c r="X343">
        <v>0</v>
      </c>
      <c r="Y343">
        <v>0</v>
      </c>
      <c r="Z343">
        <v>0</v>
      </c>
      <c r="AA343">
        <v>0</v>
      </c>
      <c r="AB343">
        <v>0</v>
      </c>
      <c r="AC343">
        <v>0</v>
      </c>
      <c r="AD343">
        <v>1</v>
      </c>
      <c r="AE343">
        <v>0</v>
      </c>
      <c r="AF343">
        <v>2</v>
      </c>
      <c r="AG343">
        <v>0</v>
      </c>
      <c r="AH343">
        <v>0</v>
      </c>
      <c r="AI343">
        <v>0</v>
      </c>
      <c r="AJ343">
        <v>0</v>
      </c>
      <c r="AK343">
        <v>0</v>
      </c>
      <c r="AL343">
        <v>1</v>
      </c>
      <c r="AM343">
        <v>0</v>
      </c>
      <c r="AN343">
        <v>0</v>
      </c>
    </row>
    <row r="344" spans="1:40" x14ac:dyDescent="0.25">
      <c r="A344" t="s">
        <v>4968</v>
      </c>
      <c r="B344" t="s">
        <v>4969</v>
      </c>
      <c r="F344" t="s">
        <v>302</v>
      </c>
      <c r="G344" t="s">
        <v>4970</v>
      </c>
      <c r="H344">
        <v>2008</v>
      </c>
      <c r="I344">
        <v>26</v>
      </c>
      <c r="J344">
        <v>6</v>
      </c>
      <c r="N344">
        <v>776</v>
      </c>
      <c r="O344">
        <v>787</v>
      </c>
      <c r="Q344" t="s">
        <v>4971</v>
      </c>
      <c r="T344">
        <v>4</v>
      </c>
      <c r="U344">
        <v>0.33</v>
      </c>
      <c r="V344">
        <v>0</v>
      </c>
      <c r="W344">
        <v>0</v>
      </c>
      <c r="X344">
        <v>0</v>
      </c>
      <c r="Y344">
        <v>0</v>
      </c>
      <c r="Z344">
        <v>0</v>
      </c>
      <c r="AA344">
        <v>0</v>
      </c>
      <c r="AB344">
        <v>0</v>
      </c>
      <c r="AC344">
        <v>0</v>
      </c>
      <c r="AD344">
        <v>1</v>
      </c>
      <c r="AE344">
        <v>0</v>
      </c>
      <c r="AF344">
        <v>1</v>
      </c>
      <c r="AG344">
        <v>0</v>
      </c>
      <c r="AH344">
        <v>0</v>
      </c>
      <c r="AI344">
        <v>0</v>
      </c>
      <c r="AJ344">
        <v>0</v>
      </c>
      <c r="AK344">
        <v>2</v>
      </c>
      <c r="AL344">
        <v>0</v>
      </c>
      <c r="AM344">
        <v>0</v>
      </c>
      <c r="AN344">
        <v>0</v>
      </c>
    </row>
    <row r="345" spans="1:40" x14ac:dyDescent="0.25">
      <c r="A345" t="s">
        <v>4972</v>
      </c>
      <c r="B345" t="s">
        <v>4973</v>
      </c>
      <c r="F345" t="s">
        <v>302</v>
      </c>
      <c r="G345" t="s">
        <v>2709</v>
      </c>
      <c r="H345">
        <v>2008</v>
      </c>
      <c r="I345">
        <v>26</v>
      </c>
      <c r="J345">
        <v>1</v>
      </c>
      <c r="M345" t="s">
        <v>1948</v>
      </c>
      <c r="N345">
        <v>5</v>
      </c>
      <c r="O345">
        <v>14</v>
      </c>
      <c r="Q345" t="s">
        <v>4974</v>
      </c>
      <c r="T345">
        <v>4</v>
      </c>
      <c r="U345">
        <v>0.33</v>
      </c>
      <c r="V345">
        <v>0</v>
      </c>
      <c r="W345">
        <v>0</v>
      </c>
      <c r="X345">
        <v>0</v>
      </c>
      <c r="Y345">
        <v>0</v>
      </c>
      <c r="Z345">
        <v>0</v>
      </c>
      <c r="AA345">
        <v>0</v>
      </c>
      <c r="AB345">
        <v>0</v>
      </c>
      <c r="AC345">
        <v>0</v>
      </c>
      <c r="AD345">
        <v>1</v>
      </c>
      <c r="AE345">
        <v>0</v>
      </c>
      <c r="AF345">
        <v>1</v>
      </c>
      <c r="AG345">
        <v>1</v>
      </c>
      <c r="AH345">
        <v>0</v>
      </c>
      <c r="AI345">
        <v>0</v>
      </c>
      <c r="AJ345">
        <v>1</v>
      </c>
      <c r="AK345">
        <v>0</v>
      </c>
      <c r="AL345">
        <v>0</v>
      </c>
      <c r="AM345">
        <v>0</v>
      </c>
      <c r="AN345">
        <v>0</v>
      </c>
    </row>
    <row r="346" spans="1:40" x14ac:dyDescent="0.25">
      <c r="A346" t="s">
        <v>4381</v>
      </c>
      <c r="B346" t="s">
        <v>4975</v>
      </c>
      <c r="F346" t="s">
        <v>302</v>
      </c>
      <c r="G346" t="s">
        <v>4976</v>
      </c>
      <c r="H346">
        <v>2007</v>
      </c>
      <c r="I346">
        <v>25</v>
      </c>
      <c r="J346">
        <v>2</v>
      </c>
      <c r="N346">
        <v>148</v>
      </c>
      <c r="O346">
        <v>154</v>
      </c>
      <c r="Q346" t="s">
        <v>4977</v>
      </c>
      <c r="R346" t="s">
        <v>4385</v>
      </c>
      <c r="S346" t="s">
        <v>4386</v>
      </c>
      <c r="T346">
        <v>4</v>
      </c>
      <c r="U346">
        <v>0.31</v>
      </c>
      <c r="V346">
        <v>0</v>
      </c>
      <c r="W346">
        <v>0</v>
      </c>
      <c r="X346">
        <v>0</v>
      </c>
      <c r="Y346">
        <v>0</v>
      </c>
      <c r="Z346">
        <v>0</v>
      </c>
      <c r="AA346">
        <v>0</v>
      </c>
      <c r="AB346">
        <v>0</v>
      </c>
      <c r="AC346">
        <v>0</v>
      </c>
      <c r="AD346">
        <v>0</v>
      </c>
      <c r="AE346">
        <v>0</v>
      </c>
      <c r="AF346">
        <v>0</v>
      </c>
      <c r="AG346">
        <v>0</v>
      </c>
      <c r="AH346">
        <v>0</v>
      </c>
      <c r="AI346">
        <v>1</v>
      </c>
      <c r="AJ346">
        <v>2</v>
      </c>
      <c r="AK346">
        <v>0</v>
      </c>
      <c r="AL346">
        <v>0</v>
      </c>
      <c r="AM346">
        <v>1</v>
      </c>
      <c r="AN346">
        <v>0</v>
      </c>
    </row>
    <row r="347" spans="1:40" x14ac:dyDescent="0.25">
      <c r="A347" t="s">
        <v>4978</v>
      </c>
      <c r="B347" t="s">
        <v>4979</v>
      </c>
      <c r="F347" t="s">
        <v>343</v>
      </c>
      <c r="G347" t="s">
        <v>2420</v>
      </c>
      <c r="H347">
        <v>2007</v>
      </c>
      <c r="I347">
        <v>10</v>
      </c>
      <c r="J347">
        <v>1</v>
      </c>
      <c r="N347">
        <v>15</v>
      </c>
      <c r="O347">
        <v>31</v>
      </c>
      <c r="Q347" t="s">
        <v>4980</v>
      </c>
      <c r="T347">
        <v>4</v>
      </c>
      <c r="U347">
        <v>0.31</v>
      </c>
      <c r="V347">
        <v>0</v>
      </c>
      <c r="W347">
        <v>0</v>
      </c>
      <c r="X347">
        <v>0</v>
      </c>
      <c r="Y347">
        <v>0</v>
      </c>
      <c r="Z347">
        <v>0</v>
      </c>
      <c r="AA347">
        <v>0</v>
      </c>
      <c r="AB347">
        <v>0</v>
      </c>
      <c r="AC347">
        <v>2</v>
      </c>
      <c r="AD347">
        <v>2</v>
      </c>
      <c r="AE347">
        <v>0</v>
      </c>
      <c r="AF347">
        <v>0</v>
      </c>
      <c r="AG347">
        <v>0</v>
      </c>
      <c r="AH347">
        <v>0</v>
      </c>
      <c r="AI347">
        <v>0</v>
      </c>
      <c r="AJ347">
        <v>0</v>
      </c>
      <c r="AK347">
        <v>0</v>
      </c>
      <c r="AL347">
        <v>0</v>
      </c>
      <c r="AM347">
        <v>0</v>
      </c>
      <c r="AN347">
        <v>0</v>
      </c>
    </row>
    <row r="348" spans="1:40" x14ac:dyDescent="0.25">
      <c r="A348" t="s">
        <v>4981</v>
      </c>
      <c r="B348" t="s">
        <v>4982</v>
      </c>
      <c r="E348" t="s">
        <v>4983</v>
      </c>
      <c r="F348" t="s">
        <v>4984</v>
      </c>
      <c r="G348">
        <v>2005</v>
      </c>
      <c r="H348">
        <v>2005</v>
      </c>
      <c r="I348">
        <v>3497</v>
      </c>
      <c r="N348">
        <v>836</v>
      </c>
      <c r="O348">
        <v>841</v>
      </c>
      <c r="R348" t="s">
        <v>4985</v>
      </c>
      <c r="S348" t="s">
        <v>4986</v>
      </c>
      <c r="T348">
        <v>4</v>
      </c>
      <c r="U348">
        <v>0.27</v>
      </c>
      <c r="V348">
        <v>0</v>
      </c>
      <c r="W348">
        <v>0</v>
      </c>
      <c r="X348">
        <v>0</v>
      </c>
      <c r="Y348">
        <v>0</v>
      </c>
      <c r="Z348">
        <v>0</v>
      </c>
      <c r="AA348">
        <v>2</v>
      </c>
      <c r="AB348">
        <v>0</v>
      </c>
      <c r="AC348">
        <v>1</v>
      </c>
      <c r="AD348">
        <v>0</v>
      </c>
      <c r="AE348">
        <v>0</v>
      </c>
      <c r="AF348">
        <v>1</v>
      </c>
      <c r="AG348">
        <v>0</v>
      </c>
      <c r="AH348">
        <v>0</v>
      </c>
      <c r="AI348">
        <v>0</v>
      </c>
      <c r="AJ348">
        <v>0</v>
      </c>
      <c r="AK348">
        <v>0</v>
      </c>
      <c r="AL348">
        <v>0</v>
      </c>
      <c r="AM348">
        <v>0</v>
      </c>
      <c r="AN348">
        <v>0</v>
      </c>
    </row>
    <row r="349" spans="1:40" x14ac:dyDescent="0.25">
      <c r="A349" t="s">
        <v>4987</v>
      </c>
      <c r="B349" t="s">
        <v>4988</v>
      </c>
      <c r="E349" t="s">
        <v>4810</v>
      </c>
      <c r="F349" t="s">
        <v>4811</v>
      </c>
      <c r="G349">
        <v>2005</v>
      </c>
      <c r="H349">
        <v>2005</v>
      </c>
      <c r="I349">
        <v>3635</v>
      </c>
      <c r="N349">
        <v>1</v>
      </c>
      <c r="O349">
        <v>21</v>
      </c>
      <c r="R349" t="s">
        <v>4812</v>
      </c>
      <c r="S349" t="s">
        <v>4813</v>
      </c>
      <c r="T349">
        <v>4</v>
      </c>
      <c r="U349">
        <v>0.27</v>
      </c>
      <c r="V349">
        <v>0</v>
      </c>
      <c r="W349">
        <v>0</v>
      </c>
      <c r="X349">
        <v>0</v>
      </c>
      <c r="Y349">
        <v>0</v>
      </c>
      <c r="Z349">
        <v>0</v>
      </c>
      <c r="AA349">
        <v>0</v>
      </c>
      <c r="AB349">
        <v>0</v>
      </c>
      <c r="AC349">
        <v>0</v>
      </c>
      <c r="AD349">
        <v>1</v>
      </c>
      <c r="AE349">
        <v>1</v>
      </c>
      <c r="AF349">
        <v>0</v>
      </c>
      <c r="AG349">
        <v>0</v>
      </c>
      <c r="AH349">
        <v>0</v>
      </c>
      <c r="AI349">
        <v>0</v>
      </c>
      <c r="AJ349">
        <v>0</v>
      </c>
      <c r="AK349">
        <v>1</v>
      </c>
      <c r="AL349">
        <v>1</v>
      </c>
      <c r="AM349">
        <v>0</v>
      </c>
      <c r="AN349">
        <v>0</v>
      </c>
    </row>
    <row r="350" spans="1:40" x14ac:dyDescent="0.25">
      <c r="A350" t="s">
        <v>4989</v>
      </c>
      <c r="B350" t="s">
        <v>4990</v>
      </c>
      <c r="F350" t="s">
        <v>315</v>
      </c>
      <c r="G350" t="s">
        <v>4991</v>
      </c>
      <c r="H350">
        <v>2003</v>
      </c>
      <c r="I350">
        <v>14</v>
      </c>
      <c r="J350">
        <v>1</v>
      </c>
      <c r="N350">
        <v>15</v>
      </c>
      <c r="O350">
        <v>25</v>
      </c>
      <c r="Q350" t="s">
        <v>4992</v>
      </c>
      <c r="T350">
        <v>4</v>
      </c>
      <c r="U350">
        <v>0.24</v>
      </c>
      <c r="V350">
        <v>0</v>
      </c>
      <c r="W350">
        <v>0</v>
      </c>
      <c r="X350">
        <v>0</v>
      </c>
      <c r="Y350">
        <v>0</v>
      </c>
      <c r="Z350">
        <v>1</v>
      </c>
      <c r="AA350">
        <v>0</v>
      </c>
      <c r="AB350">
        <v>0</v>
      </c>
      <c r="AC350">
        <v>1</v>
      </c>
      <c r="AD350">
        <v>1</v>
      </c>
      <c r="AE350">
        <v>1</v>
      </c>
      <c r="AF350">
        <v>0</v>
      </c>
      <c r="AG350">
        <v>0</v>
      </c>
      <c r="AH350">
        <v>0</v>
      </c>
      <c r="AI350">
        <v>0</v>
      </c>
      <c r="AJ350">
        <v>0</v>
      </c>
      <c r="AK350">
        <v>0</v>
      </c>
      <c r="AL350">
        <v>0</v>
      </c>
      <c r="AM350">
        <v>0</v>
      </c>
      <c r="AN350">
        <v>0</v>
      </c>
    </row>
    <row r="351" spans="1:40" x14ac:dyDescent="0.25">
      <c r="A351" t="s">
        <v>4993</v>
      </c>
      <c r="B351" t="s">
        <v>4994</v>
      </c>
      <c r="E351" t="s">
        <v>4995</v>
      </c>
      <c r="F351" t="s">
        <v>4996</v>
      </c>
      <c r="G351">
        <v>2003</v>
      </c>
      <c r="H351">
        <v>2003</v>
      </c>
      <c r="I351">
        <v>2903</v>
      </c>
      <c r="N351">
        <v>653</v>
      </c>
      <c r="O351">
        <v>665</v>
      </c>
      <c r="R351" t="s">
        <v>4997</v>
      </c>
      <c r="S351" t="s">
        <v>4998</v>
      </c>
      <c r="T351">
        <v>4</v>
      </c>
      <c r="U351">
        <v>0.24</v>
      </c>
      <c r="V351">
        <v>0</v>
      </c>
      <c r="W351">
        <v>0</v>
      </c>
      <c r="X351">
        <v>0</v>
      </c>
      <c r="Y351">
        <v>1</v>
      </c>
      <c r="Z351">
        <v>2</v>
      </c>
      <c r="AA351">
        <v>0</v>
      </c>
      <c r="AB351">
        <v>0</v>
      </c>
      <c r="AC351">
        <v>1</v>
      </c>
      <c r="AD351">
        <v>0</v>
      </c>
      <c r="AE351">
        <v>0</v>
      </c>
      <c r="AF351">
        <v>0</v>
      </c>
      <c r="AG351">
        <v>0</v>
      </c>
      <c r="AH351">
        <v>0</v>
      </c>
      <c r="AI351">
        <v>0</v>
      </c>
      <c r="AJ351">
        <v>0</v>
      </c>
      <c r="AK351">
        <v>0</v>
      </c>
      <c r="AL351">
        <v>0</v>
      </c>
      <c r="AM351">
        <v>0</v>
      </c>
      <c r="AN351">
        <v>0</v>
      </c>
    </row>
    <row r="352" spans="1:40" x14ac:dyDescent="0.25">
      <c r="A352" t="s">
        <v>4999</v>
      </c>
      <c r="B352" t="s">
        <v>5000</v>
      </c>
      <c r="E352" t="s">
        <v>4675</v>
      </c>
      <c r="F352" t="s">
        <v>4676</v>
      </c>
      <c r="G352">
        <v>2003</v>
      </c>
      <c r="H352">
        <v>2003</v>
      </c>
      <c r="I352">
        <v>2821</v>
      </c>
      <c r="N352">
        <v>535</v>
      </c>
      <c r="O352">
        <v>549</v>
      </c>
      <c r="R352" t="s">
        <v>4677</v>
      </c>
      <c r="S352" t="s">
        <v>4678</v>
      </c>
      <c r="T352">
        <v>4</v>
      </c>
      <c r="U352">
        <v>0.24</v>
      </c>
      <c r="V352">
        <v>0</v>
      </c>
      <c r="W352">
        <v>0</v>
      </c>
      <c r="X352">
        <v>0</v>
      </c>
      <c r="Y352">
        <v>1</v>
      </c>
      <c r="Z352">
        <v>0</v>
      </c>
      <c r="AA352">
        <v>0</v>
      </c>
      <c r="AB352">
        <v>1</v>
      </c>
      <c r="AC352">
        <v>1</v>
      </c>
      <c r="AD352">
        <v>0</v>
      </c>
      <c r="AE352">
        <v>0</v>
      </c>
      <c r="AF352">
        <v>0</v>
      </c>
      <c r="AG352">
        <v>0</v>
      </c>
      <c r="AH352">
        <v>0</v>
      </c>
      <c r="AI352">
        <v>0</v>
      </c>
      <c r="AJ352">
        <v>1</v>
      </c>
      <c r="AK352">
        <v>0</v>
      </c>
      <c r="AL352">
        <v>0</v>
      </c>
      <c r="AM352">
        <v>0</v>
      </c>
      <c r="AN352">
        <v>0</v>
      </c>
    </row>
    <row r="353" spans="1:40" x14ac:dyDescent="0.25">
      <c r="A353" t="s">
        <v>5001</v>
      </c>
      <c r="B353" t="s">
        <v>5002</v>
      </c>
      <c r="E353" t="s">
        <v>5003</v>
      </c>
      <c r="F353" t="s">
        <v>5004</v>
      </c>
      <c r="G353">
        <v>2003</v>
      </c>
      <c r="H353">
        <v>2003</v>
      </c>
      <c r="I353">
        <v>2709</v>
      </c>
      <c r="N353">
        <v>106</v>
      </c>
      <c r="O353">
        <v>114</v>
      </c>
      <c r="R353" t="s">
        <v>5005</v>
      </c>
      <c r="S353" t="s">
        <v>5006</v>
      </c>
      <c r="T353">
        <v>4</v>
      </c>
      <c r="U353">
        <v>0.24</v>
      </c>
      <c r="V353">
        <v>0</v>
      </c>
      <c r="W353">
        <v>0</v>
      </c>
      <c r="X353">
        <v>0</v>
      </c>
      <c r="Y353">
        <v>1</v>
      </c>
      <c r="Z353">
        <v>1</v>
      </c>
      <c r="AA353">
        <v>0</v>
      </c>
      <c r="AB353">
        <v>1</v>
      </c>
      <c r="AC353">
        <v>1</v>
      </c>
      <c r="AD353">
        <v>0</v>
      </c>
      <c r="AE353">
        <v>0</v>
      </c>
      <c r="AF353">
        <v>0</v>
      </c>
      <c r="AG353">
        <v>0</v>
      </c>
      <c r="AH353">
        <v>0</v>
      </c>
      <c r="AI353">
        <v>0</v>
      </c>
      <c r="AJ353">
        <v>0</v>
      </c>
      <c r="AK353">
        <v>0</v>
      </c>
      <c r="AL353">
        <v>0</v>
      </c>
      <c r="AM353">
        <v>0</v>
      </c>
      <c r="AN353">
        <v>0</v>
      </c>
    </row>
    <row r="354" spans="1:40" x14ac:dyDescent="0.25">
      <c r="A354" t="s">
        <v>5007</v>
      </c>
      <c r="B354" t="s">
        <v>2976</v>
      </c>
      <c r="E354" t="s">
        <v>5008</v>
      </c>
      <c r="F354" t="s">
        <v>5009</v>
      </c>
      <c r="G354">
        <v>2002</v>
      </c>
      <c r="H354">
        <v>2002</v>
      </c>
      <c r="I354">
        <v>2525</v>
      </c>
      <c r="N354">
        <v>16</v>
      </c>
      <c r="O354">
        <v>26</v>
      </c>
      <c r="R354" t="s">
        <v>5010</v>
      </c>
      <c r="S354" t="s">
        <v>5011</v>
      </c>
      <c r="T354">
        <v>4</v>
      </c>
      <c r="U354">
        <v>0.22</v>
      </c>
      <c r="V354">
        <v>0</v>
      </c>
      <c r="W354">
        <v>0</v>
      </c>
      <c r="X354">
        <v>0</v>
      </c>
      <c r="Y354">
        <v>1</v>
      </c>
      <c r="Z354">
        <v>0</v>
      </c>
      <c r="AA354">
        <v>1</v>
      </c>
      <c r="AB354">
        <v>0</v>
      </c>
      <c r="AC354">
        <v>0</v>
      </c>
      <c r="AD354">
        <v>0</v>
      </c>
      <c r="AE354">
        <v>0</v>
      </c>
      <c r="AF354">
        <v>0</v>
      </c>
      <c r="AG354">
        <v>1</v>
      </c>
      <c r="AH354">
        <v>0</v>
      </c>
      <c r="AI354">
        <v>1</v>
      </c>
      <c r="AJ354">
        <v>0</v>
      </c>
      <c r="AK354">
        <v>0</v>
      </c>
      <c r="AL354">
        <v>0</v>
      </c>
      <c r="AM354">
        <v>0</v>
      </c>
      <c r="AN354">
        <v>0</v>
      </c>
    </row>
    <row r="355" spans="1:40" x14ac:dyDescent="0.25">
      <c r="A355" t="s">
        <v>5012</v>
      </c>
      <c r="B355" t="s">
        <v>5013</v>
      </c>
      <c r="E355" t="s">
        <v>5014</v>
      </c>
      <c r="F355" t="s">
        <v>5015</v>
      </c>
      <c r="G355">
        <v>2002</v>
      </c>
      <c r="H355">
        <v>2002</v>
      </c>
      <c r="I355">
        <v>2292</v>
      </c>
      <c r="N355">
        <v>148</v>
      </c>
      <c r="O355">
        <v>174</v>
      </c>
      <c r="R355" t="s">
        <v>5016</v>
      </c>
      <c r="S355" t="s">
        <v>5017</v>
      </c>
      <c r="T355">
        <v>4</v>
      </c>
      <c r="U355">
        <v>0.22</v>
      </c>
      <c r="V355">
        <v>0</v>
      </c>
      <c r="W355">
        <v>0</v>
      </c>
      <c r="X355">
        <v>0</v>
      </c>
      <c r="Y355">
        <v>0</v>
      </c>
      <c r="Z355">
        <v>0</v>
      </c>
      <c r="AA355">
        <v>0</v>
      </c>
      <c r="AB355">
        <v>1</v>
      </c>
      <c r="AC355">
        <v>0</v>
      </c>
      <c r="AD355">
        <v>0</v>
      </c>
      <c r="AE355">
        <v>0</v>
      </c>
      <c r="AF355">
        <v>0</v>
      </c>
      <c r="AG355">
        <v>0</v>
      </c>
      <c r="AH355">
        <v>0</v>
      </c>
      <c r="AI355">
        <v>0</v>
      </c>
      <c r="AJ355">
        <v>2</v>
      </c>
      <c r="AK355">
        <v>1</v>
      </c>
      <c r="AL355">
        <v>0</v>
      </c>
      <c r="AM355">
        <v>0</v>
      </c>
      <c r="AN355">
        <v>0</v>
      </c>
    </row>
    <row r="356" spans="1:40" x14ac:dyDescent="0.25">
      <c r="A356" t="s">
        <v>5018</v>
      </c>
      <c r="B356" t="s">
        <v>5019</v>
      </c>
      <c r="F356" t="s">
        <v>333</v>
      </c>
      <c r="G356" t="s">
        <v>2574</v>
      </c>
      <c r="H356">
        <v>2001</v>
      </c>
      <c r="I356">
        <v>15</v>
      </c>
      <c r="J356">
        <v>2</v>
      </c>
      <c r="N356">
        <v>241</v>
      </c>
      <c r="O356">
        <v>253</v>
      </c>
      <c r="Q356" t="s">
        <v>5020</v>
      </c>
      <c r="T356">
        <v>4</v>
      </c>
      <c r="U356">
        <v>0.21</v>
      </c>
      <c r="V356">
        <v>0</v>
      </c>
      <c r="W356">
        <v>0</v>
      </c>
      <c r="X356">
        <v>1</v>
      </c>
      <c r="Y356">
        <v>0</v>
      </c>
      <c r="Z356">
        <v>0</v>
      </c>
      <c r="AA356">
        <v>1</v>
      </c>
      <c r="AB356">
        <v>1</v>
      </c>
      <c r="AC356">
        <v>0</v>
      </c>
      <c r="AD356">
        <v>1</v>
      </c>
      <c r="AE356">
        <v>0</v>
      </c>
      <c r="AF356">
        <v>0</v>
      </c>
      <c r="AG356">
        <v>0</v>
      </c>
      <c r="AH356">
        <v>0</v>
      </c>
      <c r="AI356">
        <v>0</v>
      </c>
      <c r="AJ356">
        <v>0</v>
      </c>
      <c r="AK356">
        <v>0</v>
      </c>
      <c r="AL356">
        <v>0</v>
      </c>
      <c r="AM356">
        <v>0</v>
      </c>
      <c r="AN356">
        <v>0</v>
      </c>
    </row>
  </sheetData>
  <autoFilter ref="A28:AN356" xr:uid="{00000000-0009-0000-0000-000012000000}"/>
  <pageMargins left="0.75" right="0.75" top="1" bottom="1" header="0.51180555555555496" footer="0.51180555555555496"/>
  <pageSetup firstPageNumber="0" orientation="portrait" horizontalDpi="300" verticalDpi="300"/>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C55A11"/>
  </sheetPr>
  <dimension ref="A1:M199"/>
  <sheetViews>
    <sheetView topLeftCell="C1" zoomScale="75" zoomScaleNormal="75" workbookViewId="0">
      <selection activeCell="G34" sqref="G34"/>
    </sheetView>
  </sheetViews>
  <sheetFormatPr baseColWidth="10" defaultColWidth="9.140625" defaultRowHeight="15" x14ac:dyDescent="0.25"/>
  <cols>
    <col min="1" max="12" width="23.5703125" customWidth="1"/>
    <col min="13" max="1025" width="10.5703125" customWidth="1"/>
  </cols>
  <sheetData>
    <row r="1" spans="1:13" x14ac:dyDescent="0.25">
      <c r="A1" t="s">
        <v>5021</v>
      </c>
      <c r="B1" t="s">
        <v>5022</v>
      </c>
      <c r="C1" t="s">
        <v>5023</v>
      </c>
      <c r="D1" t="s">
        <v>5024</v>
      </c>
      <c r="E1" t="s">
        <v>5025</v>
      </c>
      <c r="F1" t="s">
        <v>5026</v>
      </c>
      <c r="G1" t="s">
        <v>5027</v>
      </c>
      <c r="H1" t="s">
        <v>5028</v>
      </c>
      <c r="I1" t="s">
        <v>5029</v>
      </c>
      <c r="J1" t="s">
        <v>5030</v>
      </c>
      <c r="K1" t="s">
        <v>5031</v>
      </c>
      <c r="L1" t="s">
        <v>5032</v>
      </c>
      <c r="M1" t="s">
        <v>5033</v>
      </c>
    </row>
    <row r="2" spans="1:13" ht="13.5" customHeight="1" x14ac:dyDescent="0.25">
      <c r="A2" s="32" t="s">
        <v>350</v>
      </c>
      <c r="B2" s="32" t="s">
        <v>565</v>
      </c>
      <c r="C2" s="32" t="s">
        <v>754</v>
      </c>
      <c r="D2" s="32" t="s">
        <v>880</v>
      </c>
      <c r="E2" s="32"/>
      <c r="F2" s="32"/>
      <c r="G2" s="32"/>
      <c r="M2" s="49">
        <v>55</v>
      </c>
    </row>
    <row r="3" spans="1:13" ht="13.5" customHeight="1" x14ac:dyDescent="0.25">
      <c r="A3" s="32" t="s">
        <v>352</v>
      </c>
      <c r="B3" s="32" t="s">
        <v>567</v>
      </c>
      <c r="C3" s="32" t="s">
        <v>755</v>
      </c>
      <c r="D3" s="32" t="s">
        <v>881</v>
      </c>
      <c r="E3" s="32"/>
      <c r="F3" s="32"/>
      <c r="G3" s="32"/>
      <c r="M3" s="49">
        <v>3</v>
      </c>
    </row>
    <row r="4" spans="1:13" ht="13.5" customHeight="1" x14ac:dyDescent="0.25">
      <c r="A4" s="32" t="s">
        <v>354</v>
      </c>
      <c r="B4" s="32" t="s">
        <v>569</v>
      </c>
      <c r="C4" s="32"/>
      <c r="D4" s="32"/>
      <c r="E4" s="32"/>
      <c r="F4" s="32"/>
      <c r="G4" s="32"/>
      <c r="M4" s="49">
        <v>25</v>
      </c>
    </row>
    <row r="5" spans="1:13" ht="13.5" customHeight="1" x14ac:dyDescent="0.25">
      <c r="A5" s="32" t="s">
        <v>356</v>
      </c>
      <c r="B5" s="32" t="s">
        <v>542</v>
      </c>
      <c r="C5" s="32"/>
      <c r="D5" s="32"/>
      <c r="E5" s="32"/>
      <c r="F5" s="32"/>
      <c r="G5" s="32"/>
      <c r="M5" s="49">
        <v>6</v>
      </c>
    </row>
    <row r="6" spans="1:13" ht="13.5" customHeight="1" x14ac:dyDescent="0.25">
      <c r="A6" s="32" t="s">
        <v>358</v>
      </c>
      <c r="B6" s="32" t="s">
        <v>572</v>
      </c>
      <c r="C6" s="32" t="s">
        <v>756</v>
      </c>
      <c r="D6" s="32"/>
      <c r="E6" s="32"/>
      <c r="F6" s="32"/>
      <c r="G6" s="32"/>
      <c r="M6" s="49">
        <v>2</v>
      </c>
    </row>
    <row r="7" spans="1:13" ht="13.5" customHeight="1" x14ac:dyDescent="0.25">
      <c r="A7" s="32" t="s">
        <v>360</v>
      </c>
      <c r="B7" s="32" t="s">
        <v>574</v>
      </c>
      <c r="C7" s="32"/>
      <c r="D7" s="32"/>
      <c r="E7" s="32"/>
      <c r="F7" s="32"/>
      <c r="G7" s="32"/>
      <c r="M7" s="49">
        <v>2</v>
      </c>
    </row>
    <row r="8" spans="1:13" ht="13.5" customHeight="1" x14ac:dyDescent="0.25">
      <c r="A8" s="32" t="s">
        <v>362</v>
      </c>
      <c r="B8" s="32" t="s">
        <v>576</v>
      </c>
      <c r="C8" s="32"/>
      <c r="D8" s="32"/>
      <c r="E8" s="32"/>
      <c r="F8" s="32"/>
      <c r="G8" s="32"/>
      <c r="M8" s="49">
        <v>0</v>
      </c>
    </row>
    <row r="9" spans="1:13" ht="13.5" customHeight="1" x14ac:dyDescent="0.25">
      <c r="A9" s="32" t="s">
        <v>364</v>
      </c>
      <c r="B9" s="32" t="s">
        <v>578</v>
      </c>
      <c r="C9" s="32" t="s">
        <v>757</v>
      </c>
      <c r="D9" s="32" t="s">
        <v>5034</v>
      </c>
      <c r="E9" s="32" t="s">
        <v>553</v>
      </c>
      <c r="F9" s="32" t="s">
        <v>882</v>
      </c>
      <c r="G9" s="32"/>
      <c r="M9" s="49">
        <v>14</v>
      </c>
    </row>
    <row r="10" spans="1:13" ht="13.5" customHeight="1" x14ac:dyDescent="0.25">
      <c r="A10" s="32" t="s">
        <v>351</v>
      </c>
      <c r="B10" s="32" t="s">
        <v>580</v>
      </c>
      <c r="C10" s="32" t="s">
        <v>758</v>
      </c>
      <c r="D10" s="32" t="s">
        <v>5035</v>
      </c>
      <c r="E10" s="32"/>
      <c r="F10" s="32"/>
      <c r="G10" s="32"/>
      <c r="M10" s="49">
        <v>5623</v>
      </c>
    </row>
    <row r="11" spans="1:13" ht="13.5" customHeight="1" x14ac:dyDescent="0.25">
      <c r="A11" s="32" t="s">
        <v>367</v>
      </c>
      <c r="B11" s="32" t="s">
        <v>582</v>
      </c>
      <c r="C11" s="32" t="s">
        <v>759</v>
      </c>
      <c r="D11" s="32" t="s">
        <v>5036</v>
      </c>
      <c r="E11" s="32"/>
      <c r="F11" s="32"/>
      <c r="G11" s="32"/>
      <c r="M11" s="49">
        <v>20</v>
      </c>
    </row>
    <row r="12" spans="1:13" ht="13.5" customHeight="1" x14ac:dyDescent="0.25">
      <c r="A12" s="32" t="s">
        <v>369</v>
      </c>
      <c r="B12" s="32" t="s">
        <v>543</v>
      </c>
      <c r="C12" s="32" t="s">
        <v>549</v>
      </c>
      <c r="D12" s="32"/>
      <c r="E12" s="32"/>
      <c r="F12" s="32"/>
      <c r="G12" s="32"/>
      <c r="M12" s="49">
        <v>131</v>
      </c>
    </row>
    <row r="13" spans="1:13" ht="13.5" customHeight="1" x14ac:dyDescent="0.25">
      <c r="A13" s="32" t="s">
        <v>371</v>
      </c>
      <c r="B13" s="32" t="s">
        <v>585</v>
      </c>
      <c r="C13" s="32" t="s">
        <v>760</v>
      </c>
      <c r="D13" s="32"/>
      <c r="E13" s="32"/>
      <c r="F13" s="32"/>
      <c r="G13" s="32"/>
      <c r="M13" s="49">
        <v>10</v>
      </c>
    </row>
    <row r="14" spans="1:13" ht="13.5" customHeight="1" x14ac:dyDescent="0.25">
      <c r="A14" s="32" t="s">
        <v>372</v>
      </c>
      <c r="B14" s="32" t="s">
        <v>587</v>
      </c>
      <c r="C14" s="32"/>
      <c r="D14" s="32"/>
      <c r="E14" s="32"/>
      <c r="F14" s="32"/>
      <c r="G14" s="32"/>
      <c r="M14" s="49">
        <v>120</v>
      </c>
    </row>
    <row r="15" spans="1:13" ht="13.5" customHeight="1" x14ac:dyDescent="0.25">
      <c r="A15" s="32" t="s">
        <v>374</v>
      </c>
      <c r="B15" s="32" t="s">
        <v>589</v>
      </c>
      <c r="C15" s="32" t="s">
        <v>761</v>
      </c>
      <c r="D15" s="32" t="s">
        <v>551</v>
      </c>
      <c r="E15" s="32"/>
      <c r="F15" s="32"/>
      <c r="G15" s="32"/>
      <c r="M15" s="49">
        <v>33</v>
      </c>
    </row>
    <row r="16" spans="1:13" ht="13.5" customHeight="1" x14ac:dyDescent="0.25">
      <c r="A16" s="32" t="s">
        <v>376</v>
      </c>
      <c r="B16" s="32" t="s">
        <v>591</v>
      </c>
      <c r="C16" s="32"/>
      <c r="D16" s="32"/>
      <c r="E16" s="32"/>
      <c r="F16" s="32"/>
      <c r="G16" s="32"/>
      <c r="M16" s="49">
        <v>91</v>
      </c>
    </row>
    <row r="17" spans="1:13" ht="13.5" customHeight="1" x14ac:dyDescent="0.25">
      <c r="A17" s="32" t="s">
        <v>378</v>
      </c>
      <c r="B17" s="32" t="s">
        <v>593</v>
      </c>
      <c r="C17" s="32"/>
      <c r="D17" s="32"/>
      <c r="E17" s="32"/>
      <c r="F17" s="32"/>
      <c r="G17" s="32"/>
      <c r="M17" s="49">
        <v>13</v>
      </c>
    </row>
    <row r="18" spans="1:13" ht="13.5" customHeight="1" x14ac:dyDescent="0.25">
      <c r="A18" s="32" t="s">
        <v>355</v>
      </c>
      <c r="B18" s="32" t="s">
        <v>595</v>
      </c>
      <c r="C18" s="32" t="s">
        <v>762</v>
      </c>
      <c r="D18" s="32"/>
      <c r="E18" s="32"/>
      <c r="F18" s="32"/>
      <c r="G18" s="32"/>
      <c r="M18" s="49">
        <v>1184</v>
      </c>
    </row>
    <row r="19" spans="1:13" ht="13.5" customHeight="1" x14ac:dyDescent="0.25">
      <c r="A19" s="32" t="s">
        <v>381</v>
      </c>
      <c r="B19" s="32" t="s">
        <v>597</v>
      </c>
      <c r="C19" s="32"/>
      <c r="D19" s="32"/>
      <c r="E19" s="32"/>
      <c r="F19" s="32"/>
      <c r="G19" s="32"/>
      <c r="M19" s="49">
        <v>2</v>
      </c>
    </row>
    <row r="20" spans="1:13" ht="13.5" customHeight="1" x14ac:dyDescent="0.25">
      <c r="A20" s="32" t="s">
        <v>383</v>
      </c>
      <c r="B20" s="32" t="s">
        <v>599</v>
      </c>
      <c r="C20" s="32"/>
      <c r="D20" s="32"/>
      <c r="E20" s="32"/>
      <c r="F20" s="32"/>
      <c r="G20" s="32"/>
      <c r="M20" s="49">
        <v>14</v>
      </c>
    </row>
    <row r="21" spans="1:13" ht="13.5" customHeight="1" x14ac:dyDescent="0.25">
      <c r="A21" s="32" t="s">
        <v>385</v>
      </c>
      <c r="B21" s="32" t="s">
        <v>600</v>
      </c>
      <c r="C21" s="32" t="s">
        <v>763</v>
      </c>
      <c r="D21" s="32" t="s">
        <v>5037</v>
      </c>
      <c r="E21" s="32"/>
      <c r="F21" s="32"/>
      <c r="G21" s="32"/>
      <c r="M21" s="49">
        <v>20</v>
      </c>
    </row>
    <row r="22" spans="1:13" ht="13.5" customHeight="1" x14ac:dyDescent="0.25">
      <c r="A22" s="32" t="s">
        <v>387</v>
      </c>
      <c r="B22" s="32" t="s">
        <v>601</v>
      </c>
      <c r="C22" s="32" t="s">
        <v>764</v>
      </c>
      <c r="D22" s="32" t="s">
        <v>5038</v>
      </c>
      <c r="E22" s="32" t="s">
        <v>554</v>
      </c>
      <c r="F22" s="32" t="s">
        <v>883</v>
      </c>
      <c r="G22" s="32" t="s">
        <v>901</v>
      </c>
      <c r="H22" t="s">
        <v>911</v>
      </c>
      <c r="M22" s="49">
        <v>31</v>
      </c>
    </row>
    <row r="23" spans="1:13" ht="13.5" customHeight="1" x14ac:dyDescent="0.25">
      <c r="A23" s="32" t="s">
        <v>389</v>
      </c>
      <c r="B23" s="32" t="s">
        <v>602</v>
      </c>
      <c r="C23" s="32" t="s">
        <v>765</v>
      </c>
      <c r="D23" s="32"/>
      <c r="E23" s="32"/>
      <c r="F23" s="32"/>
      <c r="G23" s="32"/>
      <c r="M23" s="49">
        <v>95</v>
      </c>
    </row>
    <row r="24" spans="1:13" ht="13.5" customHeight="1" x14ac:dyDescent="0.25">
      <c r="A24" s="32" t="s">
        <v>391</v>
      </c>
      <c r="B24" s="32" t="s">
        <v>603</v>
      </c>
      <c r="C24" s="32"/>
      <c r="D24" s="32"/>
      <c r="E24" s="32"/>
      <c r="F24" s="32"/>
      <c r="G24" s="32"/>
      <c r="M24" s="49">
        <v>37</v>
      </c>
    </row>
    <row r="25" spans="1:13" ht="13.5" customHeight="1" x14ac:dyDescent="0.25">
      <c r="A25" s="32" t="s">
        <v>388</v>
      </c>
      <c r="B25" t="s">
        <v>604</v>
      </c>
      <c r="C25" t="s">
        <v>766</v>
      </c>
      <c r="D25" t="s">
        <v>5039</v>
      </c>
      <c r="E25" t="s">
        <v>555</v>
      </c>
      <c r="F25" s="32" t="s">
        <v>884</v>
      </c>
      <c r="G25" s="32" t="s">
        <v>902</v>
      </c>
      <c r="H25" t="s">
        <v>912</v>
      </c>
      <c r="I25" t="s">
        <v>917</v>
      </c>
      <c r="J25" t="s">
        <v>924</v>
      </c>
      <c r="K25" t="s">
        <v>925</v>
      </c>
      <c r="L25" t="s">
        <v>927</v>
      </c>
      <c r="M25" s="49">
        <v>20</v>
      </c>
    </row>
    <row r="26" spans="1:13" ht="13.5" customHeight="1" x14ac:dyDescent="0.25">
      <c r="A26" s="32" t="s">
        <v>394</v>
      </c>
      <c r="B26" t="s">
        <v>605</v>
      </c>
      <c r="C26" s="32" t="s">
        <v>767</v>
      </c>
      <c r="D26" s="32"/>
      <c r="E26" s="32"/>
      <c r="F26" s="32"/>
      <c r="G26" s="32"/>
      <c r="M26" s="49">
        <v>96</v>
      </c>
    </row>
    <row r="27" spans="1:13" ht="13.5" customHeight="1" x14ac:dyDescent="0.25">
      <c r="A27" s="32" t="s">
        <v>396</v>
      </c>
      <c r="B27" t="s">
        <v>606</v>
      </c>
      <c r="C27" s="32"/>
      <c r="D27" s="32"/>
      <c r="E27" s="32"/>
      <c r="F27" s="32"/>
      <c r="G27" s="32"/>
      <c r="M27" s="49">
        <v>16</v>
      </c>
    </row>
    <row r="28" spans="1:13" ht="13.5" customHeight="1" x14ac:dyDescent="0.25">
      <c r="A28" s="32" t="s">
        <v>398</v>
      </c>
      <c r="B28" t="s">
        <v>607</v>
      </c>
      <c r="C28" t="s">
        <v>768</v>
      </c>
      <c r="D28" t="s">
        <v>5040</v>
      </c>
      <c r="F28" s="32"/>
      <c r="G28" s="32"/>
      <c r="M28" s="49">
        <v>10</v>
      </c>
    </row>
    <row r="29" spans="1:13" ht="13.5" customHeight="1" x14ac:dyDescent="0.25">
      <c r="A29" s="32" t="s">
        <v>399</v>
      </c>
      <c r="B29" t="s">
        <v>608</v>
      </c>
      <c r="C29" t="s">
        <v>492</v>
      </c>
      <c r="D29" s="32"/>
      <c r="E29" s="32"/>
      <c r="F29" s="32"/>
      <c r="G29" s="32"/>
      <c r="M29" s="49">
        <v>21</v>
      </c>
    </row>
    <row r="30" spans="1:13" ht="13.5" customHeight="1" x14ac:dyDescent="0.25">
      <c r="A30" s="32" t="s">
        <v>369</v>
      </c>
      <c r="B30" s="32" t="s">
        <v>543</v>
      </c>
      <c r="C30" s="32" t="s">
        <v>549</v>
      </c>
      <c r="D30" s="32"/>
      <c r="E30" s="32"/>
      <c r="F30" s="32"/>
      <c r="G30" s="32"/>
      <c r="M30" s="49">
        <v>131</v>
      </c>
    </row>
    <row r="31" spans="1:13" ht="13.5" customHeight="1" x14ac:dyDescent="0.25">
      <c r="A31" s="32" t="s">
        <v>402</v>
      </c>
      <c r="B31" s="32" t="s">
        <v>609</v>
      </c>
      <c r="C31" s="32" t="s">
        <v>769</v>
      </c>
      <c r="D31" s="32" t="s">
        <v>5041</v>
      </c>
      <c r="E31" s="32"/>
      <c r="F31" s="32"/>
      <c r="G31" s="32"/>
      <c r="M31" s="49">
        <v>2</v>
      </c>
    </row>
    <row r="32" spans="1:13" ht="13.5" customHeight="1" x14ac:dyDescent="0.25">
      <c r="A32" s="32" t="s">
        <v>401</v>
      </c>
      <c r="B32" s="32" t="s">
        <v>610</v>
      </c>
      <c r="C32" s="32" t="s">
        <v>770</v>
      </c>
      <c r="D32" s="32"/>
      <c r="E32" s="32"/>
      <c r="F32" s="32"/>
      <c r="G32" s="32"/>
      <c r="M32" s="49">
        <v>100</v>
      </c>
    </row>
    <row r="33" spans="1:13" ht="13.5" customHeight="1" x14ac:dyDescent="0.25">
      <c r="A33" s="32" t="s">
        <v>404</v>
      </c>
      <c r="B33" s="32" t="s">
        <v>611</v>
      </c>
      <c r="C33" s="32"/>
      <c r="D33" s="32"/>
      <c r="E33" s="32"/>
      <c r="F33" s="32"/>
      <c r="G33" s="32"/>
      <c r="M33" s="49">
        <v>58</v>
      </c>
    </row>
    <row r="34" spans="1:13" ht="13.5" customHeight="1" x14ac:dyDescent="0.25">
      <c r="A34" s="32" t="s">
        <v>406</v>
      </c>
      <c r="B34" s="32" t="s">
        <v>612</v>
      </c>
      <c r="C34" s="32"/>
      <c r="D34" s="32"/>
      <c r="E34" s="32"/>
      <c r="F34" s="32"/>
      <c r="G34" s="32"/>
      <c r="M34" s="49">
        <v>6</v>
      </c>
    </row>
    <row r="35" spans="1:13" ht="13.5" customHeight="1" x14ac:dyDescent="0.25">
      <c r="A35" s="32" t="s">
        <v>407</v>
      </c>
      <c r="B35" s="32" t="s">
        <v>613</v>
      </c>
      <c r="C35" s="32" t="s">
        <v>771</v>
      </c>
      <c r="D35" s="32"/>
      <c r="E35" s="32"/>
      <c r="F35" s="32"/>
      <c r="G35" s="32"/>
      <c r="M35" s="49">
        <v>0</v>
      </c>
    </row>
    <row r="36" spans="1:13" ht="13.5" customHeight="1" x14ac:dyDescent="0.25">
      <c r="A36" s="32" t="s">
        <v>409</v>
      </c>
      <c r="B36" s="32" t="s">
        <v>614</v>
      </c>
      <c r="C36" s="32" t="s">
        <v>772</v>
      </c>
      <c r="D36" s="32" t="s">
        <v>5042</v>
      </c>
      <c r="E36" s="32" t="s">
        <v>556</v>
      </c>
      <c r="F36" s="32"/>
      <c r="G36" s="32"/>
      <c r="M36" s="49">
        <v>51</v>
      </c>
    </row>
    <row r="37" spans="1:13" ht="13.5" customHeight="1" x14ac:dyDescent="0.25">
      <c r="A37" s="32" t="s">
        <v>410</v>
      </c>
      <c r="B37" s="32" t="s">
        <v>615</v>
      </c>
      <c r="C37" s="32" t="s">
        <v>773</v>
      </c>
      <c r="D37" s="32" t="s">
        <v>5043</v>
      </c>
      <c r="E37" s="32"/>
      <c r="F37" s="32"/>
      <c r="G37" s="32"/>
      <c r="M37" s="49">
        <v>9</v>
      </c>
    </row>
    <row r="38" spans="1:13" ht="13.5" customHeight="1" x14ac:dyDescent="0.25">
      <c r="A38" s="32" t="s">
        <v>412</v>
      </c>
      <c r="B38" s="32" t="s">
        <v>616</v>
      </c>
      <c r="C38" s="32"/>
      <c r="D38" s="32"/>
      <c r="E38" s="32"/>
      <c r="F38" s="32"/>
      <c r="G38" s="32"/>
      <c r="M38" s="49">
        <v>0</v>
      </c>
    </row>
    <row r="39" spans="1:13" ht="13.5" customHeight="1" x14ac:dyDescent="0.25">
      <c r="A39" s="32" t="s">
        <v>414</v>
      </c>
      <c r="B39" s="32" t="s">
        <v>617</v>
      </c>
      <c r="C39" s="32"/>
      <c r="D39" s="32"/>
      <c r="E39" s="32"/>
      <c r="F39" s="32"/>
      <c r="G39" s="32"/>
      <c r="M39" s="49">
        <v>17</v>
      </c>
    </row>
    <row r="40" spans="1:13" ht="13.5" customHeight="1" x14ac:dyDescent="0.25">
      <c r="A40" s="32" t="s">
        <v>416</v>
      </c>
      <c r="B40" s="32" t="s">
        <v>544</v>
      </c>
      <c r="C40" s="32"/>
      <c r="D40" s="32"/>
      <c r="E40" s="32"/>
      <c r="F40" s="32"/>
      <c r="G40" s="32"/>
      <c r="M40" s="49">
        <v>0</v>
      </c>
    </row>
    <row r="41" spans="1:13" ht="13.5" customHeight="1" x14ac:dyDescent="0.25">
      <c r="A41" s="32" t="s">
        <v>418</v>
      </c>
      <c r="B41" s="32" t="s">
        <v>618</v>
      </c>
      <c r="C41" s="32" t="s">
        <v>774</v>
      </c>
      <c r="D41" s="32" t="s">
        <v>5044</v>
      </c>
      <c r="E41" s="32"/>
      <c r="F41" s="32"/>
      <c r="G41" s="32"/>
      <c r="M41" s="49">
        <v>0</v>
      </c>
    </row>
    <row r="42" spans="1:13" ht="13.5" customHeight="1" x14ac:dyDescent="0.25">
      <c r="A42" s="32" t="s">
        <v>420</v>
      </c>
      <c r="B42" s="32" t="s">
        <v>619</v>
      </c>
      <c r="C42" s="32" t="s">
        <v>775</v>
      </c>
      <c r="D42" s="32" t="s">
        <v>5045</v>
      </c>
      <c r="E42" s="32" t="s">
        <v>557</v>
      </c>
      <c r="F42" s="32" t="s">
        <v>885</v>
      </c>
      <c r="G42" s="32"/>
      <c r="M42" s="49">
        <v>37</v>
      </c>
    </row>
    <row r="43" spans="1:13" ht="13.5" customHeight="1" x14ac:dyDescent="0.25">
      <c r="A43" s="32" t="s">
        <v>422</v>
      </c>
      <c r="B43" s="32" t="s">
        <v>458</v>
      </c>
      <c r="C43" s="32" t="s">
        <v>776</v>
      </c>
      <c r="D43" s="32" t="s">
        <v>5046</v>
      </c>
      <c r="E43" s="32"/>
      <c r="F43" s="32"/>
      <c r="G43" s="32"/>
      <c r="M43" s="49">
        <v>46</v>
      </c>
    </row>
    <row r="44" spans="1:13" ht="13.5" customHeight="1" x14ac:dyDescent="0.25">
      <c r="A44" s="32" t="s">
        <v>424</v>
      </c>
      <c r="B44" s="32" t="s">
        <v>620</v>
      </c>
      <c r="C44" s="32" t="s">
        <v>492</v>
      </c>
      <c r="D44" s="32" t="s">
        <v>5047</v>
      </c>
      <c r="E44" s="32"/>
      <c r="F44" s="32"/>
      <c r="G44" s="32"/>
      <c r="M44" s="49">
        <v>37</v>
      </c>
    </row>
    <row r="45" spans="1:13" ht="13.5" customHeight="1" x14ac:dyDescent="0.25">
      <c r="A45" s="32" t="s">
        <v>426</v>
      </c>
      <c r="B45" s="32" t="s">
        <v>621</v>
      </c>
      <c r="C45" s="32" t="s">
        <v>777</v>
      </c>
      <c r="D45" s="32" t="s">
        <v>5048</v>
      </c>
      <c r="E45" s="32" t="s">
        <v>558</v>
      </c>
      <c r="F45" s="32"/>
      <c r="G45" s="32"/>
      <c r="M45" s="49">
        <v>2</v>
      </c>
    </row>
    <row r="46" spans="1:13" ht="13.5" customHeight="1" x14ac:dyDescent="0.25">
      <c r="A46" s="32" t="s">
        <v>370</v>
      </c>
      <c r="B46" s="32" t="s">
        <v>622</v>
      </c>
      <c r="C46" s="32" t="s">
        <v>778</v>
      </c>
      <c r="D46" s="32" t="s">
        <v>5049</v>
      </c>
      <c r="E46" s="32"/>
      <c r="F46" s="32"/>
      <c r="G46" s="32"/>
      <c r="M46" s="49">
        <v>305</v>
      </c>
    </row>
    <row r="47" spans="1:13" ht="13.5" customHeight="1" x14ac:dyDescent="0.25">
      <c r="A47" s="32" t="s">
        <v>429</v>
      </c>
      <c r="B47" s="32" t="s">
        <v>623</v>
      </c>
      <c r="C47" s="32" t="s">
        <v>779</v>
      </c>
      <c r="D47" s="32"/>
      <c r="E47" s="32"/>
      <c r="F47" s="32"/>
      <c r="G47" s="32"/>
      <c r="M47" s="49">
        <v>8</v>
      </c>
    </row>
    <row r="48" spans="1:13" ht="13.5" customHeight="1" x14ac:dyDescent="0.25">
      <c r="A48" s="32" t="s">
        <v>431</v>
      </c>
      <c r="B48" s="32" t="s">
        <v>624</v>
      </c>
      <c r="C48" s="32" t="s">
        <v>780</v>
      </c>
      <c r="D48" s="32" t="s">
        <v>5050</v>
      </c>
      <c r="E48" s="32"/>
      <c r="F48" s="32"/>
      <c r="G48" s="32"/>
      <c r="M48" s="49">
        <v>22</v>
      </c>
    </row>
    <row r="49" spans="1:13" ht="13.5" customHeight="1" x14ac:dyDescent="0.25">
      <c r="A49" s="32" t="s">
        <v>433</v>
      </c>
      <c r="B49" s="32" t="s">
        <v>625</v>
      </c>
      <c r="C49" s="32" t="s">
        <v>781</v>
      </c>
      <c r="D49" s="32" t="s">
        <v>5051</v>
      </c>
      <c r="E49" s="32" t="s">
        <v>559</v>
      </c>
      <c r="F49" s="32" t="s">
        <v>551</v>
      </c>
      <c r="G49" s="32"/>
      <c r="M49" s="49">
        <v>14</v>
      </c>
    </row>
    <row r="50" spans="1:13" ht="13.5" customHeight="1" x14ac:dyDescent="0.25">
      <c r="A50" s="32" t="s">
        <v>434</v>
      </c>
      <c r="B50" s="32" t="s">
        <v>626</v>
      </c>
      <c r="C50" s="32" t="s">
        <v>782</v>
      </c>
      <c r="D50" s="32" t="s">
        <v>5052</v>
      </c>
      <c r="E50" s="32" t="s">
        <v>560</v>
      </c>
      <c r="F50" s="32" t="s">
        <v>886</v>
      </c>
      <c r="G50" s="32"/>
      <c r="M50" s="49">
        <v>1</v>
      </c>
    </row>
    <row r="51" spans="1:13" ht="13.5" customHeight="1" x14ac:dyDescent="0.25">
      <c r="A51" s="32" t="s">
        <v>436</v>
      </c>
      <c r="B51" s="32" t="s">
        <v>627</v>
      </c>
      <c r="C51" s="32"/>
      <c r="D51" s="32"/>
      <c r="E51" s="32"/>
      <c r="F51" s="32"/>
      <c r="G51" s="32"/>
      <c r="M51" s="49">
        <v>11</v>
      </c>
    </row>
    <row r="52" spans="1:13" ht="13.5" customHeight="1" x14ac:dyDescent="0.25">
      <c r="A52" s="32" t="s">
        <v>437</v>
      </c>
      <c r="B52" s="32" t="s">
        <v>545</v>
      </c>
      <c r="C52" s="32" t="s">
        <v>783</v>
      </c>
      <c r="D52" s="32"/>
      <c r="E52" s="32"/>
      <c r="F52" s="32"/>
      <c r="G52" s="32"/>
      <c r="M52" s="49">
        <v>39</v>
      </c>
    </row>
    <row r="53" spans="1:13" ht="13.5" customHeight="1" x14ac:dyDescent="0.25">
      <c r="A53" s="32" t="s">
        <v>438</v>
      </c>
      <c r="B53" s="32" t="s">
        <v>628</v>
      </c>
      <c r="C53" s="32"/>
      <c r="D53" s="32"/>
      <c r="E53" s="32"/>
      <c r="F53" s="32"/>
      <c r="G53" s="32"/>
      <c r="M53" s="49">
        <v>9</v>
      </c>
    </row>
    <row r="54" spans="1:13" ht="13.5" customHeight="1" x14ac:dyDescent="0.25">
      <c r="A54" s="32" t="s">
        <v>440</v>
      </c>
      <c r="B54" s="32" t="s">
        <v>629</v>
      </c>
      <c r="C54" s="32" t="s">
        <v>784</v>
      </c>
      <c r="D54" s="32" t="s">
        <v>5053</v>
      </c>
      <c r="E54" s="32"/>
      <c r="F54" s="32"/>
      <c r="G54" s="32"/>
      <c r="M54" s="49">
        <v>1</v>
      </c>
    </row>
    <row r="55" spans="1:13" ht="13.5" customHeight="1" x14ac:dyDescent="0.25">
      <c r="A55" s="32" t="s">
        <v>366</v>
      </c>
      <c r="B55" s="32" t="s">
        <v>630</v>
      </c>
      <c r="C55" s="32"/>
      <c r="D55" s="32"/>
      <c r="E55" s="32"/>
      <c r="F55" s="32"/>
      <c r="G55" s="32"/>
      <c r="M55" s="49">
        <v>388</v>
      </c>
    </row>
    <row r="56" spans="1:13" ht="13.5" customHeight="1" x14ac:dyDescent="0.25">
      <c r="A56" s="32" t="s">
        <v>415</v>
      </c>
      <c r="B56" s="32" t="s">
        <v>631</v>
      </c>
      <c r="C56" s="32" t="s">
        <v>785</v>
      </c>
      <c r="D56" s="32" t="s">
        <v>5054</v>
      </c>
      <c r="E56" s="32"/>
      <c r="F56" s="32"/>
      <c r="G56" s="32"/>
      <c r="M56" s="49">
        <v>31</v>
      </c>
    </row>
    <row r="57" spans="1:13" ht="13.5" customHeight="1" x14ac:dyDescent="0.25">
      <c r="A57" s="32" t="s">
        <v>443</v>
      </c>
      <c r="B57" s="32" t="s">
        <v>632</v>
      </c>
      <c r="C57" s="32" t="s">
        <v>786</v>
      </c>
      <c r="D57" s="32" t="s">
        <v>5055</v>
      </c>
      <c r="E57" s="32" t="s">
        <v>561</v>
      </c>
      <c r="F57" s="32" t="s">
        <v>887</v>
      </c>
      <c r="G57" s="32" t="s">
        <v>903</v>
      </c>
      <c r="M57" s="49">
        <v>16</v>
      </c>
    </row>
    <row r="58" spans="1:13" ht="13.5" customHeight="1" x14ac:dyDescent="0.25">
      <c r="A58" s="32" t="s">
        <v>359</v>
      </c>
      <c r="B58" s="32" t="s">
        <v>454</v>
      </c>
      <c r="C58" s="32" t="s">
        <v>541</v>
      </c>
      <c r="D58" s="32" t="s">
        <v>5056</v>
      </c>
      <c r="E58" s="32"/>
      <c r="F58" s="32"/>
      <c r="G58" s="32"/>
      <c r="M58" s="49">
        <v>930</v>
      </c>
    </row>
    <row r="59" spans="1:13" ht="13.5" customHeight="1" x14ac:dyDescent="0.25">
      <c r="A59" s="32" t="s">
        <v>445</v>
      </c>
      <c r="B59" s="32" t="s">
        <v>633</v>
      </c>
      <c r="C59" s="32"/>
      <c r="D59" s="32"/>
      <c r="E59" s="32"/>
      <c r="F59" s="32"/>
      <c r="G59" s="32"/>
      <c r="M59" s="49">
        <v>85</v>
      </c>
    </row>
    <row r="60" spans="1:13" ht="13.5" customHeight="1" x14ac:dyDescent="0.25">
      <c r="A60" s="32" t="s">
        <v>373</v>
      </c>
      <c r="B60" s="32" t="s">
        <v>634</v>
      </c>
      <c r="C60" s="32" t="s">
        <v>787</v>
      </c>
      <c r="D60" s="32" t="s">
        <v>5035</v>
      </c>
      <c r="E60" s="32" t="s">
        <v>562</v>
      </c>
      <c r="F60" s="32"/>
      <c r="G60" s="32"/>
      <c r="M60" s="49">
        <v>258</v>
      </c>
    </row>
    <row r="61" spans="1:13" ht="13.5" customHeight="1" x14ac:dyDescent="0.25">
      <c r="A61" s="32" t="s">
        <v>397</v>
      </c>
      <c r="B61" s="32" t="s">
        <v>635</v>
      </c>
      <c r="C61" s="32" t="s">
        <v>359</v>
      </c>
      <c r="D61" s="32" t="s">
        <v>541</v>
      </c>
      <c r="E61" s="32"/>
      <c r="F61" s="32"/>
      <c r="G61" s="32"/>
      <c r="M61" s="49">
        <v>139</v>
      </c>
    </row>
    <row r="62" spans="1:13" ht="13.5" customHeight="1" x14ac:dyDescent="0.25">
      <c r="A62" s="32" t="s">
        <v>446</v>
      </c>
      <c r="B62" s="32" t="s">
        <v>636</v>
      </c>
      <c r="C62" s="32" t="s">
        <v>788</v>
      </c>
      <c r="D62" s="32"/>
      <c r="E62" s="32"/>
      <c r="F62" s="32"/>
      <c r="G62" s="32"/>
      <c r="M62" s="49">
        <v>2</v>
      </c>
    </row>
    <row r="63" spans="1:13" ht="13.5" customHeight="1" x14ac:dyDescent="0.25">
      <c r="A63" s="32" t="s">
        <v>377</v>
      </c>
      <c r="B63" t="s">
        <v>637</v>
      </c>
      <c r="C63" s="32" t="s">
        <v>789</v>
      </c>
      <c r="D63" s="32" t="s">
        <v>5057</v>
      </c>
      <c r="E63" s="32" t="s">
        <v>564</v>
      </c>
      <c r="F63" s="32" t="s">
        <v>888</v>
      </c>
      <c r="G63" s="32" t="s">
        <v>904</v>
      </c>
      <c r="H63" t="s">
        <v>913</v>
      </c>
      <c r="I63" t="s">
        <v>918</v>
      </c>
      <c r="M63" s="49">
        <v>216</v>
      </c>
    </row>
    <row r="64" spans="1:13" ht="13.5" customHeight="1" x14ac:dyDescent="0.25">
      <c r="A64" s="32" t="s">
        <v>449</v>
      </c>
      <c r="B64" s="32" t="s">
        <v>638</v>
      </c>
      <c r="C64" s="32" t="s">
        <v>790</v>
      </c>
      <c r="D64" s="32"/>
      <c r="E64" s="32"/>
      <c r="F64" s="32"/>
      <c r="G64" s="32"/>
      <c r="M64" s="49">
        <v>12</v>
      </c>
    </row>
    <row r="65" spans="1:13" ht="13.5" customHeight="1" x14ac:dyDescent="0.25">
      <c r="A65" s="32" t="s">
        <v>361</v>
      </c>
      <c r="B65" s="32" t="s">
        <v>639</v>
      </c>
      <c r="C65" s="32" t="s">
        <v>791</v>
      </c>
      <c r="D65" s="32"/>
      <c r="E65" s="32"/>
      <c r="F65" s="32"/>
      <c r="G65" s="32"/>
      <c r="M65" s="49">
        <v>12</v>
      </c>
    </row>
    <row r="66" spans="1:13" ht="13.5" customHeight="1" x14ac:dyDescent="0.25">
      <c r="A66" s="32" t="s">
        <v>421</v>
      </c>
      <c r="B66" s="32" t="s">
        <v>640</v>
      </c>
      <c r="C66" s="32" t="s">
        <v>792</v>
      </c>
      <c r="D66" s="32"/>
      <c r="E66" s="32"/>
      <c r="F66" s="32"/>
      <c r="G66" s="32"/>
      <c r="M66" s="49">
        <v>61</v>
      </c>
    </row>
    <row r="67" spans="1:13" ht="13.5" customHeight="1" x14ac:dyDescent="0.25">
      <c r="A67" s="32" t="s">
        <v>430</v>
      </c>
      <c r="B67" s="32" t="s">
        <v>390</v>
      </c>
      <c r="C67" s="32" t="s">
        <v>793</v>
      </c>
      <c r="D67" s="32" t="s">
        <v>5058</v>
      </c>
      <c r="E67" s="32" t="s">
        <v>566</v>
      </c>
      <c r="F67" s="32"/>
      <c r="G67" s="32"/>
      <c r="M67" s="49">
        <v>798</v>
      </c>
    </row>
    <row r="68" spans="1:13" ht="13.5" customHeight="1" x14ac:dyDescent="0.25">
      <c r="A68" s="32" t="s">
        <v>408</v>
      </c>
      <c r="B68" s="32" t="s">
        <v>641</v>
      </c>
      <c r="C68" s="32"/>
      <c r="D68" s="32"/>
      <c r="E68" s="32"/>
      <c r="F68" s="32"/>
      <c r="G68" s="32"/>
      <c r="M68" s="49">
        <v>91</v>
      </c>
    </row>
    <row r="69" spans="1:13" ht="13.5" customHeight="1" x14ac:dyDescent="0.25">
      <c r="A69" s="32" t="s">
        <v>454</v>
      </c>
      <c r="B69" s="32" t="s">
        <v>642</v>
      </c>
      <c r="C69" s="32" t="s">
        <v>794</v>
      </c>
      <c r="D69" s="32" t="s">
        <v>5059</v>
      </c>
      <c r="E69" s="32" t="s">
        <v>541</v>
      </c>
      <c r="F69" s="32"/>
      <c r="G69" s="32"/>
      <c r="M69" s="49">
        <v>25</v>
      </c>
    </row>
    <row r="70" spans="1:13" ht="13.5" customHeight="1" x14ac:dyDescent="0.25">
      <c r="A70" s="32" t="s">
        <v>390</v>
      </c>
      <c r="B70" s="32" t="s">
        <v>643</v>
      </c>
      <c r="C70" s="32" t="s">
        <v>795</v>
      </c>
      <c r="D70" s="32"/>
      <c r="E70" s="32"/>
      <c r="F70" s="32"/>
      <c r="G70" s="32"/>
      <c r="M70" s="49">
        <v>165</v>
      </c>
    </row>
    <row r="71" spans="1:13" ht="13.5" customHeight="1" x14ac:dyDescent="0.25">
      <c r="A71" s="32" t="s">
        <v>455</v>
      </c>
      <c r="B71" s="32" t="s">
        <v>546</v>
      </c>
      <c r="C71" s="32"/>
      <c r="D71" s="32"/>
      <c r="E71" s="32"/>
      <c r="F71" s="32"/>
      <c r="G71" s="32"/>
      <c r="M71" s="49">
        <v>69</v>
      </c>
    </row>
    <row r="72" spans="1:13" ht="13.5" customHeight="1" x14ac:dyDescent="0.25">
      <c r="A72" s="32" t="s">
        <v>456</v>
      </c>
      <c r="B72" s="32" t="s">
        <v>644</v>
      </c>
      <c r="C72" s="32" t="s">
        <v>796</v>
      </c>
      <c r="D72" s="32" t="s">
        <v>5060</v>
      </c>
      <c r="E72" s="32"/>
      <c r="F72" s="32"/>
      <c r="G72" s="32"/>
      <c r="M72" s="49">
        <v>31</v>
      </c>
    </row>
    <row r="73" spans="1:13" ht="13.5" customHeight="1" x14ac:dyDescent="0.25">
      <c r="A73" s="32" t="s">
        <v>375</v>
      </c>
      <c r="B73" s="32" t="s">
        <v>645</v>
      </c>
      <c r="C73" s="32" t="s">
        <v>797</v>
      </c>
      <c r="D73" s="32"/>
      <c r="E73" s="32"/>
      <c r="F73" s="32"/>
      <c r="G73" s="32"/>
      <c r="M73" s="49">
        <v>249</v>
      </c>
    </row>
    <row r="74" spans="1:13" ht="13.5" customHeight="1" x14ac:dyDescent="0.25">
      <c r="A74" s="32" t="s">
        <v>357</v>
      </c>
      <c r="B74" s="32" t="s">
        <v>646</v>
      </c>
      <c r="C74" s="32" t="s">
        <v>541</v>
      </c>
      <c r="D74" s="32" t="s">
        <v>5059</v>
      </c>
      <c r="E74" s="32"/>
      <c r="F74" s="32"/>
      <c r="G74" s="32"/>
      <c r="M74" s="49">
        <v>47</v>
      </c>
    </row>
    <row r="75" spans="1:13" ht="13.5" customHeight="1" x14ac:dyDescent="0.25">
      <c r="A75" s="32" t="s">
        <v>441</v>
      </c>
      <c r="B75" t="s">
        <v>647</v>
      </c>
      <c r="C75" s="32" t="s">
        <v>798</v>
      </c>
      <c r="D75" s="32" t="s">
        <v>5061</v>
      </c>
      <c r="E75" s="32" t="s">
        <v>568</v>
      </c>
      <c r="F75" s="32" t="s">
        <v>889</v>
      </c>
      <c r="G75" s="32" t="s">
        <v>905</v>
      </c>
      <c r="H75" t="s">
        <v>914</v>
      </c>
      <c r="I75" t="s">
        <v>919</v>
      </c>
      <c r="M75" s="49">
        <v>14</v>
      </c>
    </row>
    <row r="76" spans="1:13" ht="13.5" customHeight="1" x14ac:dyDescent="0.25">
      <c r="A76" s="32" t="s">
        <v>460</v>
      </c>
      <c r="B76" s="32" t="s">
        <v>648</v>
      </c>
      <c r="C76" s="32" t="s">
        <v>799</v>
      </c>
      <c r="D76" s="32" t="s">
        <v>5062</v>
      </c>
      <c r="E76" s="32"/>
      <c r="F76" s="32"/>
      <c r="G76" s="32"/>
      <c r="M76" s="49">
        <v>1033</v>
      </c>
    </row>
    <row r="77" spans="1:13" ht="13.5" customHeight="1" x14ac:dyDescent="0.25">
      <c r="A77" s="32" t="s">
        <v>461</v>
      </c>
      <c r="B77" s="32" t="s">
        <v>649</v>
      </c>
      <c r="C77" s="32" t="s">
        <v>800</v>
      </c>
      <c r="D77" s="32" t="s">
        <v>5063</v>
      </c>
      <c r="E77" s="32" t="s">
        <v>570</v>
      </c>
      <c r="F77" s="32" t="s">
        <v>890</v>
      </c>
      <c r="G77" s="32" t="s">
        <v>906</v>
      </c>
      <c r="M77" s="49">
        <v>3</v>
      </c>
    </row>
    <row r="78" spans="1:13" ht="13.5" customHeight="1" x14ac:dyDescent="0.25">
      <c r="A78" s="32" t="s">
        <v>463</v>
      </c>
      <c r="B78" s="32" t="s">
        <v>650</v>
      </c>
      <c r="C78" s="32"/>
      <c r="D78" s="32"/>
      <c r="E78" s="32"/>
      <c r="F78" s="32"/>
      <c r="G78" s="32"/>
      <c r="M78" s="49">
        <v>19</v>
      </c>
    </row>
    <row r="79" spans="1:13" ht="13.5" customHeight="1" x14ac:dyDescent="0.25">
      <c r="A79" s="32" t="s">
        <v>462</v>
      </c>
      <c r="B79" s="32" t="s">
        <v>651</v>
      </c>
      <c r="C79" s="32" t="s">
        <v>801</v>
      </c>
      <c r="D79" s="32"/>
      <c r="E79" s="32"/>
      <c r="F79" s="32"/>
      <c r="G79" s="32"/>
      <c r="M79" s="49">
        <v>7</v>
      </c>
    </row>
    <row r="80" spans="1:13" ht="13.5" customHeight="1" x14ac:dyDescent="0.25">
      <c r="A80" s="32" t="s">
        <v>466</v>
      </c>
      <c r="B80" s="32" t="s">
        <v>652</v>
      </c>
      <c r="C80" s="32" t="s">
        <v>802</v>
      </c>
      <c r="D80" s="32" t="s">
        <v>355</v>
      </c>
      <c r="E80" s="32"/>
      <c r="F80" s="32"/>
      <c r="G80" s="32"/>
      <c r="M80" s="49">
        <v>4</v>
      </c>
    </row>
    <row r="81" spans="1:13" ht="13.5" customHeight="1" x14ac:dyDescent="0.25">
      <c r="A81" s="32" t="s">
        <v>467</v>
      </c>
      <c r="B81" s="32" t="s">
        <v>653</v>
      </c>
      <c r="C81" s="32"/>
      <c r="D81" s="32"/>
      <c r="E81" s="32"/>
      <c r="F81" s="32"/>
      <c r="G81" s="32"/>
      <c r="M81" s="49">
        <v>1</v>
      </c>
    </row>
    <row r="82" spans="1:13" ht="13.5" customHeight="1" x14ac:dyDescent="0.25">
      <c r="A82" s="32" t="s">
        <v>468</v>
      </c>
      <c r="B82" s="32" t="s">
        <v>654</v>
      </c>
      <c r="C82" s="32" t="s">
        <v>803</v>
      </c>
      <c r="D82" s="32"/>
      <c r="E82" s="32"/>
      <c r="F82" s="32"/>
      <c r="G82" s="32"/>
      <c r="M82" s="49">
        <v>5</v>
      </c>
    </row>
    <row r="83" spans="1:13" ht="13.5" customHeight="1" x14ac:dyDescent="0.25">
      <c r="A83" s="32" t="s">
        <v>469</v>
      </c>
      <c r="B83" s="32" t="s">
        <v>655</v>
      </c>
      <c r="C83" s="32" t="s">
        <v>804</v>
      </c>
      <c r="D83" s="32"/>
      <c r="E83" s="32"/>
      <c r="F83" s="32"/>
      <c r="G83" s="32"/>
      <c r="M83" s="49">
        <v>24</v>
      </c>
    </row>
    <row r="84" spans="1:13" ht="13.5" customHeight="1" x14ac:dyDescent="0.25">
      <c r="A84" s="32" t="s">
        <v>470</v>
      </c>
      <c r="B84" s="32" t="s">
        <v>656</v>
      </c>
      <c r="C84" s="32" t="s">
        <v>805</v>
      </c>
      <c r="D84" s="32" t="s">
        <v>5064</v>
      </c>
      <c r="E84" s="32"/>
      <c r="F84" s="32"/>
      <c r="G84" s="32"/>
      <c r="M84" s="49">
        <v>2</v>
      </c>
    </row>
    <row r="85" spans="1:13" ht="13.5" customHeight="1" x14ac:dyDescent="0.25">
      <c r="A85" s="32" t="s">
        <v>472</v>
      </c>
      <c r="B85" s="32" t="s">
        <v>657</v>
      </c>
      <c r="C85" s="32" t="s">
        <v>806</v>
      </c>
      <c r="D85" s="32"/>
      <c r="E85" s="32"/>
      <c r="F85" s="32"/>
      <c r="G85" s="32"/>
      <c r="M85" s="49">
        <v>0</v>
      </c>
    </row>
    <row r="86" spans="1:13" ht="13.5" customHeight="1" x14ac:dyDescent="0.25">
      <c r="A86" s="32" t="s">
        <v>474</v>
      </c>
      <c r="B86" s="32"/>
      <c r="C86" s="32"/>
      <c r="D86" s="32"/>
      <c r="E86" s="32"/>
      <c r="F86" s="32"/>
      <c r="G86" s="32"/>
      <c r="M86" s="49">
        <v>0</v>
      </c>
    </row>
    <row r="87" spans="1:13" ht="13.5" customHeight="1" x14ac:dyDescent="0.25">
      <c r="A87" s="32" t="s">
        <v>476</v>
      </c>
      <c r="B87" s="32" t="s">
        <v>658</v>
      </c>
      <c r="C87" s="32" t="s">
        <v>807</v>
      </c>
      <c r="D87" s="32"/>
      <c r="E87" s="32"/>
      <c r="F87" s="32"/>
      <c r="G87" s="32"/>
      <c r="M87" s="49">
        <v>0</v>
      </c>
    </row>
    <row r="88" spans="1:13" ht="13.5" customHeight="1" x14ac:dyDescent="0.25">
      <c r="A88" s="32" t="s">
        <v>477</v>
      </c>
      <c r="B88" s="32" t="s">
        <v>659</v>
      </c>
      <c r="C88" s="32" t="s">
        <v>808</v>
      </c>
      <c r="D88" s="32" t="s">
        <v>5065</v>
      </c>
      <c r="E88" s="32" t="s">
        <v>571</v>
      </c>
      <c r="F88" s="32" t="s">
        <v>891</v>
      </c>
      <c r="G88" s="32"/>
      <c r="M88" s="49">
        <v>0</v>
      </c>
    </row>
    <row r="89" spans="1:13" ht="13.5" customHeight="1" x14ac:dyDescent="0.25">
      <c r="A89" s="32" t="s">
        <v>479</v>
      </c>
      <c r="B89" s="32" t="s">
        <v>660</v>
      </c>
      <c r="C89" s="32"/>
      <c r="D89" s="32"/>
      <c r="E89" s="32"/>
      <c r="F89" s="32"/>
      <c r="G89" s="32"/>
      <c r="M89" s="49">
        <v>8</v>
      </c>
    </row>
    <row r="90" spans="1:13" ht="13.5" customHeight="1" x14ac:dyDescent="0.25">
      <c r="A90" s="32" t="s">
        <v>370</v>
      </c>
      <c r="B90" s="32"/>
      <c r="C90" s="32"/>
      <c r="D90" s="32"/>
      <c r="E90" s="32"/>
      <c r="F90" s="32"/>
      <c r="G90" s="32"/>
      <c r="M90" s="49">
        <v>1</v>
      </c>
    </row>
    <row r="91" spans="1:13" ht="13.5" customHeight="1" x14ac:dyDescent="0.25">
      <c r="A91" s="32" t="s">
        <v>481</v>
      </c>
      <c r="B91" s="32" t="s">
        <v>661</v>
      </c>
      <c r="C91" s="32"/>
      <c r="D91" s="32"/>
      <c r="E91" s="32"/>
      <c r="F91" s="32"/>
      <c r="G91" s="32"/>
      <c r="M91" s="49">
        <v>2</v>
      </c>
    </row>
    <row r="92" spans="1:13" ht="13.5" customHeight="1" x14ac:dyDescent="0.25">
      <c r="A92" s="32" t="s">
        <v>483</v>
      </c>
      <c r="B92" s="32" t="s">
        <v>662</v>
      </c>
      <c r="C92" s="32" t="s">
        <v>809</v>
      </c>
      <c r="D92" s="32" t="s">
        <v>5066</v>
      </c>
      <c r="E92" s="32"/>
      <c r="F92" s="32"/>
      <c r="G92" s="32"/>
      <c r="M92" s="49">
        <v>1</v>
      </c>
    </row>
    <row r="93" spans="1:13" ht="13.5" customHeight="1" x14ac:dyDescent="0.25">
      <c r="A93" s="32" t="s">
        <v>485</v>
      </c>
      <c r="B93" s="32" t="s">
        <v>663</v>
      </c>
      <c r="C93" s="32" t="s">
        <v>810</v>
      </c>
      <c r="D93" s="32"/>
      <c r="E93" s="32"/>
      <c r="F93" s="32"/>
      <c r="G93" s="32"/>
      <c r="M93" s="49">
        <v>15</v>
      </c>
    </row>
    <row r="94" spans="1:13" ht="13.5" customHeight="1" x14ac:dyDescent="0.25">
      <c r="A94" s="32" t="s">
        <v>368</v>
      </c>
      <c r="B94" s="32" t="s">
        <v>664</v>
      </c>
      <c r="C94" s="32"/>
      <c r="D94" s="32"/>
      <c r="E94" s="32"/>
      <c r="F94" s="32"/>
      <c r="G94" s="32"/>
      <c r="M94" s="49">
        <v>50</v>
      </c>
    </row>
    <row r="95" spans="1:13" ht="13.5" customHeight="1" x14ac:dyDescent="0.25">
      <c r="A95" s="32" t="s">
        <v>439</v>
      </c>
      <c r="B95" s="32" t="s">
        <v>665</v>
      </c>
      <c r="C95" s="32" t="s">
        <v>811</v>
      </c>
      <c r="D95" s="32"/>
      <c r="E95" s="32"/>
      <c r="F95" s="32"/>
      <c r="G95" s="32"/>
      <c r="M95" s="49">
        <v>1</v>
      </c>
    </row>
    <row r="96" spans="1:13" ht="13.5" customHeight="1" x14ac:dyDescent="0.25">
      <c r="A96" s="32" t="s">
        <v>487</v>
      </c>
      <c r="B96" s="32" t="s">
        <v>666</v>
      </c>
      <c r="C96" s="32" t="s">
        <v>812</v>
      </c>
      <c r="D96" s="32" t="s">
        <v>5067</v>
      </c>
      <c r="E96" s="32"/>
      <c r="F96" s="32"/>
      <c r="G96" s="32"/>
      <c r="M96" s="49">
        <v>0</v>
      </c>
    </row>
    <row r="97" spans="1:13" ht="13.5" customHeight="1" x14ac:dyDescent="0.25">
      <c r="A97" s="32" t="s">
        <v>488</v>
      </c>
      <c r="B97" s="32" t="s">
        <v>667</v>
      </c>
      <c r="C97" s="32" t="s">
        <v>813</v>
      </c>
      <c r="D97" s="32" t="s">
        <v>5068</v>
      </c>
      <c r="E97" s="32"/>
      <c r="F97" s="32"/>
      <c r="G97" s="32"/>
      <c r="M97" s="49">
        <v>321</v>
      </c>
    </row>
    <row r="98" spans="1:13" ht="13.5" customHeight="1" x14ac:dyDescent="0.25">
      <c r="A98" s="32" t="s">
        <v>413</v>
      </c>
      <c r="B98" s="32" t="s">
        <v>668</v>
      </c>
      <c r="C98" s="32" t="s">
        <v>814</v>
      </c>
      <c r="D98" s="32" t="s">
        <v>5069</v>
      </c>
      <c r="E98" s="32"/>
      <c r="F98" s="32"/>
      <c r="G98" s="32"/>
      <c r="M98" s="49">
        <v>4</v>
      </c>
    </row>
    <row r="99" spans="1:13" ht="13.5" customHeight="1" x14ac:dyDescent="0.25">
      <c r="A99" s="32" t="s">
        <v>471</v>
      </c>
      <c r="B99" s="32" t="s">
        <v>669</v>
      </c>
      <c r="C99" s="32" t="s">
        <v>815</v>
      </c>
      <c r="D99" s="32" t="s">
        <v>5070</v>
      </c>
      <c r="E99" s="32"/>
      <c r="F99" s="32"/>
      <c r="G99" s="32"/>
      <c r="M99" s="49">
        <v>17</v>
      </c>
    </row>
    <row r="100" spans="1:13" ht="13.5" customHeight="1" x14ac:dyDescent="0.25">
      <c r="A100" s="32" t="s">
        <v>473</v>
      </c>
      <c r="B100" s="32" t="s">
        <v>670</v>
      </c>
      <c r="C100" s="32" t="s">
        <v>816</v>
      </c>
      <c r="D100" s="32" t="s">
        <v>5071</v>
      </c>
      <c r="E100" s="32" t="s">
        <v>573</v>
      </c>
      <c r="F100" s="32" t="s">
        <v>892</v>
      </c>
      <c r="G100" s="32"/>
      <c r="M100" s="49">
        <v>7</v>
      </c>
    </row>
    <row r="101" spans="1:13" ht="13.5" customHeight="1" x14ac:dyDescent="0.25">
      <c r="A101" s="32" t="s">
        <v>482</v>
      </c>
      <c r="B101" s="32" t="s">
        <v>671</v>
      </c>
      <c r="C101" s="32" t="s">
        <v>817</v>
      </c>
      <c r="D101" s="32"/>
      <c r="E101" s="32"/>
      <c r="F101" s="32"/>
      <c r="G101" s="32"/>
      <c r="M101" s="49">
        <v>20</v>
      </c>
    </row>
    <row r="102" spans="1:13" ht="13.5" customHeight="1" x14ac:dyDescent="0.25">
      <c r="A102" s="32" t="s">
        <v>452</v>
      </c>
      <c r="B102" s="32" t="s">
        <v>672</v>
      </c>
      <c r="C102" s="32"/>
      <c r="D102" s="32"/>
      <c r="E102" s="32"/>
      <c r="F102" s="32"/>
      <c r="G102" s="32"/>
      <c r="M102" s="49">
        <v>26</v>
      </c>
    </row>
    <row r="103" spans="1:13" ht="13.5" customHeight="1" x14ac:dyDescent="0.25">
      <c r="A103" s="32" t="s">
        <v>492</v>
      </c>
      <c r="B103" s="32" t="s">
        <v>673</v>
      </c>
      <c r="C103" s="32" t="s">
        <v>550</v>
      </c>
      <c r="D103" s="32"/>
      <c r="E103" s="32"/>
      <c r="F103" s="32"/>
      <c r="G103" s="32"/>
      <c r="M103" s="49">
        <v>3</v>
      </c>
    </row>
    <row r="104" spans="1:13" ht="13.5" customHeight="1" x14ac:dyDescent="0.25">
      <c r="A104" s="32" t="s">
        <v>493</v>
      </c>
      <c r="B104" s="32" t="s">
        <v>458</v>
      </c>
      <c r="C104" s="32" t="s">
        <v>818</v>
      </c>
      <c r="D104" s="32" t="s">
        <v>5072</v>
      </c>
      <c r="E104" s="32"/>
      <c r="F104" s="32"/>
      <c r="G104" s="32"/>
      <c r="M104" s="49">
        <v>20</v>
      </c>
    </row>
    <row r="105" spans="1:13" ht="13.5" customHeight="1" x14ac:dyDescent="0.25">
      <c r="A105" s="32" t="s">
        <v>495</v>
      </c>
      <c r="B105" s="32"/>
      <c r="C105" s="32"/>
      <c r="D105" s="32"/>
      <c r="E105" s="32"/>
      <c r="F105" s="32"/>
      <c r="G105" s="32"/>
      <c r="M105" s="49">
        <v>86</v>
      </c>
    </row>
    <row r="106" spans="1:13" ht="13.5" customHeight="1" x14ac:dyDescent="0.25">
      <c r="A106" s="32" t="s">
        <v>497</v>
      </c>
      <c r="B106" s="32" t="s">
        <v>674</v>
      </c>
      <c r="C106" s="32" t="s">
        <v>819</v>
      </c>
      <c r="D106" s="32" t="s">
        <v>5073</v>
      </c>
      <c r="E106" s="32" t="s">
        <v>575</v>
      </c>
      <c r="F106" s="32" t="s">
        <v>545</v>
      </c>
      <c r="G106" s="32"/>
      <c r="M106" s="49">
        <v>0</v>
      </c>
    </row>
    <row r="107" spans="1:13" ht="13.5" customHeight="1" x14ac:dyDescent="0.25">
      <c r="A107" s="32" t="s">
        <v>498</v>
      </c>
      <c r="B107" s="32" t="s">
        <v>675</v>
      </c>
      <c r="C107" s="32" t="s">
        <v>820</v>
      </c>
      <c r="D107" s="32" t="s">
        <v>5074</v>
      </c>
      <c r="E107" s="32"/>
      <c r="F107" s="32"/>
      <c r="G107" s="32"/>
      <c r="M107" s="49">
        <v>1</v>
      </c>
    </row>
    <row r="108" spans="1:13" ht="13.5" customHeight="1" x14ac:dyDescent="0.25">
      <c r="A108" s="32" t="s">
        <v>500</v>
      </c>
      <c r="B108" s="32" t="s">
        <v>547</v>
      </c>
      <c r="C108" s="32" t="s">
        <v>551</v>
      </c>
      <c r="D108" s="32"/>
      <c r="E108" s="32"/>
      <c r="F108" s="32"/>
      <c r="G108" s="32"/>
      <c r="M108" s="49">
        <v>6</v>
      </c>
    </row>
    <row r="109" spans="1:13" ht="13.5" customHeight="1" x14ac:dyDescent="0.25">
      <c r="A109" s="32" t="s">
        <v>425</v>
      </c>
      <c r="B109" s="32" t="s">
        <v>676</v>
      </c>
      <c r="C109" s="32" t="s">
        <v>821</v>
      </c>
      <c r="D109" s="32" t="s">
        <v>5075</v>
      </c>
      <c r="E109" s="32"/>
      <c r="F109" s="32"/>
      <c r="G109" s="32"/>
      <c r="M109" s="49">
        <v>65</v>
      </c>
    </row>
    <row r="110" spans="1:13" ht="13.5" customHeight="1" x14ac:dyDescent="0.25">
      <c r="A110" s="32" t="s">
        <v>484</v>
      </c>
      <c r="B110" s="32" t="s">
        <v>677</v>
      </c>
      <c r="C110" s="32"/>
      <c r="D110" s="32"/>
      <c r="E110" s="32"/>
      <c r="F110" s="32"/>
      <c r="G110" s="32"/>
      <c r="M110" s="49">
        <v>17</v>
      </c>
    </row>
    <row r="111" spans="1:13" ht="13.5" customHeight="1" x14ac:dyDescent="0.25">
      <c r="A111" s="32" t="s">
        <v>405</v>
      </c>
      <c r="B111" s="32" t="s">
        <v>678</v>
      </c>
      <c r="C111" s="32" t="s">
        <v>822</v>
      </c>
      <c r="D111" s="32" t="s">
        <v>5076</v>
      </c>
      <c r="E111" s="32"/>
      <c r="F111" s="32"/>
      <c r="G111" s="32"/>
      <c r="M111" s="49">
        <v>96</v>
      </c>
    </row>
    <row r="112" spans="1:13" ht="13.5" customHeight="1" x14ac:dyDescent="0.25">
      <c r="A112" s="32" t="s">
        <v>502</v>
      </c>
      <c r="B112" s="32" t="s">
        <v>679</v>
      </c>
      <c r="C112" s="32" t="s">
        <v>823</v>
      </c>
      <c r="D112" s="32" t="s">
        <v>5077</v>
      </c>
      <c r="E112" s="32"/>
      <c r="F112" s="32"/>
      <c r="G112" s="32"/>
      <c r="M112" s="49">
        <v>11</v>
      </c>
    </row>
    <row r="113" spans="1:13" ht="13.5" customHeight="1" x14ac:dyDescent="0.25">
      <c r="A113" s="32" t="s">
        <v>417</v>
      </c>
      <c r="B113" s="32" t="s">
        <v>680</v>
      </c>
      <c r="C113" s="32" t="s">
        <v>824</v>
      </c>
      <c r="D113" s="32" t="s">
        <v>5078</v>
      </c>
      <c r="E113" s="32"/>
      <c r="F113" s="32"/>
      <c r="G113" s="32"/>
      <c r="M113" s="49">
        <v>15</v>
      </c>
    </row>
    <row r="114" spans="1:13" ht="13.5" customHeight="1" x14ac:dyDescent="0.25">
      <c r="A114" s="32" t="s">
        <v>489</v>
      </c>
      <c r="B114" s="32" t="s">
        <v>390</v>
      </c>
      <c r="C114" s="32"/>
      <c r="D114" s="32"/>
      <c r="E114" s="32"/>
      <c r="F114" s="32"/>
      <c r="G114" s="32"/>
      <c r="M114" s="49">
        <v>84</v>
      </c>
    </row>
    <row r="115" spans="1:13" ht="13.5" customHeight="1" x14ac:dyDescent="0.25">
      <c r="A115" s="32" t="s">
        <v>451</v>
      </c>
      <c r="B115" s="32" t="s">
        <v>681</v>
      </c>
      <c r="C115" s="32" t="s">
        <v>825</v>
      </c>
      <c r="D115" s="32"/>
      <c r="E115" s="32"/>
      <c r="F115" s="32"/>
      <c r="G115" s="32"/>
      <c r="M115" s="49">
        <v>34</v>
      </c>
    </row>
    <row r="116" spans="1:13" ht="13.5" customHeight="1" x14ac:dyDescent="0.25">
      <c r="A116" s="32" t="s">
        <v>494</v>
      </c>
      <c r="B116" s="32" t="s">
        <v>682</v>
      </c>
      <c r="C116" s="32" t="s">
        <v>384</v>
      </c>
      <c r="D116" s="32"/>
      <c r="E116" s="32"/>
      <c r="F116" s="32"/>
      <c r="G116" s="32"/>
      <c r="M116" s="49">
        <v>14</v>
      </c>
    </row>
    <row r="117" spans="1:13" ht="13.5" customHeight="1" x14ac:dyDescent="0.25">
      <c r="A117" s="32" t="s">
        <v>353</v>
      </c>
      <c r="B117" s="32" t="s">
        <v>683</v>
      </c>
      <c r="C117" s="32" t="s">
        <v>826</v>
      </c>
      <c r="D117" s="32"/>
      <c r="E117" s="32"/>
      <c r="F117" s="32"/>
      <c r="G117" s="32"/>
      <c r="M117" s="49">
        <v>36</v>
      </c>
    </row>
    <row r="118" spans="1:13" ht="13.5" customHeight="1" x14ac:dyDescent="0.25">
      <c r="A118" s="32" t="s">
        <v>363</v>
      </c>
      <c r="B118" t="s">
        <v>684</v>
      </c>
      <c r="C118" t="s">
        <v>827</v>
      </c>
      <c r="D118" t="s">
        <v>5079</v>
      </c>
      <c r="E118" t="s">
        <v>577</v>
      </c>
      <c r="F118" s="32" t="s">
        <v>893</v>
      </c>
      <c r="G118" s="32" t="s">
        <v>907</v>
      </c>
      <c r="H118" t="s">
        <v>915</v>
      </c>
      <c r="I118" t="s">
        <v>920</v>
      </c>
      <c r="J118" t="s">
        <v>922</v>
      </c>
      <c r="K118" t="s">
        <v>926</v>
      </c>
      <c r="L118" t="s">
        <v>546</v>
      </c>
      <c r="M118" s="49">
        <v>2374</v>
      </c>
    </row>
    <row r="119" spans="1:13" ht="13.5" customHeight="1" x14ac:dyDescent="0.25">
      <c r="A119" s="32" t="s">
        <v>393</v>
      </c>
      <c r="B119" s="32" t="s">
        <v>395</v>
      </c>
      <c r="C119" s="32"/>
      <c r="D119" s="32"/>
      <c r="E119" s="32"/>
      <c r="F119" s="32"/>
      <c r="G119" s="32"/>
      <c r="M119" s="49">
        <v>71</v>
      </c>
    </row>
    <row r="120" spans="1:13" ht="13.5" customHeight="1" x14ac:dyDescent="0.25">
      <c r="A120" s="32" t="s">
        <v>419</v>
      </c>
      <c r="B120" s="32" t="s">
        <v>685</v>
      </c>
      <c r="C120" s="32"/>
      <c r="D120" s="32"/>
      <c r="E120" s="32"/>
      <c r="F120" s="32"/>
      <c r="G120" s="32"/>
      <c r="M120" s="49">
        <v>149</v>
      </c>
    </row>
    <row r="121" spans="1:13" ht="13.5" customHeight="1" x14ac:dyDescent="0.25">
      <c r="A121" s="32" t="s">
        <v>448</v>
      </c>
      <c r="B121" s="32" t="s">
        <v>686</v>
      </c>
      <c r="C121" s="32" t="s">
        <v>828</v>
      </c>
      <c r="D121" s="32" t="s">
        <v>640</v>
      </c>
      <c r="E121" s="32"/>
      <c r="F121" s="32"/>
      <c r="G121" s="32"/>
      <c r="M121" s="49">
        <v>410</v>
      </c>
    </row>
    <row r="122" spans="1:13" ht="13.5" customHeight="1" x14ac:dyDescent="0.25">
      <c r="A122" s="32" t="s">
        <v>444</v>
      </c>
      <c r="B122" s="32" t="s">
        <v>687</v>
      </c>
      <c r="C122" s="32"/>
      <c r="D122" s="32"/>
      <c r="E122" s="32"/>
      <c r="F122" s="32"/>
      <c r="G122" s="32"/>
      <c r="M122" s="49">
        <v>39</v>
      </c>
    </row>
    <row r="123" spans="1:13" ht="13.5" customHeight="1" x14ac:dyDescent="0.25">
      <c r="A123" s="32" t="s">
        <v>464</v>
      </c>
      <c r="B123" s="32" t="s">
        <v>688</v>
      </c>
      <c r="C123" s="32" t="s">
        <v>829</v>
      </c>
      <c r="D123" s="32"/>
      <c r="E123" s="32"/>
      <c r="F123" s="32"/>
      <c r="G123" s="32"/>
      <c r="M123" s="49">
        <v>5</v>
      </c>
    </row>
    <row r="124" spans="1:13" ht="13.5" customHeight="1" x14ac:dyDescent="0.25">
      <c r="A124" s="32" t="s">
        <v>506</v>
      </c>
      <c r="B124" s="32" t="s">
        <v>689</v>
      </c>
      <c r="C124" s="32" t="s">
        <v>830</v>
      </c>
      <c r="D124" s="32" t="s">
        <v>5080</v>
      </c>
      <c r="E124" s="32"/>
      <c r="F124" s="32"/>
      <c r="G124" s="32"/>
      <c r="M124" s="49">
        <v>24</v>
      </c>
    </row>
    <row r="125" spans="1:13" ht="13.5" customHeight="1" x14ac:dyDescent="0.25">
      <c r="A125" s="32" t="s">
        <v>403</v>
      </c>
      <c r="B125" s="32" t="s">
        <v>690</v>
      </c>
      <c r="C125" s="32" t="s">
        <v>831</v>
      </c>
      <c r="D125" s="32"/>
      <c r="E125" s="32"/>
      <c r="F125" s="32"/>
      <c r="G125" s="32"/>
      <c r="M125" s="49">
        <v>45</v>
      </c>
    </row>
    <row r="126" spans="1:13" ht="13.5" customHeight="1" x14ac:dyDescent="0.25">
      <c r="A126" s="32" t="s">
        <v>442</v>
      </c>
      <c r="B126" s="32" t="s">
        <v>691</v>
      </c>
      <c r="C126" s="32" t="s">
        <v>832</v>
      </c>
      <c r="D126" s="32"/>
      <c r="E126" s="32"/>
      <c r="F126" s="32"/>
      <c r="G126" s="32"/>
      <c r="M126" s="49">
        <v>98</v>
      </c>
    </row>
    <row r="127" spans="1:13" ht="13.5" customHeight="1" x14ac:dyDescent="0.25">
      <c r="A127" s="32" t="s">
        <v>509</v>
      </c>
      <c r="B127" s="32" t="s">
        <v>692</v>
      </c>
      <c r="C127" s="32" t="s">
        <v>833</v>
      </c>
      <c r="D127" s="32" t="s">
        <v>5081</v>
      </c>
      <c r="E127" s="32"/>
      <c r="F127" s="32"/>
      <c r="G127" s="32"/>
      <c r="M127" s="49">
        <v>2</v>
      </c>
    </row>
    <row r="128" spans="1:13" ht="13.5" customHeight="1" x14ac:dyDescent="0.25">
      <c r="A128" s="32" t="s">
        <v>510</v>
      </c>
      <c r="B128" s="32" t="s">
        <v>693</v>
      </c>
      <c r="C128" s="32" t="s">
        <v>834</v>
      </c>
      <c r="D128" s="32" t="s">
        <v>5082</v>
      </c>
      <c r="E128" s="32" t="s">
        <v>579</v>
      </c>
      <c r="F128" s="32" t="s">
        <v>894</v>
      </c>
      <c r="G128" s="32" t="s">
        <v>908</v>
      </c>
      <c r="M128" s="49">
        <v>1</v>
      </c>
    </row>
    <row r="129" spans="1:13" ht="13.5" customHeight="1" x14ac:dyDescent="0.25">
      <c r="A129" s="32" t="s">
        <v>511</v>
      </c>
      <c r="B129" s="32" t="s">
        <v>694</v>
      </c>
      <c r="C129" s="32"/>
      <c r="D129" s="32"/>
      <c r="E129" s="32"/>
      <c r="F129" s="32"/>
      <c r="G129" s="32"/>
      <c r="M129" s="49">
        <v>2</v>
      </c>
    </row>
    <row r="130" spans="1:13" ht="13.5" customHeight="1" x14ac:dyDescent="0.25">
      <c r="A130" s="32" t="s">
        <v>513</v>
      </c>
      <c r="B130" s="32" t="s">
        <v>695</v>
      </c>
      <c r="C130" s="32"/>
      <c r="D130" s="32"/>
      <c r="E130" s="32"/>
      <c r="F130" s="32"/>
      <c r="G130" s="32"/>
      <c r="M130" s="49">
        <v>0</v>
      </c>
    </row>
    <row r="131" spans="1:13" ht="13.5" customHeight="1" x14ac:dyDescent="0.25">
      <c r="A131" s="32" t="s">
        <v>388</v>
      </c>
      <c r="B131" s="32" t="s">
        <v>696</v>
      </c>
      <c r="C131" s="32"/>
      <c r="D131" s="32"/>
      <c r="E131" s="32"/>
      <c r="F131" s="32"/>
      <c r="G131" s="32"/>
      <c r="M131" s="49">
        <v>146</v>
      </c>
    </row>
    <row r="132" spans="1:13" ht="13.5" customHeight="1" x14ac:dyDescent="0.25">
      <c r="A132" s="32" t="s">
        <v>515</v>
      </c>
      <c r="B132" s="32" t="s">
        <v>697</v>
      </c>
      <c r="C132" s="32" t="s">
        <v>835</v>
      </c>
      <c r="D132" s="32"/>
      <c r="E132" s="32"/>
      <c r="F132" s="32"/>
      <c r="G132" s="32"/>
      <c r="M132" s="49">
        <v>3</v>
      </c>
    </row>
    <row r="133" spans="1:13" ht="13.5" customHeight="1" x14ac:dyDescent="0.25">
      <c r="A133" s="32" t="s">
        <v>516</v>
      </c>
      <c r="B133" s="32" t="s">
        <v>698</v>
      </c>
      <c r="C133" s="32"/>
      <c r="D133" s="32"/>
      <c r="E133" s="32"/>
      <c r="F133" s="32"/>
      <c r="G133" s="32"/>
      <c r="M133" s="49">
        <v>1</v>
      </c>
    </row>
    <row r="134" spans="1:13" ht="13.5" customHeight="1" x14ac:dyDescent="0.25">
      <c r="A134" s="32" t="s">
        <v>480</v>
      </c>
      <c r="B134" s="32" t="s">
        <v>547</v>
      </c>
      <c r="C134" s="32" t="s">
        <v>836</v>
      </c>
      <c r="D134" s="32" t="s">
        <v>5083</v>
      </c>
      <c r="E134" s="32"/>
      <c r="F134" s="32"/>
      <c r="G134" s="32"/>
      <c r="M134" s="49">
        <v>4</v>
      </c>
    </row>
    <row r="135" spans="1:13" ht="13.5" customHeight="1" x14ac:dyDescent="0.25">
      <c r="A135" s="32" t="s">
        <v>499</v>
      </c>
      <c r="B135" s="32"/>
      <c r="C135" s="32"/>
      <c r="D135" s="32"/>
      <c r="E135" s="32"/>
      <c r="F135" s="32"/>
      <c r="G135" s="32"/>
      <c r="M135" s="49">
        <v>0</v>
      </c>
    </row>
    <row r="136" spans="1:13" ht="13.5" customHeight="1" x14ac:dyDescent="0.25">
      <c r="A136" s="32" t="s">
        <v>518</v>
      </c>
      <c r="B136" s="32" t="s">
        <v>699</v>
      </c>
      <c r="C136" s="32" t="s">
        <v>837</v>
      </c>
      <c r="D136" s="32"/>
      <c r="E136" s="32"/>
      <c r="F136" s="32"/>
      <c r="G136" s="32"/>
      <c r="M136" s="49">
        <v>18</v>
      </c>
    </row>
    <row r="137" spans="1:13" ht="13.5" customHeight="1" x14ac:dyDescent="0.25">
      <c r="A137" s="32" t="s">
        <v>519</v>
      </c>
      <c r="B137" s="32"/>
      <c r="C137" s="32"/>
      <c r="D137" s="32"/>
      <c r="E137" s="32"/>
      <c r="F137" s="32"/>
      <c r="G137" s="32"/>
      <c r="M137" s="49">
        <v>13</v>
      </c>
    </row>
    <row r="138" spans="1:13" ht="13.5" customHeight="1" x14ac:dyDescent="0.25">
      <c r="A138" s="32" t="s">
        <v>520</v>
      </c>
      <c r="B138" s="32" t="s">
        <v>700</v>
      </c>
      <c r="C138" s="32"/>
      <c r="D138" s="32"/>
      <c r="E138" s="32"/>
      <c r="F138" s="32"/>
      <c r="G138" s="32"/>
      <c r="M138" s="49">
        <v>1</v>
      </c>
    </row>
    <row r="139" spans="1:13" ht="13.5" customHeight="1" x14ac:dyDescent="0.25">
      <c r="A139" s="32" t="s">
        <v>522</v>
      </c>
      <c r="B139" s="32" t="s">
        <v>701</v>
      </c>
      <c r="C139" s="32" t="s">
        <v>838</v>
      </c>
      <c r="D139" s="32"/>
      <c r="E139" s="32"/>
      <c r="F139" s="32"/>
      <c r="G139" s="32"/>
      <c r="M139" s="49">
        <v>2</v>
      </c>
    </row>
    <row r="140" spans="1:13" ht="13.5" customHeight="1" x14ac:dyDescent="0.25">
      <c r="A140" s="32" t="s">
        <v>435</v>
      </c>
      <c r="B140" s="32" t="s">
        <v>702</v>
      </c>
      <c r="C140" s="32" t="s">
        <v>839</v>
      </c>
      <c r="D140" s="32" t="s">
        <v>5084</v>
      </c>
      <c r="E140" s="32"/>
      <c r="F140" s="32"/>
      <c r="G140" s="32"/>
      <c r="M140" s="49">
        <v>19</v>
      </c>
    </row>
    <row r="141" spans="1:13" ht="13.5" customHeight="1" x14ac:dyDescent="0.25">
      <c r="A141" s="32" t="s">
        <v>478</v>
      </c>
      <c r="B141" s="32" t="s">
        <v>703</v>
      </c>
      <c r="C141" s="32" t="s">
        <v>840</v>
      </c>
      <c r="D141" s="32" t="s">
        <v>5085</v>
      </c>
      <c r="E141" s="32" t="s">
        <v>581</v>
      </c>
      <c r="F141" s="32"/>
      <c r="G141" s="32"/>
      <c r="M141" s="49">
        <v>3</v>
      </c>
    </row>
    <row r="142" spans="1:13" ht="13.5" customHeight="1" x14ac:dyDescent="0.25">
      <c r="A142" s="32" t="s">
        <v>503</v>
      </c>
      <c r="B142" s="32" t="s">
        <v>704</v>
      </c>
      <c r="C142" s="32"/>
      <c r="D142" s="32"/>
      <c r="E142" s="32"/>
      <c r="F142" s="32"/>
      <c r="G142" s="32"/>
      <c r="M142" s="49">
        <v>2</v>
      </c>
    </row>
    <row r="143" spans="1:13" ht="13.5" customHeight="1" x14ac:dyDescent="0.25">
      <c r="A143" s="32" t="s">
        <v>512</v>
      </c>
      <c r="B143" s="32" t="s">
        <v>705</v>
      </c>
      <c r="C143" s="32" t="s">
        <v>841</v>
      </c>
      <c r="D143" s="32"/>
      <c r="E143" s="32"/>
      <c r="F143" s="32"/>
      <c r="G143" s="32"/>
      <c r="M143" s="49">
        <v>8</v>
      </c>
    </row>
    <row r="144" spans="1:13" ht="13.5" customHeight="1" x14ac:dyDescent="0.25">
      <c r="A144" s="32" t="s">
        <v>514</v>
      </c>
      <c r="B144" s="32" t="s">
        <v>706</v>
      </c>
      <c r="C144" s="32" t="s">
        <v>842</v>
      </c>
      <c r="D144" s="32"/>
      <c r="E144" s="32"/>
      <c r="F144" s="32"/>
      <c r="G144" s="32"/>
      <c r="M144" s="49">
        <v>6</v>
      </c>
    </row>
    <row r="145" spans="1:13" ht="13.5" customHeight="1" x14ac:dyDescent="0.25">
      <c r="A145" s="32" t="s">
        <v>525</v>
      </c>
      <c r="B145" s="32" t="s">
        <v>707</v>
      </c>
      <c r="C145" s="32" t="s">
        <v>843</v>
      </c>
      <c r="D145" s="32"/>
      <c r="E145" s="32"/>
      <c r="F145" s="32"/>
      <c r="G145" s="32"/>
      <c r="M145" s="49">
        <v>56</v>
      </c>
    </row>
    <row r="146" spans="1:13" ht="13.5" customHeight="1" x14ac:dyDescent="0.25">
      <c r="A146" s="32" t="s">
        <v>527</v>
      </c>
      <c r="B146" s="32" t="s">
        <v>708</v>
      </c>
      <c r="C146" s="32" t="s">
        <v>844</v>
      </c>
      <c r="D146" s="32" t="s">
        <v>5086</v>
      </c>
      <c r="E146" s="32"/>
      <c r="F146" s="32"/>
      <c r="G146" s="32"/>
      <c r="M146" s="49">
        <v>6</v>
      </c>
    </row>
    <row r="147" spans="1:13" ht="13.5" customHeight="1" x14ac:dyDescent="0.25">
      <c r="A147" s="32" t="s">
        <v>382</v>
      </c>
      <c r="B147" s="32" t="s">
        <v>709</v>
      </c>
      <c r="C147" s="32"/>
      <c r="D147" s="32"/>
      <c r="E147" s="32"/>
      <c r="F147" s="32"/>
      <c r="G147" s="32"/>
      <c r="M147" s="49">
        <v>2</v>
      </c>
    </row>
    <row r="148" spans="1:13" ht="13.5" customHeight="1" x14ac:dyDescent="0.25">
      <c r="A148" s="32" t="s">
        <v>392</v>
      </c>
      <c r="B148" s="32"/>
      <c r="C148" s="32"/>
      <c r="D148" s="32"/>
      <c r="E148" s="32"/>
      <c r="F148" s="32"/>
      <c r="G148" s="32"/>
      <c r="M148" s="49">
        <v>7</v>
      </c>
    </row>
    <row r="149" spans="1:13" ht="13.5" customHeight="1" x14ac:dyDescent="0.25">
      <c r="A149" s="32" t="s">
        <v>423</v>
      </c>
      <c r="B149" s="32"/>
      <c r="C149" s="32"/>
      <c r="D149" s="32"/>
      <c r="E149" s="32"/>
      <c r="F149" s="32"/>
      <c r="G149" s="32"/>
      <c r="M149" s="49">
        <v>14</v>
      </c>
    </row>
    <row r="150" spans="1:13" ht="13.5" customHeight="1" x14ac:dyDescent="0.25">
      <c r="A150" s="32" t="s">
        <v>428</v>
      </c>
      <c r="B150" s="32" t="s">
        <v>710</v>
      </c>
      <c r="C150" s="32"/>
      <c r="D150" s="32"/>
      <c r="E150" s="32"/>
      <c r="F150" s="32"/>
      <c r="G150" s="32"/>
      <c r="M150" s="49">
        <v>68</v>
      </c>
    </row>
    <row r="151" spans="1:13" ht="13.5" customHeight="1" x14ac:dyDescent="0.25">
      <c r="A151" s="32" t="s">
        <v>447</v>
      </c>
      <c r="B151" s="32" t="s">
        <v>711</v>
      </c>
      <c r="C151" s="32" t="s">
        <v>845</v>
      </c>
      <c r="D151" s="32"/>
      <c r="E151" s="32"/>
      <c r="F151" s="32"/>
      <c r="G151" s="32"/>
      <c r="M151" s="49">
        <v>1</v>
      </c>
    </row>
    <row r="152" spans="1:13" ht="13.5" customHeight="1" x14ac:dyDescent="0.25">
      <c r="A152" s="32" t="s">
        <v>453</v>
      </c>
      <c r="B152" s="32" t="s">
        <v>712</v>
      </c>
      <c r="C152" s="32" t="s">
        <v>846</v>
      </c>
      <c r="D152" s="32"/>
      <c r="E152" s="32"/>
      <c r="F152" s="32"/>
      <c r="G152" s="32"/>
      <c r="M152" s="49">
        <v>32</v>
      </c>
    </row>
    <row r="153" spans="1:13" ht="13.5" customHeight="1" x14ac:dyDescent="0.25">
      <c r="A153" s="32" t="s">
        <v>459</v>
      </c>
      <c r="B153" s="32" t="s">
        <v>713</v>
      </c>
      <c r="C153" s="32" t="s">
        <v>847</v>
      </c>
      <c r="D153" s="32" t="s">
        <v>5087</v>
      </c>
      <c r="E153" s="32"/>
      <c r="F153" s="32"/>
      <c r="G153" s="32"/>
      <c r="M153" s="49">
        <v>64</v>
      </c>
    </row>
    <row r="154" spans="1:13" ht="13.5" customHeight="1" x14ac:dyDescent="0.25">
      <c r="A154" s="32" t="s">
        <v>496</v>
      </c>
      <c r="B154" s="32" t="s">
        <v>714</v>
      </c>
      <c r="C154" s="32" t="s">
        <v>848</v>
      </c>
      <c r="D154" s="32" t="s">
        <v>5088</v>
      </c>
      <c r="E154" s="32" t="s">
        <v>583</v>
      </c>
      <c r="F154" s="32" t="s">
        <v>895</v>
      </c>
      <c r="G154" s="32" t="s">
        <v>909</v>
      </c>
      <c r="M154" s="49">
        <v>3</v>
      </c>
    </row>
    <row r="155" spans="1:13" ht="13.5" customHeight="1" x14ac:dyDescent="0.25">
      <c r="A155" s="32" t="s">
        <v>504</v>
      </c>
      <c r="B155" s="32" t="s">
        <v>715</v>
      </c>
      <c r="C155" s="32" t="s">
        <v>849</v>
      </c>
      <c r="D155" s="32"/>
      <c r="E155" s="32"/>
      <c r="F155" s="32"/>
      <c r="G155" s="32"/>
      <c r="M155" s="49">
        <v>3</v>
      </c>
    </row>
    <row r="156" spans="1:13" ht="13.5" customHeight="1" x14ac:dyDescent="0.25">
      <c r="A156" s="32" t="s">
        <v>505</v>
      </c>
      <c r="B156" s="32" t="s">
        <v>716</v>
      </c>
      <c r="C156" s="32" t="s">
        <v>850</v>
      </c>
      <c r="D156" s="32" t="s">
        <v>5089</v>
      </c>
      <c r="E156" s="32"/>
      <c r="F156" s="32"/>
      <c r="G156" s="32"/>
      <c r="M156" s="49">
        <v>0</v>
      </c>
    </row>
    <row r="157" spans="1:13" ht="13.5" customHeight="1" x14ac:dyDescent="0.25">
      <c r="A157" s="32" t="s">
        <v>507</v>
      </c>
      <c r="B157" s="32" t="s">
        <v>717</v>
      </c>
      <c r="C157" s="32" t="s">
        <v>851</v>
      </c>
      <c r="D157" s="32" t="s">
        <v>5090</v>
      </c>
      <c r="E157" s="32" t="s">
        <v>584</v>
      </c>
      <c r="F157" s="32" t="s">
        <v>896</v>
      </c>
      <c r="G157" s="32"/>
      <c r="M157" s="49">
        <v>8</v>
      </c>
    </row>
    <row r="158" spans="1:13" ht="13.5" customHeight="1" x14ac:dyDescent="0.25">
      <c r="A158" s="32" t="s">
        <v>528</v>
      </c>
      <c r="B158" s="32" t="s">
        <v>718</v>
      </c>
      <c r="C158" s="32"/>
      <c r="D158" s="32"/>
      <c r="E158" s="32"/>
      <c r="F158" s="32"/>
      <c r="G158" s="32"/>
      <c r="M158" s="49">
        <v>37</v>
      </c>
    </row>
    <row r="159" spans="1:13" ht="13.5" customHeight="1" x14ac:dyDescent="0.25">
      <c r="A159" s="32" t="s">
        <v>508</v>
      </c>
      <c r="B159" s="32" t="s">
        <v>548</v>
      </c>
      <c r="C159" s="32" t="s">
        <v>552</v>
      </c>
      <c r="D159" s="32" t="s">
        <v>5091</v>
      </c>
      <c r="E159" s="32"/>
      <c r="F159" s="32"/>
      <c r="G159" s="32"/>
      <c r="M159" s="49">
        <v>3</v>
      </c>
    </row>
    <row r="160" spans="1:13" ht="13.5" customHeight="1" x14ac:dyDescent="0.25">
      <c r="A160" s="32" t="s">
        <v>526</v>
      </c>
      <c r="B160" s="32" t="s">
        <v>719</v>
      </c>
      <c r="C160" s="32" t="s">
        <v>852</v>
      </c>
      <c r="D160" s="32" t="s">
        <v>5092</v>
      </c>
      <c r="E160" s="32" t="s">
        <v>586</v>
      </c>
      <c r="F160" s="32" t="s">
        <v>897</v>
      </c>
      <c r="G160" s="32"/>
      <c r="M160" s="49">
        <v>183</v>
      </c>
    </row>
    <row r="161" spans="1:13" ht="13.5" customHeight="1" x14ac:dyDescent="0.25">
      <c r="A161" s="32" t="s">
        <v>530</v>
      </c>
      <c r="B161" s="32" t="s">
        <v>720</v>
      </c>
      <c r="C161" s="32"/>
      <c r="D161" s="32"/>
      <c r="E161" s="32"/>
      <c r="F161" s="32"/>
      <c r="G161" s="32"/>
      <c r="M161" s="49">
        <v>8</v>
      </c>
    </row>
    <row r="162" spans="1:13" ht="13.5" customHeight="1" x14ac:dyDescent="0.25">
      <c r="A162" s="32" t="s">
        <v>532</v>
      </c>
      <c r="B162" s="32" t="s">
        <v>721</v>
      </c>
      <c r="C162" s="32" t="s">
        <v>542</v>
      </c>
      <c r="D162" s="32"/>
      <c r="E162" s="32"/>
      <c r="F162" s="32"/>
      <c r="G162" s="32"/>
      <c r="M162" s="49">
        <v>26</v>
      </c>
    </row>
    <row r="163" spans="1:13" ht="13.5" customHeight="1" x14ac:dyDescent="0.25">
      <c r="A163" s="32" t="s">
        <v>534</v>
      </c>
      <c r="B163" s="32" t="s">
        <v>722</v>
      </c>
      <c r="C163" s="32" t="s">
        <v>853</v>
      </c>
      <c r="D163" s="32"/>
      <c r="E163" s="32"/>
      <c r="F163" s="32"/>
      <c r="G163" s="32"/>
      <c r="M163" s="49">
        <v>0</v>
      </c>
    </row>
    <row r="164" spans="1:13" ht="13.5" customHeight="1" x14ac:dyDescent="0.25">
      <c r="A164" s="32" t="s">
        <v>536</v>
      </c>
      <c r="B164" s="32" t="s">
        <v>723</v>
      </c>
      <c r="C164" s="32"/>
      <c r="D164" s="32"/>
      <c r="E164" s="32"/>
      <c r="F164" s="32"/>
      <c r="G164" s="32"/>
      <c r="M164" s="49">
        <v>150</v>
      </c>
    </row>
    <row r="165" spans="1:13" ht="13.5" customHeight="1" x14ac:dyDescent="0.25">
      <c r="A165" s="32" t="s">
        <v>458</v>
      </c>
      <c r="B165" s="32" t="s">
        <v>724</v>
      </c>
      <c r="C165" s="32" t="s">
        <v>854</v>
      </c>
      <c r="D165" s="32" t="s">
        <v>5093</v>
      </c>
      <c r="E165" s="32"/>
      <c r="F165" s="32"/>
      <c r="G165" s="32"/>
      <c r="M165" s="49">
        <v>26</v>
      </c>
    </row>
    <row r="166" spans="1:13" ht="13.5" customHeight="1" x14ac:dyDescent="0.25">
      <c r="A166" s="32" t="s">
        <v>539</v>
      </c>
      <c r="B166" s="32" t="s">
        <v>725</v>
      </c>
      <c r="C166" s="32"/>
      <c r="D166" s="32"/>
      <c r="E166" s="32"/>
      <c r="F166" s="32"/>
      <c r="G166" s="32"/>
      <c r="M166" s="49">
        <v>0</v>
      </c>
    </row>
    <row r="167" spans="1:13" ht="13.5" customHeight="1" x14ac:dyDescent="0.25">
      <c r="A167" s="32" t="s">
        <v>365</v>
      </c>
      <c r="B167" s="32" t="s">
        <v>726</v>
      </c>
      <c r="C167" s="32" t="s">
        <v>855</v>
      </c>
      <c r="D167" s="32" t="s">
        <v>5094</v>
      </c>
      <c r="E167" s="32" t="s">
        <v>588</v>
      </c>
      <c r="F167" s="32" t="s">
        <v>898</v>
      </c>
      <c r="G167" s="32"/>
      <c r="M167" s="49">
        <v>24</v>
      </c>
    </row>
    <row r="168" spans="1:13" ht="13.5" customHeight="1" x14ac:dyDescent="0.25">
      <c r="A168" s="32" t="s">
        <v>380</v>
      </c>
      <c r="B168" s="32" t="s">
        <v>727</v>
      </c>
      <c r="C168" s="32" t="s">
        <v>856</v>
      </c>
      <c r="D168" s="32" t="s">
        <v>5095</v>
      </c>
      <c r="E168" s="32" t="s">
        <v>590</v>
      </c>
      <c r="F168" s="32"/>
      <c r="G168" s="32"/>
      <c r="M168" s="49">
        <v>16</v>
      </c>
    </row>
    <row r="169" spans="1:13" ht="13.5" customHeight="1" x14ac:dyDescent="0.25">
      <c r="A169" s="32" t="s">
        <v>508</v>
      </c>
      <c r="B169" s="32" t="s">
        <v>548</v>
      </c>
      <c r="C169" s="32" t="s">
        <v>552</v>
      </c>
      <c r="D169" s="32" t="s">
        <v>5091</v>
      </c>
      <c r="E169" s="32"/>
      <c r="F169" s="32"/>
      <c r="G169" s="32"/>
      <c r="M169" s="49">
        <v>3</v>
      </c>
    </row>
    <row r="170" spans="1:13" ht="13.5" customHeight="1" x14ac:dyDescent="0.25">
      <c r="A170" s="32" t="s">
        <v>427</v>
      </c>
      <c r="B170" s="32" t="s">
        <v>728</v>
      </c>
      <c r="C170" s="32" t="s">
        <v>857</v>
      </c>
      <c r="D170" s="32" t="s">
        <v>5096</v>
      </c>
      <c r="E170" s="32"/>
      <c r="F170" s="32"/>
      <c r="G170" s="32"/>
      <c r="M170" s="49">
        <v>65</v>
      </c>
    </row>
    <row r="171" spans="1:13" ht="13.5" customHeight="1" x14ac:dyDescent="0.25">
      <c r="A171" s="32" t="s">
        <v>432</v>
      </c>
      <c r="B171" s="32" t="s">
        <v>729</v>
      </c>
      <c r="C171" s="32" t="s">
        <v>858</v>
      </c>
      <c r="D171" s="32" t="s">
        <v>5097</v>
      </c>
      <c r="E171" s="32"/>
      <c r="F171" s="32"/>
      <c r="G171" s="32"/>
      <c r="M171" s="49">
        <v>2</v>
      </c>
    </row>
    <row r="172" spans="1:13" ht="13.5" customHeight="1" x14ac:dyDescent="0.25">
      <c r="A172" s="32" t="s">
        <v>457</v>
      </c>
      <c r="B172" s="32" t="s">
        <v>730</v>
      </c>
      <c r="C172" s="32" t="s">
        <v>859</v>
      </c>
      <c r="D172" s="32" t="s">
        <v>5098</v>
      </c>
      <c r="E172" s="32"/>
      <c r="F172" s="32"/>
      <c r="G172" s="32"/>
      <c r="M172" s="49">
        <v>13</v>
      </c>
    </row>
    <row r="173" spans="1:13" ht="13.5" customHeight="1" x14ac:dyDescent="0.25">
      <c r="A173" s="32" t="s">
        <v>465</v>
      </c>
      <c r="B173" s="32" t="s">
        <v>731</v>
      </c>
      <c r="C173" s="32" t="s">
        <v>860</v>
      </c>
      <c r="D173" s="32" t="s">
        <v>5099</v>
      </c>
      <c r="E173" s="32"/>
      <c r="F173" s="32"/>
      <c r="G173" s="32"/>
      <c r="M173" s="49">
        <v>15</v>
      </c>
    </row>
    <row r="174" spans="1:13" ht="13.5" customHeight="1" x14ac:dyDescent="0.25">
      <c r="A174" s="32" t="s">
        <v>486</v>
      </c>
      <c r="B174" s="32" t="s">
        <v>732</v>
      </c>
      <c r="C174" s="32" t="s">
        <v>861</v>
      </c>
      <c r="D174" s="32"/>
      <c r="E174" s="32"/>
      <c r="F174" s="32"/>
      <c r="G174" s="32"/>
      <c r="M174" s="49">
        <v>396</v>
      </c>
    </row>
    <row r="175" spans="1:13" ht="13.5" customHeight="1" x14ac:dyDescent="0.25">
      <c r="A175" s="32" t="s">
        <v>490</v>
      </c>
      <c r="B175" s="32" t="s">
        <v>733</v>
      </c>
      <c r="C175" s="32"/>
      <c r="D175" s="32"/>
      <c r="E175" s="32"/>
      <c r="F175" s="32"/>
      <c r="G175" s="32"/>
      <c r="M175" s="49">
        <v>59</v>
      </c>
    </row>
    <row r="176" spans="1:13" ht="13.5" customHeight="1" x14ac:dyDescent="0.25">
      <c r="A176" s="32" t="s">
        <v>501</v>
      </c>
      <c r="B176" s="32" t="s">
        <v>734</v>
      </c>
      <c r="C176" s="32" t="s">
        <v>862</v>
      </c>
      <c r="D176" s="32" t="s">
        <v>5100</v>
      </c>
      <c r="E176" s="32"/>
      <c r="F176" s="32"/>
      <c r="G176" s="32"/>
      <c r="M176" s="49">
        <v>31</v>
      </c>
    </row>
    <row r="177" spans="1:13" ht="13.5" customHeight="1" x14ac:dyDescent="0.25">
      <c r="A177" s="32" t="s">
        <v>521</v>
      </c>
      <c r="B177" s="32" t="s">
        <v>735</v>
      </c>
      <c r="C177" s="32" t="s">
        <v>863</v>
      </c>
      <c r="D177" s="32"/>
      <c r="E177" s="32"/>
      <c r="F177" s="32"/>
      <c r="G177" s="32"/>
      <c r="M177" s="49">
        <v>4</v>
      </c>
    </row>
    <row r="178" spans="1:13" ht="13.5" customHeight="1" x14ac:dyDescent="0.25">
      <c r="A178" s="32" t="s">
        <v>531</v>
      </c>
      <c r="B178" s="32" t="s">
        <v>736</v>
      </c>
      <c r="C178" s="32" t="s">
        <v>864</v>
      </c>
      <c r="D178" s="32" t="s">
        <v>5101</v>
      </c>
      <c r="E178" s="32"/>
      <c r="F178" s="32"/>
      <c r="G178" s="32"/>
      <c r="M178" s="49">
        <v>197</v>
      </c>
    </row>
    <row r="179" spans="1:13" ht="13.5" customHeight="1" x14ac:dyDescent="0.25">
      <c r="A179" s="32" t="s">
        <v>379</v>
      </c>
      <c r="B179" s="32" t="s">
        <v>737</v>
      </c>
      <c r="C179" s="32" t="s">
        <v>865</v>
      </c>
      <c r="D179" s="32"/>
      <c r="E179" s="32"/>
      <c r="F179" s="32"/>
      <c r="G179" s="32"/>
      <c r="M179" s="49">
        <v>2</v>
      </c>
    </row>
    <row r="180" spans="1:13" ht="13.5" customHeight="1" x14ac:dyDescent="0.25">
      <c r="A180" s="32" t="s">
        <v>386</v>
      </c>
      <c r="B180" s="32" t="s">
        <v>738</v>
      </c>
      <c r="C180" s="32" t="s">
        <v>866</v>
      </c>
      <c r="D180" s="32" t="s">
        <v>5102</v>
      </c>
      <c r="E180" s="32" t="s">
        <v>592</v>
      </c>
      <c r="F180" s="32" t="s">
        <v>899</v>
      </c>
      <c r="G180" s="32"/>
      <c r="M180" s="49">
        <v>35</v>
      </c>
    </row>
    <row r="181" spans="1:13" ht="13.5" customHeight="1" x14ac:dyDescent="0.25">
      <c r="A181" s="32" t="s">
        <v>492</v>
      </c>
      <c r="B181" s="32" t="s">
        <v>739</v>
      </c>
      <c r="C181" s="32" t="s">
        <v>550</v>
      </c>
      <c r="D181" s="32"/>
      <c r="E181" s="32"/>
      <c r="F181" s="32"/>
      <c r="G181" s="32"/>
      <c r="M181" s="49">
        <v>1</v>
      </c>
    </row>
    <row r="182" spans="1:13" ht="13.5" customHeight="1" x14ac:dyDescent="0.25">
      <c r="A182" s="32" t="s">
        <v>400</v>
      </c>
      <c r="B182" s="32" t="s">
        <v>408</v>
      </c>
      <c r="C182" s="32" t="s">
        <v>867</v>
      </c>
      <c r="D182" s="32" t="s">
        <v>5103</v>
      </c>
      <c r="E182" s="32"/>
      <c r="F182" s="32"/>
      <c r="G182" s="32"/>
      <c r="M182" s="49">
        <v>4</v>
      </c>
    </row>
    <row r="183" spans="1:13" ht="13.5" customHeight="1" x14ac:dyDescent="0.25">
      <c r="A183" s="32" t="s">
        <v>395</v>
      </c>
      <c r="B183" s="32" t="s">
        <v>740</v>
      </c>
      <c r="C183" s="32"/>
      <c r="D183" s="32"/>
      <c r="E183" s="32"/>
      <c r="F183" s="32"/>
      <c r="G183" s="32"/>
      <c r="M183" s="49">
        <v>148</v>
      </c>
    </row>
    <row r="184" spans="1:13" ht="13.5" customHeight="1" x14ac:dyDescent="0.25">
      <c r="A184" s="32" t="s">
        <v>411</v>
      </c>
      <c r="B184" s="32" t="s">
        <v>741</v>
      </c>
      <c r="C184" s="32" t="s">
        <v>868</v>
      </c>
      <c r="D184" s="32"/>
      <c r="E184" s="32"/>
      <c r="F184" s="32"/>
      <c r="G184" s="32"/>
      <c r="M184" s="49">
        <v>1</v>
      </c>
    </row>
    <row r="185" spans="1:13" ht="13.5" customHeight="1" x14ac:dyDescent="0.25">
      <c r="A185" s="32" t="s">
        <v>450</v>
      </c>
      <c r="B185" s="32" t="s">
        <v>742</v>
      </c>
      <c r="C185" s="32" t="s">
        <v>869</v>
      </c>
      <c r="D185" s="32" t="s">
        <v>5104</v>
      </c>
      <c r="E185" s="32"/>
      <c r="F185" s="32"/>
      <c r="G185" s="32"/>
      <c r="M185" s="49">
        <v>176</v>
      </c>
    </row>
    <row r="186" spans="1:13" ht="13.5" customHeight="1" x14ac:dyDescent="0.25">
      <c r="A186" s="32" t="s">
        <v>475</v>
      </c>
      <c r="B186" s="32" t="s">
        <v>743</v>
      </c>
      <c r="C186" s="32" t="s">
        <v>870</v>
      </c>
      <c r="D186" s="32"/>
      <c r="E186" s="32"/>
      <c r="F186" s="32"/>
      <c r="G186" s="32"/>
      <c r="M186" s="49">
        <v>117</v>
      </c>
    </row>
    <row r="187" spans="1:13" ht="13.5" customHeight="1" x14ac:dyDescent="0.25">
      <c r="A187" s="32" t="s">
        <v>491</v>
      </c>
      <c r="B187" s="32" t="s">
        <v>744</v>
      </c>
      <c r="C187" s="32" t="s">
        <v>871</v>
      </c>
      <c r="D187" s="32" t="s">
        <v>632</v>
      </c>
      <c r="E187" s="32"/>
      <c r="F187" s="32"/>
      <c r="G187" s="32"/>
      <c r="M187" s="49">
        <v>3</v>
      </c>
    </row>
    <row r="188" spans="1:13" ht="13.5" customHeight="1" x14ac:dyDescent="0.25">
      <c r="A188" s="32" t="s">
        <v>517</v>
      </c>
      <c r="B188" t="s">
        <v>745</v>
      </c>
      <c r="C188" t="s">
        <v>872</v>
      </c>
      <c r="D188" s="32" t="s">
        <v>5105</v>
      </c>
      <c r="E188" s="32" t="s">
        <v>594</v>
      </c>
      <c r="F188" s="32" t="s">
        <v>900</v>
      </c>
      <c r="G188" s="32" t="s">
        <v>910</v>
      </c>
      <c r="H188" t="s">
        <v>916</v>
      </c>
      <c r="I188" t="s">
        <v>921</v>
      </c>
      <c r="J188" t="s">
        <v>923</v>
      </c>
      <c r="M188" s="49">
        <v>4</v>
      </c>
    </row>
    <row r="189" spans="1:13" ht="13.5" customHeight="1" x14ac:dyDescent="0.25">
      <c r="A189" s="32" t="s">
        <v>524</v>
      </c>
      <c r="B189" s="32" t="s">
        <v>746</v>
      </c>
      <c r="C189" s="32"/>
      <c r="D189" s="32"/>
      <c r="E189" s="32"/>
      <c r="F189" s="32"/>
      <c r="G189" s="32"/>
      <c r="M189" s="49">
        <v>0</v>
      </c>
    </row>
    <row r="190" spans="1:13" ht="13.5" customHeight="1" x14ac:dyDescent="0.25">
      <c r="A190" s="32" t="s">
        <v>523</v>
      </c>
      <c r="B190" s="32" t="s">
        <v>747</v>
      </c>
      <c r="C190" s="32" t="s">
        <v>873</v>
      </c>
      <c r="D190" s="32" t="s">
        <v>5106</v>
      </c>
      <c r="E190" s="32" t="s">
        <v>596</v>
      </c>
      <c r="F190" s="32"/>
      <c r="G190" s="32"/>
      <c r="M190" s="49">
        <v>20</v>
      </c>
    </row>
    <row r="191" spans="1:13" ht="13.5" customHeight="1" x14ac:dyDescent="0.25">
      <c r="A191" s="32" t="s">
        <v>529</v>
      </c>
      <c r="B191" s="32" t="s">
        <v>748</v>
      </c>
      <c r="C191" s="32" t="s">
        <v>874</v>
      </c>
      <c r="D191" s="32" t="s">
        <v>5107</v>
      </c>
      <c r="E191" s="32"/>
      <c r="F191" s="32"/>
      <c r="G191" s="32"/>
      <c r="M191" s="49">
        <v>89</v>
      </c>
    </row>
    <row r="192" spans="1:13" ht="13.5" customHeight="1" x14ac:dyDescent="0.25">
      <c r="A192" s="32" t="s">
        <v>537</v>
      </c>
      <c r="B192" s="32" t="s">
        <v>749</v>
      </c>
      <c r="C192" s="32" t="s">
        <v>875</v>
      </c>
      <c r="D192" s="32"/>
      <c r="E192" s="32"/>
      <c r="F192" s="32"/>
      <c r="G192" s="32"/>
      <c r="M192" s="49">
        <v>2</v>
      </c>
    </row>
    <row r="193" spans="1:13" ht="13.5" customHeight="1" x14ac:dyDescent="0.25">
      <c r="A193" s="32" t="s">
        <v>538</v>
      </c>
      <c r="B193" s="32" t="s">
        <v>544</v>
      </c>
      <c r="C193" s="32" t="s">
        <v>876</v>
      </c>
      <c r="D193" s="32"/>
      <c r="E193" s="32"/>
      <c r="F193" s="32"/>
      <c r="G193" s="32"/>
      <c r="M193" s="49">
        <v>2</v>
      </c>
    </row>
    <row r="194" spans="1:13" ht="13.5" customHeight="1" x14ac:dyDescent="0.25">
      <c r="A194" s="32" t="s">
        <v>535</v>
      </c>
      <c r="B194" s="32" t="s">
        <v>750</v>
      </c>
      <c r="C194" s="32" t="s">
        <v>877</v>
      </c>
      <c r="D194" s="32"/>
      <c r="E194" s="32"/>
      <c r="F194" s="32"/>
      <c r="G194" s="32"/>
      <c r="M194" s="49">
        <v>5</v>
      </c>
    </row>
    <row r="195" spans="1:13" ht="13.5" customHeight="1" x14ac:dyDescent="0.25">
      <c r="A195" s="32" t="s">
        <v>452</v>
      </c>
      <c r="B195" s="32"/>
      <c r="C195" s="32"/>
      <c r="D195" s="32"/>
      <c r="E195" s="32"/>
      <c r="F195" s="32"/>
      <c r="G195" s="32"/>
      <c r="M195" s="49">
        <v>6</v>
      </c>
    </row>
    <row r="196" spans="1:13" ht="13.5" customHeight="1" x14ac:dyDescent="0.25">
      <c r="A196" s="32" t="s">
        <v>384</v>
      </c>
      <c r="B196" s="32"/>
      <c r="C196" s="32"/>
      <c r="D196" s="32"/>
      <c r="E196" s="32"/>
      <c r="F196" s="32"/>
      <c r="G196" s="32"/>
      <c r="M196" s="49">
        <v>179</v>
      </c>
    </row>
    <row r="197" spans="1:13" ht="13.5" customHeight="1" x14ac:dyDescent="0.25">
      <c r="A197" s="32" t="s">
        <v>533</v>
      </c>
      <c r="B197" s="32" t="s">
        <v>751</v>
      </c>
      <c r="C197" s="32" t="s">
        <v>878</v>
      </c>
      <c r="D197" s="32"/>
      <c r="E197" s="32"/>
      <c r="F197" s="32"/>
      <c r="G197" s="32"/>
      <c r="M197" s="49">
        <v>213</v>
      </c>
    </row>
    <row r="198" spans="1:13" ht="13.5" customHeight="1" x14ac:dyDescent="0.25">
      <c r="A198" s="32" t="s">
        <v>540</v>
      </c>
      <c r="B198" s="32" t="s">
        <v>752</v>
      </c>
      <c r="C198" s="32"/>
      <c r="D198" s="32"/>
      <c r="E198" s="32"/>
      <c r="F198" s="32"/>
      <c r="G198" s="32"/>
      <c r="M198" s="49">
        <v>2</v>
      </c>
    </row>
    <row r="199" spans="1:13" ht="13.5" customHeight="1" x14ac:dyDescent="0.25">
      <c r="A199" s="32" t="s">
        <v>563</v>
      </c>
      <c r="B199" s="32" t="s">
        <v>753</v>
      </c>
      <c r="C199" s="32" t="s">
        <v>879</v>
      </c>
      <c r="D199" s="32" t="s">
        <v>5108</v>
      </c>
      <c r="E199" s="32" t="s">
        <v>598</v>
      </c>
      <c r="F199" s="32"/>
      <c r="G199" s="32"/>
      <c r="M199" s="49">
        <v>15</v>
      </c>
    </row>
  </sheetData>
  <pageMargins left="0.7" right="0.7" top="0.75" bottom="0.75" header="0.51180555555555496" footer="0.51180555555555496"/>
  <pageSetup firstPageNumber="0"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C55A11"/>
  </sheetPr>
  <dimension ref="A1:BE199"/>
  <sheetViews>
    <sheetView zoomScale="75" zoomScaleNormal="75" workbookViewId="0">
      <selection activeCell="G34" sqref="G34"/>
    </sheetView>
  </sheetViews>
  <sheetFormatPr baseColWidth="10" defaultColWidth="9.140625" defaultRowHeight="15" x14ac:dyDescent="0.25"/>
  <cols>
    <col min="1" max="1" width="11.42578125"/>
    <col min="2" max="2" width="75.42578125" customWidth="1"/>
    <col min="3" max="9" width="9.140625" hidden="1" customWidth="1"/>
    <col min="10" max="10" width="67.7109375" customWidth="1"/>
    <col min="11" max="17" width="9.140625" hidden="1" customWidth="1"/>
    <col min="18" max="18" width="53.5703125" customWidth="1"/>
    <col min="19" max="33" width="9.140625" hidden="1" customWidth="1"/>
    <col min="34" max="34" width="13.7109375" customWidth="1"/>
    <col min="35" max="35" width="5" customWidth="1"/>
    <col min="36" max="36" width="129.7109375" customWidth="1"/>
    <col min="37" max="44" width="9.140625" hidden="1" customWidth="1"/>
    <col min="45" max="45" width="11.42578125"/>
    <col min="46" max="57" width="9.140625" hidden="1" customWidth="1"/>
    <col min="58"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ht="225" x14ac:dyDescent="0.25">
      <c r="A2" s="173" t="s">
        <v>993</v>
      </c>
      <c r="B2" s="173" t="s">
        <v>992</v>
      </c>
      <c r="C2" s="173"/>
      <c r="D2" s="173"/>
      <c r="E2" s="173"/>
      <c r="F2" s="173" t="s">
        <v>5165</v>
      </c>
      <c r="G2" s="173" t="s">
        <v>5166</v>
      </c>
      <c r="H2" s="173"/>
      <c r="I2" s="173"/>
      <c r="J2" s="173" t="s">
        <v>990</v>
      </c>
      <c r="K2" s="173"/>
      <c r="L2" s="173"/>
      <c r="M2" s="173"/>
      <c r="N2" s="173"/>
      <c r="O2" s="173"/>
      <c r="P2" s="173"/>
      <c r="Q2" s="173"/>
      <c r="R2" s="173" t="s">
        <v>297</v>
      </c>
      <c r="S2" s="173"/>
      <c r="T2" s="173"/>
      <c r="U2" s="173"/>
      <c r="V2" s="173">
        <v>29</v>
      </c>
      <c r="W2" s="173">
        <v>2</v>
      </c>
      <c r="X2" s="173"/>
      <c r="Y2" s="173"/>
      <c r="Z2" s="173">
        <v>239</v>
      </c>
      <c r="AA2" s="173">
        <v>251</v>
      </c>
      <c r="AB2" s="173"/>
      <c r="AC2" s="173" t="s">
        <v>2694</v>
      </c>
      <c r="AD2" s="173"/>
      <c r="AE2" s="173"/>
      <c r="AF2" s="173"/>
      <c r="AG2" s="173"/>
      <c r="AH2" s="173" t="s">
        <v>2624</v>
      </c>
      <c r="AI2" s="173">
        <v>2015</v>
      </c>
      <c r="AJ2" s="32" t="s">
        <v>991</v>
      </c>
      <c r="AS2">
        <v>55</v>
      </c>
      <c r="AT2">
        <v>1</v>
      </c>
      <c r="AU2">
        <v>0</v>
      </c>
      <c r="AV2">
        <v>0</v>
      </c>
      <c r="AW2">
        <v>0</v>
      </c>
      <c r="AX2">
        <v>56</v>
      </c>
      <c r="BA2" t="s">
        <v>5167</v>
      </c>
      <c r="BB2" t="s">
        <v>5168</v>
      </c>
      <c r="BD2" t="s">
        <v>5169</v>
      </c>
    </row>
    <row r="3" spans="1:57" ht="90" x14ac:dyDescent="0.25">
      <c r="A3" s="173" t="s">
        <v>1172</v>
      </c>
      <c r="B3" s="173" t="s">
        <v>1228</v>
      </c>
      <c r="C3" s="173"/>
      <c r="D3" s="173"/>
      <c r="E3" s="173"/>
      <c r="F3" s="173"/>
      <c r="G3" s="173"/>
      <c r="H3" s="173" t="s">
        <v>4946</v>
      </c>
      <c r="I3" s="173"/>
      <c r="J3" s="173" t="s">
        <v>1226</v>
      </c>
      <c r="K3" s="173"/>
      <c r="L3" s="173"/>
      <c r="M3" s="173"/>
      <c r="N3" s="173"/>
      <c r="O3" s="173"/>
      <c r="P3" s="173"/>
      <c r="Q3" s="173"/>
      <c r="R3" s="173" t="s">
        <v>299</v>
      </c>
      <c r="S3" s="173"/>
      <c r="T3" s="173" t="s">
        <v>5170</v>
      </c>
      <c r="U3" s="173"/>
      <c r="V3" s="173">
        <v>3611</v>
      </c>
      <c r="W3" s="173"/>
      <c r="X3" s="173"/>
      <c r="Y3" s="173"/>
      <c r="Z3" s="173">
        <v>12</v>
      </c>
      <c r="AA3" s="173">
        <v>20</v>
      </c>
      <c r="AB3" s="173"/>
      <c r="AC3" s="173"/>
      <c r="AD3" s="173"/>
      <c r="AE3" s="173"/>
      <c r="AF3" s="173"/>
      <c r="AG3" s="173"/>
      <c r="AH3" s="173">
        <v>2005</v>
      </c>
      <c r="AI3" s="173">
        <v>2005</v>
      </c>
      <c r="AJ3" s="32" t="s">
        <v>1227</v>
      </c>
      <c r="AO3" t="s">
        <v>5171</v>
      </c>
      <c r="AP3" t="s">
        <v>5172</v>
      </c>
      <c r="AQ3" t="s">
        <v>5173</v>
      </c>
      <c r="AR3" t="s">
        <v>5174</v>
      </c>
      <c r="AS3">
        <v>3</v>
      </c>
      <c r="AT3">
        <v>0</v>
      </c>
      <c r="AU3">
        <v>0</v>
      </c>
      <c r="AV3">
        <v>0</v>
      </c>
      <c r="AW3">
        <v>0</v>
      </c>
      <c r="AX3">
        <v>3</v>
      </c>
      <c r="BA3" t="s">
        <v>5175</v>
      </c>
      <c r="BB3" t="s">
        <v>5176</v>
      </c>
      <c r="BC3" t="s">
        <v>5177</v>
      </c>
      <c r="BD3" t="s">
        <v>5178</v>
      </c>
    </row>
    <row r="4" spans="1:57" ht="180" x14ac:dyDescent="0.25">
      <c r="A4" s="173" t="s">
        <v>993</v>
      </c>
      <c r="B4" s="173" t="s">
        <v>1006</v>
      </c>
      <c r="C4" s="173"/>
      <c r="D4" s="173"/>
      <c r="E4" s="173"/>
      <c r="F4" s="173"/>
      <c r="G4" s="173"/>
      <c r="H4" s="173"/>
      <c r="I4" s="173"/>
      <c r="J4" s="173" t="s">
        <v>1004</v>
      </c>
      <c r="K4" s="173"/>
      <c r="L4" s="173"/>
      <c r="M4" s="173"/>
      <c r="N4" s="173"/>
      <c r="O4" s="173"/>
      <c r="P4" s="173"/>
      <c r="Q4" s="173"/>
      <c r="R4" s="173" t="s">
        <v>301</v>
      </c>
      <c r="S4" s="173"/>
      <c r="T4" s="173"/>
      <c r="U4" s="173"/>
      <c r="V4" s="173">
        <v>4</v>
      </c>
      <c r="W4" s="173">
        <v>2</v>
      </c>
      <c r="X4" s="173"/>
      <c r="Y4" s="173"/>
      <c r="Z4" s="173">
        <v>175</v>
      </c>
      <c r="AA4" s="173">
        <v>201</v>
      </c>
      <c r="AB4" s="173"/>
      <c r="AC4" s="173" t="s">
        <v>2974</v>
      </c>
      <c r="AD4" s="173"/>
      <c r="AE4" s="173"/>
      <c r="AF4" s="173"/>
      <c r="AG4" s="173"/>
      <c r="AH4" s="173">
        <v>38108</v>
      </c>
      <c r="AI4" s="173">
        <v>2004</v>
      </c>
      <c r="AJ4" s="32" t="s">
        <v>1005</v>
      </c>
      <c r="AS4">
        <v>25</v>
      </c>
      <c r="AT4">
        <v>1</v>
      </c>
      <c r="AU4">
        <v>0</v>
      </c>
      <c r="AV4">
        <v>3</v>
      </c>
      <c r="AW4">
        <v>0</v>
      </c>
      <c r="AX4">
        <v>26</v>
      </c>
      <c r="BA4" t="s">
        <v>5179</v>
      </c>
      <c r="BD4" t="s">
        <v>5180</v>
      </c>
    </row>
    <row r="5" spans="1:57" ht="120" x14ac:dyDescent="0.25">
      <c r="A5" s="173" t="s">
        <v>993</v>
      </c>
      <c r="B5" s="173" t="s">
        <v>1016</v>
      </c>
      <c r="C5" s="173"/>
      <c r="D5" s="173"/>
      <c r="E5" s="173"/>
      <c r="F5" s="173" t="s">
        <v>5181</v>
      </c>
      <c r="G5" s="173" t="s">
        <v>5182</v>
      </c>
      <c r="H5" s="173"/>
      <c r="I5" s="173"/>
      <c r="J5" s="173" t="s">
        <v>1014</v>
      </c>
      <c r="K5" s="173"/>
      <c r="L5" s="173"/>
      <c r="M5" s="173"/>
      <c r="N5" s="173"/>
      <c r="O5" s="173"/>
      <c r="P5" s="173"/>
      <c r="Q5" s="173"/>
      <c r="R5" s="173" t="s">
        <v>301</v>
      </c>
      <c r="S5" s="173"/>
      <c r="T5" s="173"/>
      <c r="U5" s="173"/>
      <c r="V5" s="173">
        <v>46</v>
      </c>
      <c r="W5" s="173"/>
      <c r="X5" s="173"/>
      <c r="Y5" s="173"/>
      <c r="Z5" s="173">
        <v>953</v>
      </c>
      <c r="AA5" s="173">
        <v>966</v>
      </c>
      <c r="AB5" s="173"/>
      <c r="AC5" s="173" t="s">
        <v>3685</v>
      </c>
      <c r="AD5" s="173"/>
      <c r="AE5" s="173"/>
      <c r="AF5" s="173"/>
      <c r="AG5" s="173"/>
      <c r="AH5" s="173">
        <v>42614</v>
      </c>
      <c r="AI5" s="173">
        <v>2016</v>
      </c>
      <c r="AJ5" s="32" t="s">
        <v>1015</v>
      </c>
      <c r="AS5">
        <v>6</v>
      </c>
      <c r="AT5">
        <v>0</v>
      </c>
      <c r="AU5">
        <v>0</v>
      </c>
      <c r="AV5">
        <v>0</v>
      </c>
      <c r="AW5">
        <v>0</v>
      </c>
      <c r="AX5">
        <v>6</v>
      </c>
      <c r="BA5" t="s">
        <v>5179</v>
      </c>
      <c r="BB5" t="s">
        <v>5183</v>
      </c>
      <c r="BD5" t="s">
        <v>5184</v>
      </c>
    </row>
    <row r="6" spans="1:57" ht="225" x14ac:dyDescent="0.25">
      <c r="A6" s="173" t="s">
        <v>993</v>
      </c>
      <c r="B6" s="173" t="s">
        <v>1023</v>
      </c>
      <c r="C6" s="173"/>
      <c r="D6" s="173"/>
      <c r="E6" s="173"/>
      <c r="F6" s="173"/>
      <c r="G6" s="173"/>
      <c r="H6" s="173"/>
      <c r="I6" s="173"/>
      <c r="J6" s="173" t="s">
        <v>1021</v>
      </c>
      <c r="K6" s="173"/>
      <c r="L6" s="173"/>
      <c r="M6" s="173"/>
      <c r="N6" s="173"/>
      <c r="O6" s="173"/>
      <c r="P6" s="173"/>
      <c r="Q6" s="173"/>
      <c r="R6" s="173" t="s">
        <v>304</v>
      </c>
      <c r="S6" s="173"/>
      <c r="T6" s="173"/>
      <c r="U6" s="173"/>
      <c r="V6" s="173">
        <v>50</v>
      </c>
      <c r="W6" s="173">
        <v>2</v>
      </c>
      <c r="X6" s="173"/>
      <c r="Y6" s="173"/>
      <c r="Z6" s="173">
        <v>283</v>
      </c>
      <c r="AA6" s="173">
        <v>339</v>
      </c>
      <c r="AB6" s="173"/>
      <c r="AC6" s="173" t="s">
        <v>4685</v>
      </c>
      <c r="AD6" s="173"/>
      <c r="AE6" s="173"/>
      <c r="AF6" s="173"/>
      <c r="AG6" s="173"/>
      <c r="AH6" s="173" t="s">
        <v>4100</v>
      </c>
      <c r="AI6" s="173">
        <v>2018</v>
      </c>
      <c r="AJ6" s="32" t="s">
        <v>1022</v>
      </c>
      <c r="AS6">
        <v>2</v>
      </c>
      <c r="AT6">
        <v>0</v>
      </c>
      <c r="AU6">
        <v>0</v>
      </c>
      <c r="AV6">
        <v>0</v>
      </c>
      <c r="AW6">
        <v>0</v>
      </c>
      <c r="AX6">
        <v>2</v>
      </c>
      <c r="BA6" t="s">
        <v>5185</v>
      </c>
      <c r="BB6" t="s">
        <v>5186</v>
      </c>
      <c r="BD6" t="s">
        <v>5187</v>
      </c>
    </row>
    <row r="7" spans="1:57" ht="105" x14ac:dyDescent="0.25">
      <c r="A7" s="173" t="s">
        <v>993</v>
      </c>
      <c r="B7" s="173" t="s">
        <v>1034</v>
      </c>
      <c r="C7" s="173"/>
      <c r="D7" s="173"/>
      <c r="E7" s="173"/>
      <c r="F7" s="173"/>
      <c r="G7" s="173"/>
      <c r="H7" s="173"/>
      <c r="I7" s="173"/>
      <c r="J7" s="173" t="s">
        <v>1032</v>
      </c>
      <c r="K7" s="173"/>
      <c r="L7" s="173"/>
      <c r="M7" s="173"/>
      <c r="N7" s="173"/>
      <c r="O7" s="173"/>
      <c r="P7" s="173"/>
      <c r="Q7" s="173"/>
      <c r="R7" s="173" t="s">
        <v>304</v>
      </c>
      <c r="S7" s="173"/>
      <c r="T7" s="173"/>
      <c r="U7" s="173"/>
      <c r="V7" s="173">
        <v>50</v>
      </c>
      <c r="W7" s="173">
        <v>2</v>
      </c>
      <c r="X7" s="173"/>
      <c r="Y7" s="173"/>
      <c r="Z7" s="173">
        <v>241</v>
      </c>
      <c r="AA7" s="173">
        <v>259</v>
      </c>
      <c r="AB7" s="173"/>
      <c r="AC7" s="173" t="s">
        <v>4684</v>
      </c>
      <c r="AD7" s="173"/>
      <c r="AE7" s="173"/>
      <c r="AF7" s="173"/>
      <c r="AG7" s="173"/>
      <c r="AH7" s="173" t="s">
        <v>4100</v>
      </c>
      <c r="AI7" s="173">
        <v>2018</v>
      </c>
      <c r="AJ7" s="32" t="s">
        <v>1033</v>
      </c>
      <c r="AS7">
        <v>2</v>
      </c>
      <c r="AT7">
        <v>0</v>
      </c>
      <c r="AU7">
        <v>0</v>
      </c>
      <c r="AV7">
        <v>0</v>
      </c>
      <c r="AW7">
        <v>0</v>
      </c>
      <c r="AX7">
        <v>2</v>
      </c>
      <c r="BA7" t="s">
        <v>5185</v>
      </c>
      <c r="BB7" t="s">
        <v>5186</v>
      </c>
      <c r="BD7" t="s">
        <v>5188</v>
      </c>
    </row>
    <row r="8" spans="1:57" ht="120" x14ac:dyDescent="0.25">
      <c r="A8" s="173" t="s">
        <v>993</v>
      </c>
      <c r="B8" s="173" t="s">
        <v>1045</v>
      </c>
      <c r="C8" s="173"/>
      <c r="D8" s="173"/>
      <c r="E8" s="173"/>
      <c r="F8" s="173"/>
      <c r="G8" s="173"/>
      <c r="H8" s="173"/>
      <c r="I8" s="173"/>
      <c r="J8" s="173" t="s">
        <v>1043</v>
      </c>
      <c r="K8" s="173"/>
      <c r="L8" s="173"/>
      <c r="M8" s="173"/>
      <c r="N8" s="173"/>
      <c r="O8" s="173"/>
      <c r="P8" s="173"/>
      <c r="Q8" s="173"/>
      <c r="R8" s="173" t="s">
        <v>307</v>
      </c>
      <c r="S8" s="173"/>
      <c r="T8" s="173"/>
      <c r="U8" s="173"/>
      <c r="V8" s="173">
        <v>52</v>
      </c>
      <c r="W8" s="173"/>
      <c r="X8" s="173"/>
      <c r="Y8" s="173"/>
      <c r="Z8" s="173">
        <v>985</v>
      </c>
      <c r="AA8" s="173">
        <v>994</v>
      </c>
      <c r="AB8" s="173"/>
      <c r="AC8" s="173" t="s">
        <v>4027</v>
      </c>
      <c r="AD8" s="173"/>
      <c r="AE8" s="173"/>
      <c r="AF8" s="173"/>
      <c r="AG8" s="173"/>
      <c r="AH8" s="173" t="s">
        <v>4013</v>
      </c>
      <c r="AI8" s="173">
        <v>2018</v>
      </c>
      <c r="AJ8" s="32" t="s">
        <v>1044</v>
      </c>
      <c r="AS8">
        <v>0</v>
      </c>
      <c r="AT8">
        <v>0</v>
      </c>
      <c r="AU8">
        <v>0</v>
      </c>
      <c r="AV8">
        <v>0</v>
      </c>
      <c r="AW8">
        <v>0</v>
      </c>
      <c r="AX8">
        <v>0</v>
      </c>
      <c r="BA8" t="s">
        <v>5189</v>
      </c>
      <c r="BD8" t="s">
        <v>5190</v>
      </c>
    </row>
    <row r="9" spans="1:57" ht="105" x14ac:dyDescent="0.25">
      <c r="A9" s="173" t="s">
        <v>1172</v>
      </c>
      <c r="B9" s="173" t="s">
        <v>1235</v>
      </c>
      <c r="C9" s="173"/>
      <c r="D9" s="173"/>
      <c r="E9" s="173"/>
      <c r="F9" s="173"/>
      <c r="G9" s="173"/>
      <c r="H9" s="173" t="s">
        <v>3274</v>
      </c>
      <c r="I9" s="173"/>
      <c r="J9" s="173" t="s">
        <v>1233</v>
      </c>
      <c r="K9" s="173"/>
      <c r="L9" s="173"/>
      <c r="M9" s="173"/>
      <c r="N9" s="173"/>
      <c r="O9" s="173"/>
      <c r="P9" s="173"/>
      <c r="Q9" s="173"/>
      <c r="R9" s="173" t="s">
        <v>309</v>
      </c>
      <c r="S9" s="173"/>
      <c r="T9" s="173" t="s">
        <v>5170</v>
      </c>
      <c r="U9" s="173"/>
      <c r="V9" s="173">
        <v>3852</v>
      </c>
      <c r="W9" s="173"/>
      <c r="X9" s="173"/>
      <c r="Y9" s="173"/>
      <c r="Z9" s="173">
        <v>151</v>
      </c>
      <c r="AA9" s="173">
        <v>161</v>
      </c>
      <c r="AB9" s="173"/>
      <c r="AC9" s="173"/>
      <c r="AD9" s="173"/>
      <c r="AE9" s="173"/>
      <c r="AF9" s="173"/>
      <c r="AG9" s="173"/>
      <c r="AH9" s="173">
        <v>2006</v>
      </c>
      <c r="AI9" s="173">
        <v>2006</v>
      </c>
      <c r="AJ9" s="32" t="s">
        <v>1234</v>
      </c>
      <c r="AO9" t="s">
        <v>5191</v>
      </c>
      <c r="AP9" t="s">
        <v>5192</v>
      </c>
      <c r="AR9" t="s">
        <v>5193</v>
      </c>
      <c r="AS9">
        <v>14</v>
      </c>
      <c r="AT9">
        <v>0</v>
      </c>
      <c r="AU9">
        <v>0</v>
      </c>
      <c r="AV9">
        <v>0</v>
      </c>
      <c r="AW9">
        <v>0</v>
      </c>
      <c r="AX9">
        <v>14</v>
      </c>
      <c r="BA9" t="s">
        <v>5175</v>
      </c>
      <c r="BB9" t="s">
        <v>5176</v>
      </c>
      <c r="BC9" t="s">
        <v>5194</v>
      </c>
      <c r="BD9" t="s">
        <v>5195</v>
      </c>
    </row>
    <row r="10" spans="1:57" ht="135" x14ac:dyDescent="0.25">
      <c r="A10" s="173" t="s">
        <v>993</v>
      </c>
      <c r="B10" s="173" t="s">
        <v>1238</v>
      </c>
      <c r="C10" s="173"/>
      <c r="D10" s="173"/>
      <c r="E10" s="173"/>
      <c r="F10" s="173" t="s">
        <v>5196</v>
      </c>
      <c r="G10" s="173" t="s">
        <v>5197</v>
      </c>
      <c r="H10" s="173"/>
      <c r="I10" s="173"/>
      <c r="J10" s="173" t="s">
        <v>1236</v>
      </c>
      <c r="K10" s="173"/>
      <c r="L10" s="173"/>
      <c r="M10" s="173"/>
      <c r="N10" s="173"/>
      <c r="O10" s="173"/>
      <c r="P10" s="173"/>
      <c r="Q10" s="173"/>
      <c r="R10" s="173" t="s">
        <v>298</v>
      </c>
      <c r="S10" s="173"/>
      <c r="T10" s="173"/>
      <c r="U10" s="173"/>
      <c r="V10" s="173">
        <v>110</v>
      </c>
      <c r="W10" s="173">
        <v>3</v>
      </c>
      <c r="X10" s="173"/>
      <c r="Y10" s="173"/>
      <c r="Z10" s="173">
        <v>346</v>
      </c>
      <c r="AA10" s="173">
        <v>359</v>
      </c>
      <c r="AB10" s="173"/>
      <c r="AC10" s="173" t="s">
        <v>2392</v>
      </c>
      <c r="AD10" s="173"/>
      <c r="AE10" s="173"/>
      <c r="AF10" s="173"/>
      <c r="AG10" s="173"/>
      <c r="AH10" s="173">
        <v>39600</v>
      </c>
      <c r="AI10" s="173">
        <v>2008</v>
      </c>
      <c r="AJ10" s="32" t="s">
        <v>1237</v>
      </c>
      <c r="AS10">
        <v>5623</v>
      </c>
      <c r="AT10">
        <v>518</v>
      </c>
      <c r="AU10">
        <v>38</v>
      </c>
      <c r="AV10">
        <v>213</v>
      </c>
      <c r="AW10">
        <v>6</v>
      </c>
      <c r="AX10">
        <v>6150</v>
      </c>
      <c r="BA10" t="s">
        <v>5198</v>
      </c>
      <c r="BD10" t="s">
        <v>5199</v>
      </c>
    </row>
    <row r="11" spans="1:57" ht="135" x14ac:dyDescent="0.25">
      <c r="A11" s="173" t="s">
        <v>993</v>
      </c>
      <c r="B11" s="173" t="s">
        <v>1241</v>
      </c>
      <c r="C11" s="173"/>
      <c r="D11" s="173"/>
      <c r="E11" s="173"/>
      <c r="F11" s="173" t="s">
        <v>5200</v>
      </c>
      <c r="G11" s="173" t="s">
        <v>5201</v>
      </c>
      <c r="H11" s="173"/>
      <c r="I11" s="173"/>
      <c r="J11" s="173" t="s">
        <v>1239</v>
      </c>
      <c r="K11" s="173"/>
      <c r="L11" s="173"/>
      <c r="M11" s="173"/>
      <c r="N11" s="173"/>
      <c r="O11" s="173"/>
      <c r="P11" s="173"/>
      <c r="Q11" s="173"/>
      <c r="R11" s="173" t="s">
        <v>298</v>
      </c>
      <c r="S11" s="173"/>
      <c r="T11" s="173"/>
      <c r="U11" s="173"/>
      <c r="V11" s="173">
        <v>131</v>
      </c>
      <c r="W11" s="173"/>
      <c r="X11" s="173"/>
      <c r="Y11" s="173"/>
      <c r="Z11" s="173">
        <v>88</v>
      </c>
      <c r="AA11" s="173">
        <v>99</v>
      </c>
      <c r="AB11" s="173"/>
      <c r="AC11" s="173" t="s">
        <v>3072</v>
      </c>
      <c r="AD11" s="173"/>
      <c r="AE11" s="173"/>
      <c r="AF11" s="173"/>
      <c r="AG11" s="173"/>
      <c r="AH11" s="173">
        <v>42036</v>
      </c>
      <c r="AI11" s="173">
        <v>2015</v>
      </c>
      <c r="AJ11" s="32" t="s">
        <v>1240</v>
      </c>
      <c r="AS11">
        <v>20</v>
      </c>
      <c r="AT11">
        <v>0</v>
      </c>
      <c r="AU11">
        <v>0</v>
      </c>
      <c r="AV11">
        <v>2</v>
      </c>
      <c r="AW11">
        <v>0</v>
      </c>
      <c r="AX11">
        <v>20</v>
      </c>
      <c r="BA11" t="s">
        <v>5198</v>
      </c>
      <c r="BB11" t="s">
        <v>5202</v>
      </c>
      <c r="BD11" t="s">
        <v>5203</v>
      </c>
    </row>
    <row r="12" spans="1:57" ht="90" x14ac:dyDescent="0.25">
      <c r="A12" s="173" t="s">
        <v>993</v>
      </c>
      <c r="B12" s="173" t="s">
        <v>1051</v>
      </c>
      <c r="C12" s="173"/>
      <c r="D12" s="173"/>
      <c r="E12" s="173"/>
      <c r="F12" s="173" t="s">
        <v>5204</v>
      </c>
      <c r="G12" s="173" t="s">
        <v>5205</v>
      </c>
      <c r="H12" s="173"/>
      <c r="I12" s="173"/>
      <c r="J12" s="173" t="s">
        <v>1282</v>
      </c>
      <c r="K12" s="173"/>
      <c r="L12" s="173"/>
      <c r="M12" s="173"/>
      <c r="N12" s="173"/>
      <c r="O12" s="173"/>
      <c r="P12" s="173"/>
      <c r="Q12" s="173"/>
      <c r="R12" s="173" t="s">
        <v>298</v>
      </c>
      <c r="S12" s="173"/>
      <c r="T12" s="173"/>
      <c r="U12" s="173"/>
      <c r="V12" s="173">
        <v>117</v>
      </c>
      <c r="W12" s="173">
        <v>6</v>
      </c>
      <c r="X12" s="173"/>
      <c r="Y12" s="173"/>
      <c r="Z12" s="173">
        <v>633</v>
      </c>
      <c r="AA12" s="173">
        <v>659</v>
      </c>
      <c r="AB12" s="173"/>
      <c r="AC12" s="173" t="s">
        <v>2531</v>
      </c>
      <c r="AD12" s="173"/>
      <c r="AE12" s="173"/>
      <c r="AF12" s="173"/>
      <c r="AG12" s="173"/>
      <c r="AH12" s="173">
        <v>41426</v>
      </c>
      <c r="AI12" s="173">
        <v>2013</v>
      </c>
      <c r="AJ12" s="32" t="s">
        <v>1050</v>
      </c>
      <c r="AS12">
        <v>131</v>
      </c>
      <c r="AT12">
        <v>8</v>
      </c>
      <c r="AU12">
        <v>0</v>
      </c>
      <c r="AV12">
        <v>4</v>
      </c>
      <c r="AW12">
        <v>0</v>
      </c>
      <c r="AX12">
        <v>138</v>
      </c>
      <c r="BA12" t="s">
        <v>5198</v>
      </c>
      <c r="BB12" t="s">
        <v>5202</v>
      </c>
      <c r="BD12" t="s">
        <v>5206</v>
      </c>
    </row>
    <row r="13" spans="1:57" ht="180" x14ac:dyDescent="0.25">
      <c r="A13" s="173" t="s">
        <v>993</v>
      </c>
      <c r="B13" s="173" t="s">
        <v>1061</v>
      </c>
      <c r="C13" s="173"/>
      <c r="D13" s="173"/>
      <c r="E13" s="173"/>
      <c r="F13" s="173"/>
      <c r="G13" s="173" t="s">
        <v>5207</v>
      </c>
      <c r="H13" s="173"/>
      <c r="I13" s="173"/>
      <c r="J13" s="173" t="s">
        <v>1059</v>
      </c>
      <c r="K13" s="173"/>
      <c r="L13" s="173"/>
      <c r="M13" s="173"/>
      <c r="N13" s="173"/>
      <c r="O13" s="173"/>
      <c r="P13" s="173"/>
      <c r="Q13" s="173"/>
      <c r="R13" s="173" t="s">
        <v>298</v>
      </c>
      <c r="S13" s="173"/>
      <c r="T13" s="173"/>
      <c r="U13" s="173"/>
      <c r="V13" s="173">
        <v>128</v>
      </c>
      <c r="W13" s="173"/>
      <c r="X13" s="173"/>
      <c r="Y13" s="173"/>
      <c r="Z13" s="173">
        <v>65</v>
      </c>
      <c r="AA13" s="173">
        <v>83</v>
      </c>
      <c r="AB13" s="173"/>
      <c r="AC13" s="173" t="s">
        <v>3418</v>
      </c>
      <c r="AD13" s="173"/>
      <c r="AE13" s="173"/>
      <c r="AF13" s="173"/>
      <c r="AG13" s="173"/>
      <c r="AH13" s="173">
        <v>41944</v>
      </c>
      <c r="AI13" s="173">
        <v>2014</v>
      </c>
      <c r="AJ13" s="32" t="s">
        <v>1060</v>
      </c>
      <c r="AS13">
        <v>10</v>
      </c>
      <c r="AT13">
        <v>0</v>
      </c>
      <c r="AU13">
        <v>0</v>
      </c>
      <c r="AV13">
        <v>0</v>
      </c>
      <c r="AW13">
        <v>0</v>
      </c>
      <c r="AX13">
        <v>10</v>
      </c>
      <c r="BA13" t="s">
        <v>5198</v>
      </c>
      <c r="BB13" t="s">
        <v>5202</v>
      </c>
      <c r="BD13" t="s">
        <v>5208</v>
      </c>
    </row>
    <row r="14" spans="1:57" ht="150" x14ac:dyDescent="0.25">
      <c r="A14" s="173" t="s">
        <v>993</v>
      </c>
      <c r="B14" s="173" t="s">
        <v>1244</v>
      </c>
      <c r="C14" s="173"/>
      <c r="D14" s="173"/>
      <c r="E14" s="173"/>
      <c r="F14" s="173"/>
      <c r="G14" s="173"/>
      <c r="H14" s="173"/>
      <c r="I14" s="173"/>
      <c r="J14" s="173" t="s">
        <v>1242</v>
      </c>
      <c r="K14" s="173"/>
      <c r="L14" s="173"/>
      <c r="M14" s="173"/>
      <c r="N14" s="173"/>
      <c r="O14" s="173"/>
      <c r="P14" s="173"/>
      <c r="Q14" s="173"/>
      <c r="R14" s="173" t="s">
        <v>298</v>
      </c>
      <c r="S14" s="173"/>
      <c r="T14" s="173"/>
      <c r="U14" s="173"/>
      <c r="V14" s="173">
        <v>114</v>
      </c>
      <c r="W14" s="173">
        <v>6</v>
      </c>
      <c r="X14" s="173" t="s">
        <v>1948</v>
      </c>
      <c r="Y14" s="173"/>
      <c r="Z14" s="173">
        <v>712</v>
      </c>
      <c r="AA14" s="173">
        <v>722</v>
      </c>
      <c r="AB14" s="173"/>
      <c r="AC14" s="173" t="s">
        <v>2540</v>
      </c>
      <c r="AD14" s="173"/>
      <c r="AE14" s="173"/>
      <c r="AF14" s="173"/>
      <c r="AG14" s="173"/>
      <c r="AH14" s="173">
        <v>40330</v>
      </c>
      <c r="AI14" s="173">
        <v>2010</v>
      </c>
      <c r="AJ14" s="32" t="s">
        <v>1243</v>
      </c>
      <c r="AS14">
        <v>120</v>
      </c>
      <c r="AT14">
        <v>3</v>
      </c>
      <c r="AU14">
        <v>0</v>
      </c>
      <c r="AV14">
        <v>1</v>
      </c>
      <c r="AW14">
        <v>0</v>
      </c>
      <c r="AX14">
        <v>122</v>
      </c>
      <c r="BA14" t="s">
        <v>5198</v>
      </c>
      <c r="BD14" t="s">
        <v>5209</v>
      </c>
    </row>
    <row r="15" spans="1:57" ht="135" x14ac:dyDescent="0.25">
      <c r="A15" s="173" t="s">
        <v>993</v>
      </c>
      <c r="B15" s="173" t="s">
        <v>1065</v>
      </c>
      <c r="C15" s="173"/>
      <c r="D15" s="173"/>
      <c r="E15" s="173"/>
      <c r="F15" s="173" t="s">
        <v>5210</v>
      </c>
      <c r="G15" s="173" t="s">
        <v>5211</v>
      </c>
      <c r="H15" s="173"/>
      <c r="I15" s="173"/>
      <c r="J15" s="173" t="s">
        <v>1063</v>
      </c>
      <c r="K15" s="173"/>
      <c r="L15" s="173"/>
      <c r="M15" s="173"/>
      <c r="N15" s="173"/>
      <c r="O15" s="173"/>
      <c r="P15" s="173"/>
      <c r="Q15" s="173"/>
      <c r="R15" s="173" t="s">
        <v>298</v>
      </c>
      <c r="S15" s="173"/>
      <c r="T15" s="173"/>
      <c r="U15" s="173"/>
      <c r="V15" s="173">
        <v>114</v>
      </c>
      <c r="W15" s="173">
        <v>5</v>
      </c>
      <c r="X15" s="173" t="s">
        <v>1948</v>
      </c>
      <c r="Y15" s="173"/>
      <c r="Z15" s="173">
        <v>583</v>
      </c>
      <c r="AA15" s="173">
        <v>595</v>
      </c>
      <c r="AB15" s="173"/>
      <c r="AC15" s="173" t="s">
        <v>2841</v>
      </c>
      <c r="AD15" s="173"/>
      <c r="AE15" s="173"/>
      <c r="AF15" s="173"/>
      <c r="AG15" s="173"/>
      <c r="AH15" s="173">
        <v>40299</v>
      </c>
      <c r="AI15" s="173">
        <v>2010</v>
      </c>
      <c r="AJ15" s="32" t="s">
        <v>1064</v>
      </c>
      <c r="AS15">
        <v>33</v>
      </c>
      <c r="AT15">
        <v>4</v>
      </c>
      <c r="AU15">
        <v>0</v>
      </c>
      <c r="AV15">
        <v>1</v>
      </c>
      <c r="AW15">
        <v>0</v>
      </c>
      <c r="AX15">
        <v>36</v>
      </c>
      <c r="BA15" t="s">
        <v>5198</v>
      </c>
      <c r="BD15" t="s">
        <v>5212</v>
      </c>
    </row>
    <row r="16" spans="1:57" ht="180" x14ac:dyDescent="0.25">
      <c r="A16" s="173" t="s">
        <v>993</v>
      </c>
      <c r="B16" s="173" t="s">
        <v>1247</v>
      </c>
      <c r="C16" s="173"/>
      <c r="D16" s="173"/>
      <c r="E16" s="173"/>
      <c r="F16" s="173"/>
      <c r="G16" s="173"/>
      <c r="H16" s="173"/>
      <c r="I16" s="173"/>
      <c r="J16" s="173" t="s">
        <v>1245</v>
      </c>
      <c r="K16" s="173"/>
      <c r="L16" s="173"/>
      <c r="M16" s="173"/>
      <c r="N16" s="173"/>
      <c r="O16" s="173"/>
      <c r="P16" s="173"/>
      <c r="Q16" s="173"/>
      <c r="R16" s="173" t="s">
        <v>298</v>
      </c>
      <c r="S16" s="173"/>
      <c r="T16" s="173"/>
      <c r="U16" s="173"/>
      <c r="V16" s="173">
        <v>81</v>
      </c>
      <c r="W16" s="173">
        <v>3</v>
      </c>
      <c r="X16" s="173"/>
      <c r="Y16" s="173"/>
      <c r="Z16" s="173">
        <v>414</v>
      </c>
      <c r="AA16" s="173">
        <v>445</v>
      </c>
      <c r="AB16" s="173"/>
      <c r="AC16" s="173" t="s">
        <v>2575</v>
      </c>
      <c r="AD16" s="173"/>
      <c r="AE16" s="173"/>
      <c r="AF16" s="173"/>
      <c r="AG16" s="173"/>
      <c r="AH16" s="173">
        <v>36951</v>
      </c>
      <c r="AI16" s="173">
        <v>2001</v>
      </c>
      <c r="AJ16" s="32" t="s">
        <v>1246</v>
      </c>
      <c r="AS16">
        <v>91</v>
      </c>
      <c r="AT16">
        <v>2</v>
      </c>
      <c r="AU16">
        <v>0</v>
      </c>
      <c r="AV16">
        <v>2</v>
      </c>
      <c r="AW16">
        <v>0</v>
      </c>
      <c r="AX16">
        <v>92</v>
      </c>
      <c r="BA16" t="s">
        <v>5198</v>
      </c>
      <c r="BB16" t="s">
        <v>5202</v>
      </c>
      <c r="BD16" t="s">
        <v>5213</v>
      </c>
    </row>
    <row r="17" spans="1:56" ht="315" x14ac:dyDescent="0.25">
      <c r="A17" s="173" t="s">
        <v>993</v>
      </c>
      <c r="B17" s="173" t="s">
        <v>1069</v>
      </c>
      <c r="C17" s="173"/>
      <c r="D17" s="173"/>
      <c r="E17" s="173"/>
      <c r="F17" s="173" t="s">
        <v>5214</v>
      </c>
      <c r="G17" s="173" t="s">
        <v>5215</v>
      </c>
      <c r="H17" s="173"/>
      <c r="I17" s="173"/>
      <c r="J17" s="173" t="s">
        <v>1067</v>
      </c>
      <c r="K17" s="173"/>
      <c r="L17" s="173"/>
      <c r="M17" s="173"/>
      <c r="N17" s="173"/>
      <c r="O17" s="173"/>
      <c r="P17" s="173"/>
      <c r="Q17" s="173"/>
      <c r="R17" s="173" t="s">
        <v>298</v>
      </c>
      <c r="S17" s="173"/>
      <c r="T17" s="173"/>
      <c r="U17" s="173"/>
      <c r="V17" s="173">
        <v>116</v>
      </c>
      <c r="W17" s="173">
        <v>4</v>
      </c>
      <c r="X17" s="173"/>
      <c r="Y17" s="173"/>
      <c r="Z17" s="173">
        <v>538</v>
      </c>
      <c r="AA17" s="173">
        <v>560</v>
      </c>
      <c r="AB17" s="173"/>
      <c r="AC17" s="173" t="s">
        <v>3307</v>
      </c>
      <c r="AD17" s="173"/>
      <c r="AE17" s="173"/>
      <c r="AF17" s="173"/>
      <c r="AG17" s="173"/>
      <c r="AH17" s="173" t="s">
        <v>2398</v>
      </c>
      <c r="AI17" s="173">
        <v>2012</v>
      </c>
      <c r="AJ17" s="32" t="s">
        <v>1068</v>
      </c>
      <c r="AS17">
        <v>13</v>
      </c>
      <c r="AT17">
        <v>2</v>
      </c>
      <c r="AU17">
        <v>1</v>
      </c>
      <c r="AV17">
        <v>3</v>
      </c>
      <c r="AW17">
        <v>0</v>
      </c>
      <c r="AX17">
        <v>16</v>
      </c>
      <c r="BA17" t="s">
        <v>5198</v>
      </c>
      <c r="BB17" t="s">
        <v>5202</v>
      </c>
      <c r="BD17" t="s">
        <v>5216</v>
      </c>
    </row>
    <row r="18" spans="1:56" ht="120" x14ac:dyDescent="0.25">
      <c r="A18" s="173" t="s">
        <v>993</v>
      </c>
      <c r="B18" s="173" t="s">
        <v>1250</v>
      </c>
      <c r="C18" s="173"/>
      <c r="D18" s="173"/>
      <c r="E18" s="173"/>
      <c r="F18" s="173" t="s">
        <v>5217</v>
      </c>
      <c r="G18" s="173" t="s">
        <v>5218</v>
      </c>
      <c r="H18" s="173"/>
      <c r="I18" s="173"/>
      <c r="J18" s="173" t="s">
        <v>1248</v>
      </c>
      <c r="K18" s="173"/>
      <c r="L18" s="173"/>
      <c r="M18" s="173"/>
      <c r="N18" s="173"/>
      <c r="O18" s="173"/>
      <c r="P18" s="173"/>
      <c r="Q18" s="173"/>
      <c r="R18" s="173" t="s">
        <v>298</v>
      </c>
      <c r="S18" s="173"/>
      <c r="T18" s="173"/>
      <c r="U18" s="173"/>
      <c r="V18" s="173">
        <v>104</v>
      </c>
      <c r="W18" s="173">
        <v>43526</v>
      </c>
      <c r="X18" s="173"/>
      <c r="Y18" s="173"/>
      <c r="Z18" s="173">
        <v>90</v>
      </c>
      <c r="AA18" s="173">
        <v>126</v>
      </c>
      <c r="AB18" s="173"/>
      <c r="AC18" s="173" t="s">
        <v>2397</v>
      </c>
      <c r="AD18" s="173"/>
      <c r="AE18" s="173"/>
      <c r="AF18" s="173"/>
      <c r="AG18" s="173"/>
      <c r="AH18" s="173" t="s">
        <v>2395</v>
      </c>
      <c r="AI18" s="173">
        <v>2006</v>
      </c>
      <c r="AJ18" s="32" t="s">
        <v>1249</v>
      </c>
      <c r="AS18">
        <v>1184</v>
      </c>
      <c r="AT18">
        <v>53</v>
      </c>
      <c r="AU18">
        <v>0</v>
      </c>
      <c r="AV18">
        <v>50</v>
      </c>
      <c r="AW18">
        <v>1</v>
      </c>
      <c r="AX18">
        <v>1230</v>
      </c>
      <c r="BA18" t="s">
        <v>5198</v>
      </c>
      <c r="BB18" t="s">
        <v>5202</v>
      </c>
      <c r="BD18" t="s">
        <v>5219</v>
      </c>
    </row>
    <row r="19" spans="1:56" ht="180" x14ac:dyDescent="0.25">
      <c r="A19" s="173" t="s">
        <v>993</v>
      </c>
      <c r="B19" s="173" t="s">
        <v>1253</v>
      </c>
      <c r="C19" s="173"/>
      <c r="D19" s="173"/>
      <c r="E19" s="173"/>
      <c r="F19" s="173"/>
      <c r="G19" s="173"/>
      <c r="H19" s="173"/>
      <c r="I19" s="173"/>
      <c r="J19" s="173" t="s">
        <v>1251</v>
      </c>
      <c r="K19" s="173"/>
      <c r="L19" s="173"/>
      <c r="M19" s="173"/>
      <c r="N19" s="173"/>
      <c r="O19" s="173"/>
      <c r="P19" s="173"/>
      <c r="Q19" s="173"/>
      <c r="R19" s="173" t="s">
        <v>298</v>
      </c>
      <c r="S19" s="173"/>
      <c r="T19" s="173"/>
      <c r="U19" s="173"/>
      <c r="V19" s="173">
        <v>162</v>
      </c>
      <c r="W19" s="173"/>
      <c r="X19" s="173"/>
      <c r="Y19" s="173"/>
      <c r="Z19" s="173">
        <v>116</v>
      </c>
      <c r="AA19" s="173">
        <v>134</v>
      </c>
      <c r="AB19" s="173"/>
      <c r="AC19" s="173" t="s">
        <v>4715</v>
      </c>
      <c r="AD19" s="173"/>
      <c r="AE19" s="173"/>
      <c r="AF19" s="173"/>
      <c r="AG19" s="173"/>
      <c r="AH19" s="173">
        <v>42979</v>
      </c>
      <c r="AI19" s="173">
        <v>2017</v>
      </c>
      <c r="AJ19" s="32" t="s">
        <v>1252</v>
      </c>
      <c r="AS19">
        <v>2</v>
      </c>
      <c r="AT19">
        <v>0</v>
      </c>
      <c r="AU19">
        <v>0</v>
      </c>
      <c r="AV19">
        <v>1</v>
      </c>
      <c r="AW19">
        <v>0</v>
      </c>
      <c r="AX19">
        <v>2</v>
      </c>
      <c r="BA19" t="s">
        <v>5198</v>
      </c>
      <c r="BB19" t="s">
        <v>5202</v>
      </c>
      <c r="BD19" t="s">
        <v>5220</v>
      </c>
    </row>
    <row r="20" spans="1:56" ht="165" x14ac:dyDescent="0.25">
      <c r="A20" s="173" t="s">
        <v>993</v>
      </c>
      <c r="B20" s="173" t="s">
        <v>1256</v>
      </c>
      <c r="C20" s="173"/>
      <c r="D20" s="173"/>
      <c r="E20" s="173"/>
      <c r="F20" s="173" t="s">
        <v>5221</v>
      </c>
      <c r="G20" s="173"/>
      <c r="H20" s="173"/>
      <c r="I20" s="173"/>
      <c r="J20" s="173" t="s">
        <v>1254</v>
      </c>
      <c r="K20" s="173"/>
      <c r="L20" s="173"/>
      <c r="M20" s="173"/>
      <c r="N20" s="173"/>
      <c r="O20" s="173"/>
      <c r="P20" s="173"/>
      <c r="Q20" s="173"/>
      <c r="R20" s="173" t="s">
        <v>298</v>
      </c>
      <c r="S20" s="173"/>
      <c r="T20" s="173"/>
      <c r="U20" s="173"/>
      <c r="V20" s="173">
        <v>114</v>
      </c>
      <c r="W20" s="173">
        <v>6</v>
      </c>
      <c r="X20" s="173" t="s">
        <v>1948</v>
      </c>
      <c r="Y20" s="173"/>
      <c r="Z20" s="173">
        <v>700</v>
      </c>
      <c r="AA20" s="173">
        <v>711</v>
      </c>
      <c r="AB20" s="173"/>
      <c r="AC20" s="173" t="s">
        <v>3269</v>
      </c>
      <c r="AD20" s="173"/>
      <c r="AE20" s="173"/>
      <c r="AF20" s="173"/>
      <c r="AG20" s="173"/>
      <c r="AH20" s="173">
        <v>40330</v>
      </c>
      <c r="AI20" s="173">
        <v>2010</v>
      </c>
      <c r="AJ20" s="32" t="s">
        <v>1255</v>
      </c>
      <c r="AS20">
        <v>14</v>
      </c>
      <c r="AT20">
        <v>0</v>
      </c>
      <c r="AU20">
        <v>0</v>
      </c>
      <c r="AV20">
        <v>0</v>
      </c>
      <c r="AW20">
        <v>0</v>
      </c>
      <c r="AX20">
        <v>14</v>
      </c>
      <c r="BA20" t="s">
        <v>5198</v>
      </c>
      <c r="BD20" t="s">
        <v>5222</v>
      </c>
    </row>
    <row r="21" spans="1:56" ht="165" x14ac:dyDescent="0.25">
      <c r="A21" s="173" t="s">
        <v>993</v>
      </c>
      <c r="B21" s="173" t="s">
        <v>1077</v>
      </c>
      <c r="C21" s="173"/>
      <c r="D21" s="173"/>
      <c r="E21" s="173"/>
      <c r="F21" s="173"/>
      <c r="G21" s="173"/>
      <c r="H21" s="173"/>
      <c r="I21" s="173"/>
      <c r="J21" s="173" t="s">
        <v>1075</v>
      </c>
      <c r="K21" s="173"/>
      <c r="L21" s="173"/>
      <c r="M21" s="173"/>
      <c r="N21" s="173"/>
      <c r="O21" s="173"/>
      <c r="P21" s="173"/>
      <c r="Q21" s="173"/>
      <c r="R21" s="173" t="s">
        <v>298</v>
      </c>
      <c r="S21" s="173"/>
      <c r="T21" s="173"/>
      <c r="U21" s="173"/>
      <c r="V21" s="173">
        <v>123</v>
      </c>
      <c r="W21" s="173"/>
      <c r="X21" s="173"/>
      <c r="Y21" s="173"/>
      <c r="Z21" s="173">
        <v>1</v>
      </c>
      <c r="AA21" s="173">
        <v>13</v>
      </c>
      <c r="AB21" s="173"/>
      <c r="AC21" s="173" t="s">
        <v>3074</v>
      </c>
      <c r="AD21" s="173"/>
      <c r="AE21" s="173"/>
      <c r="AF21" s="173"/>
      <c r="AG21" s="173"/>
      <c r="AH21" s="173">
        <v>41791</v>
      </c>
      <c r="AI21" s="173">
        <v>2014</v>
      </c>
      <c r="AJ21" s="32" t="s">
        <v>1076</v>
      </c>
      <c r="AS21">
        <v>20</v>
      </c>
      <c r="AT21">
        <v>3</v>
      </c>
      <c r="AU21">
        <v>0</v>
      </c>
      <c r="AV21">
        <v>1</v>
      </c>
      <c r="AW21">
        <v>0</v>
      </c>
      <c r="AX21">
        <v>23</v>
      </c>
      <c r="BA21" t="s">
        <v>5198</v>
      </c>
      <c r="BB21" t="s">
        <v>5202</v>
      </c>
      <c r="BD21" t="s">
        <v>5223</v>
      </c>
    </row>
    <row r="22" spans="1:56" ht="90" x14ac:dyDescent="0.25">
      <c r="A22" s="173" t="s">
        <v>993</v>
      </c>
      <c r="B22" s="173" t="s">
        <v>1262</v>
      </c>
      <c r="C22" s="173"/>
      <c r="D22" s="173"/>
      <c r="E22" s="173"/>
      <c r="F22" s="173" t="s">
        <v>5224</v>
      </c>
      <c r="G22" s="173" t="s">
        <v>5225</v>
      </c>
      <c r="H22" s="173"/>
      <c r="I22" s="173"/>
      <c r="J22" s="173" t="s">
        <v>1260</v>
      </c>
      <c r="K22" s="173"/>
      <c r="L22" s="173"/>
      <c r="M22" s="173"/>
      <c r="N22" s="173"/>
      <c r="O22" s="173"/>
      <c r="P22" s="173"/>
      <c r="Q22" s="173"/>
      <c r="R22" s="173" t="s">
        <v>298</v>
      </c>
      <c r="S22" s="173"/>
      <c r="T22" s="173"/>
      <c r="U22" s="173"/>
      <c r="V22" s="173">
        <v>109</v>
      </c>
      <c r="W22" s="173">
        <v>3</v>
      </c>
      <c r="X22" s="173"/>
      <c r="Y22" s="173"/>
      <c r="Z22" s="173">
        <v>305</v>
      </c>
      <c r="AA22" s="173">
        <v>334</v>
      </c>
      <c r="AB22" s="173"/>
      <c r="AC22" s="173" t="s">
        <v>2878</v>
      </c>
      <c r="AD22" s="173"/>
      <c r="AE22" s="173"/>
      <c r="AF22" s="173"/>
      <c r="AG22" s="173"/>
      <c r="AH22" s="173">
        <v>39508</v>
      </c>
      <c r="AI22" s="173">
        <v>2008</v>
      </c>
      <c r="AJ22" s="32" t="s">
        <v>1261</v>
      </c>
      <c r="AS22">
        <v>31</v>
      </c>
      <c r="AT22">
        <v>1</v>
      </c>
      <c r="AU22">
        <v>0</v>
      </c>
      <c r="AV22">
        <v>2</v>
      </c>
      <c r="AW22">
        <v>0</v>
      </c>
      <c r="AX22">
        <v>32</v>
      </c>
      <c r="BA22" t="s">
        <v>5198</v>
      </c>
      <c r="BB22" t="s">
        <v>5202</v>
      </c>
      <c r="BD22" t="s">
        <v>5226</v>
      </c>
    </row>
    <row r="23" spans="1:56" ht="120" x14ac:dyDescent="0.25">
      <c r="A23" s="173" t="s">
        <v>993</v>
      </c>
      <c r="B23" s="173" t="s">
        <v>1269</v>
      </c>
      <c r="C23" s="173"/>
      <c r="D23" s="173"/>
      <c r="E23" s="173"/>
      <c r="F23" s="173"/>
      <c r="G23" s="173"/>
      <c r="H23" s="173"/>
      <c r="I23" s="173"/>
      <c r="J23" s="173" t="s">
        <v>2565</v>
      </c>
      <c r="K23" s="173"/>
      <c r="L23" s="173"/>
      <c r="M23" s="173"/>
      <c r="N23" s="173"/>
      <c r="O23" s="173"/>
      <c r="P23" s="173"/>
      <c r="Q23" s="173"/>
      <c r="R23" s="173" t="s">
        <v>298</v>
      </c>
      <c r="S23" s="173"/>
      <c r="T23" s="173"/>
      <c r="U23" s="173"/>
      <c r="V23" s="173">
        <v>117</v>
      </c>
      <c r="W23" s="173">
        <v>11</v>
      </c>
      <c r="X23" s="173"/>
      <c r="Y23" s="173"/>
      <c r="Z23" s="173">
        <v>1610</v>
      </c>
      <c r="AA23" s="173">
        <v>1627</v>
      </c>
      <c r="AB23" s="173"/>
      <c r="AC23" s="173" t="s">
        <v>2567</v>
      </c>
      <c r="AD23" s="173"/>
      <c r="AE23" s="173"/>
      <c r="AF23" s="173"/>
      <c r="AG23" s="173"/>
      <c r="AH23" s="173">
        <v>41579</v>
      </c>
      <c r="AI23" s="173">
        <v>2013</v>
      </c>
      <c r="AJ23" s="32" t="s">
        <v>1268</v>
      </c>
      <c r="AS23">
        <v>95</v>
      </c>
      <c r="AT23">
        <v>2</v>
      </c>
      <c r="AU23">
        <v>0</v>
      </c>
      <c r="AV23">
        <v>9</v>
      </c>
      <c r="AW23">
        <v>0</v>
      </c>
      <c r="AX23">
        <v>97</v>
      </c>
      <c r="BA23" t="s">
        <v>5198</v>
      </c>
      <c r="BB23" t="s">
        <v>5202</v>
      </c>
      <c r="BD23" t="s">
        <v>5227</v>
      </c>
    </row>
    <row r="24" spans="1:56" ht="195" x14ac:dyDescent="0.25">
      <c r="A24" s="173" t="s">
        <v>993</v>
      </c>
      <c r="B24" s="173" t="s">
        <v>1272</v>
      </c>
      <c r="C24" s="173"/>
      <c r="D24" s="173"/>
      <c r="E24" s="173"/>
      <c r="F24" s="173"/>
      <c r="G24" s="173" t="s">
        <v>5228</v>
      </c>
      <c r="H24" s="173"/>
      <c r="I24" s="173"/>
      <c r="J24" s="173" t="s">
        <v>1270</v>
      </c>
      <c r="K24" s="173"/>
      <c r="L24" s="173"/>
      <c r="M24" s="173"/>
      <c r="N24" s="173"/>
      <c r="O24" s="173"/>
      <c r="P24" s="173"/>
      <c r="Q24" s="173"/>
      <c r="R24" s="173" t="s">
        <v>298</v>
      </c>
      <c r="S24" s="173"/>
      <c r="T24" s="173"/>
      <c r="U24" s="173"/>
      <c r="V24" s="173">
        <v>110</v>
      </c>
      <c r="W24" s="173">
        <v>2</v>
      </c>
      <c r="X24" s="173"/>
      <c r="Y24" s="173"/>
      <c r="Z24" s="173">
        <v>153</v>
      </c>
      <c r="AA24" s="173">
        <v>172</v>
      </c>
      <c r="AB24" s="173"/>
      <c r="AC24" s="173" t="s">
        <v>2813</v>
      </c>
      <c r="AD24" s="173"/>
      <c r="AE24" s="173"/>
      <c r="AF24" s="173"/>
      <c r="AG24" s="173"/>
      <c r="AH24" s="173">
        <v>39569</v>
      </c>
      <c r="AI24" s="173">
        <v>2008</v>
      </c>
      <c r="AJ24" s="32" t="s">
        <v>1271</v>
      </c>
      <c r="AS24">
        <v>37</v>
      </c>
      <c r="AT24">
        <v>6</v>
      </c>
      <c r="AU24">
        <v>0</v>
      </c>
      <c r="AV24">
        <v>1</v>
      </c>
      <c r="AW24">
        <v>0</v>
      </c>
      <c r="AX24">
        <v>43</v>
      </c>
      <c r="BA24" t="s">
        <v>5198</v>
      </c>
      <c r="BB24" t="s">
        <v>5202</v>
      </c>
      <c r="BD24" t="s">
        <v>5229</v>
      </c>
    </row>
    <row r="25" spans="1:56" ht="195" x14ac:dyDescent="0.25">
      <c r="A25" s="173" t="s">
        <v>993</v>
      </c>
      <c r="B25" s="173" t="s">
        <v>1275</v>
      </c>
      <c r="C25" s="173"/>
      <c r="D25" s="173"/>
      <c r="E25" s="173"/>
      <c r="F25" s="173" t="s">
        <v>5230</v>
      </c>
      <c r="G25" s="173"/>
      <c r="H25" s="173"/>
      <c r="I25" s="173"/>
      <c r="J25" s="173" t="s">
        <v>1273</v>
      </c>
      <c r="K25" s="173"/>
      <c r="L25" s="173"/>
      <c r="M25" s="173"/>
      <c r="N25" s="173"/>
      <c r="O25" s="173"/>
      <c r="P25" s="173"/>
      <c r="Q25" s="173"/>
      <c r="R25" s="173" t="s">
        <v>298</v>
      </c>
      <c r="S25" s="173"/>
      <c r="T25" s="173"/>
      <c r="U25" s="173"/>
      <c r="V25" s="173">
        <v>127</v>
      </c>
      <c r="W25" s="173"/>
      <c r="X25" s="173"/>
      <c r="Y25" s="173"/>
      <c r="Z25" s="173">
        <v>14</v>
      </c>
      <c r="AA25" s="173">
        <v>30</v>
      </c>
      <c r="AB25" s="173"/>
      <c r="AC25" s="173" t="s">
        <v>3073</v>
      </c>
      <c r="AD25" s="173"/>
      <c r="AE25" s="173"/>
      <c r="AF25" s="173"/>
      <c r="AG25" s="173"/>
      <c r="AH25" s="173">
        <v>41913</v>
      </c>
      <c r="AI25" s="173">
        <v>2014</v>
      </c>
      <c r="AJ25" s="32" t="s">
        <v>1274</v>
      </c>
      <c r="AS25">
        <v>20</v>
      </c>
      <c r="AT25">
        <v>0</v>
      </c>
      <c r="AU25">
        <v>0</v>
      </c>
      <c r="AV25">
        <v>0</v>
      </c>
      <c r="AW25">
        <v>0</v>
      </c>
      <c r="AX25">
        <v>20</v>
      </c>
      <c r="BA25" t="s">
        <v>5198</v>
      </c>
      <c r="BB25" t="s">
        <v>5202</v>
      </c>
      <c r="BD25" t="s">
        <v>5231</v>
      </c>
    </row>
    <row r="26" spans="1:56" ht="150" x14ac:dyDescent="0.25">
      <c r="A26" s="173" t="s">
        <v>993</v>
      </c>
      <c r="B26" s="173" t="s">
        <v>1278</v>
      </c>
      <c r="C26" s="173"/>
      <c r="D26" s="173"/>
      <c r="E26" s="173"/>
      <c r="F26" s="173"/>
      <c r="G26" s="173"/>
      <c r="H26" s="173"/>
      <c r="I26" s="173"/>
      <c r="J26" s="173" t="s">
        <v>1276</v>
      </c>
      <c r="K26" s="173"/>
      <c r="L26" s="173"/>
      <c r="M26" s="173"/>
      <c r="N26" s="173"/>
      <c r="O26" s="173"/>
      <c r="P26" s="173"/>
      <c r="Q26" s="173"/>
      <c r="R26" s="173" t="s">
        <v>298</v>
      </c>
      <c r="S26" s="173"/>
      <c r="T26" s="173"/>
      <c r="U26" s="173"/>
      <c r="V26" s="173">
        <v>138</v>
      </c>
      <c r="W26" s="173"/>
      <c r="X26" s="173"/>
      <c r="Y26" s="173"/>
      <c r="Z26" s="173">
        <v>1</v>
      </c>
      <c r="AA26" s="173">
        <v>24</v>
      </c>
      <c r="AB26" s="173"/>
      <c r="AC26" s="173" t="s">
        <v>2562</v>
      </c>
      <c r="AD26" s="173"/>
      <c r="AE26" s="173"/>
      <c r="AF26" s="173"/>
      <c r="AG26" s="173"/>
      <c r="AH26" s="173">
        <v>42248</v>
      </c>
      <c r="AI26" s="173">
        <v>2015</v>
      </c>
      <c r="AJ26" s="32" t="s">
        <v>1277</v>
      </c>
      <c r="AS26">
        <v>96</v>
      </c>
      <c r="AT26">
        <v>7</v>
      </c>
      <c r="AU26">
        <v>0</v>
      </c>
      <c r="AV26">
        <v>1</v>
      </c>
      <c r="AW26">
        <v>0</v>
      </c>
      <c r="AX26">
        <v>103</v>
      </c>
      <c r="BA26" t="s">
        <v>5198</v>
      </c>
      <c r="BB26" t="s">
        <v>5202</v>
      </c>
      <c r="BD26" t="s">
        <v>5232</v>
      </c>
    </row>
    <row r="27" spans="1:56" ht="150" x14ac:dyDescent="0.25">
      <c r="A27" s="173" t="s">
        <v>993</v>
      </c>
      <c r="B27" s="173" t="s">
        <v>1088</v>
      </c>
      <c r="C27" s="173"/>
      <c r="D27" s="173"/>
      <c r="E27" s="173"/>
      <c r="F27" s="173" t="s">
        <v>5233</v>
      </c>
      <c r="G27" s="173" t="s">
        <v>5234</v>
      </c>
      <c r="H27" s="173"/>
      <c r="I27" s="173"/>
      <c r="J27" s="173" t="s">
        <v>1086</v>
      </c>
      <c r="K27" s="173"/>
      <c r="L27" s="173"/>
      <c r="M27" s="173"/>
      <c r="N27" s="173"/>
      <c r="O27" s="173"/>
      <c r="P27" s="173"/>
      <c r="Q27" s="173"/>
      <c r="R27" s="173" t="s">
        <v>298</v>
      </c>
      <c r="S27" s="173"/>
      <c r="T27" s="173"/>
      <c r="U27" s="173"/>
      <c r="V27" s="173">
        <v>127</v>
      </c>
      <c r="W27" s="173"/>
      <c r="X27" s="173"/>
      <c r="Y27" s="173"/>
      <c r="Z27" s="173">
        <v>73</v>
      </c>
      <c r="AA27" s="173">
        <v>85</v>
      </c>
      <c r="AB27" s="173"/>
      <c r="AC27" s="173" t="s">
        <v>3176</v>
      </c>
      <c r="AD27" s="173"/>
      <c r="AE27" s="173"/>
      <c r="AF27" s="173"/>
      <c r="AG27" s="173"/>
      <c r="AH27" s="173">
        <v>41913</v>
      </c>
      <c r="AI27" s="173">
        <v>2014</v>
      </c>
      <c r="AJ27" s="32" t="s">
        <v>1087</v>
      </c>
      <c r="AS27">
        <v>16</v>
      </c>
      <c r="AT27">
        <v>2</v>
      </c>
      <c r="AU27">
        <v>0</v>
      </c>
      <c r="AV27">
        <v>0</v>
      </c>
      <c r="AW27">
        <v>0</v>
      </c>
      <c r="AX27">
        <v>18</v>
      </c>
      <c r="BA27" t="s">
        <v>5198</v>
      </c>
      <c r="BB27" t="s">
        <v>5202</v>
      </c>
      <c r="BD27" t="s">
        <v>5235</v>
      </c>
    </row>
    <row r="28" spans="1:56" ht="285" x14ac:dyDescent="0.25">
      <c r="A28" s="173" t="s">
        <v>993</v>
      </c>
      <c r="B28" s="173" t="s">
        <v>1092</v>
      </c>
      <c r="C28" s="173"/>
      <c r="D28" s="173"/>
      <c r="E28" s="173"/>
      <c r="F28" s="173" t="s">
        <v>5236</v>
      </c>
      <c r="G28" s="173" t="s">
        <v>5237</v>
      </c>
      <c r="H28" s="173"/>
      <c r="I28" s="173"/>
      <c r="J28" s="173" t="s">
        <v>1090</v>
      </c>
      <c r="K28" s="173"/>
      <c r="L28" s="173"/>
      <c r="M28" s="173"/>
      <c r="N28" s="173"/>
      <c r="O28" s="173"/>
      <c r="P28" s="173"/>
      <c r="Q28" s="173"/>
      <c r="R28" s="173" t="s">
        <v>298</v>
      </c>
      <c r="S28" s="173"/>
      <c r="T28" s="173"/>
      <c r="U28" s="173"/>
      <c r="V28" s="173">
        <v>149</v>
      </c>
      <c r="W28" s="173"/>
      <c r="X28" s="173"/>
      <c r="Y28" s="173"/>
      <c r="Z28" s="173">
        <v>32</v>
      </c>
      <c r="AA28" s="173">
        <v>50</v>
      </c>
      <c r="AB28" s="173"/>
      <c r="AC28" s="173" t="s">
        <v>3402</v>
      </c>
      <c r="AD28" s="173"/>
      <c r="AE28" s="173"/>
      <c r="AF28" s="173"/>
      <c r="AG28" s="173"/>
      <c r="AH28" s="173" t="s">
        <v>3126</v>
      </c>
      <c r="AI28" s="173">
        <v>2016</v>
      </c>
      <c r="AJ28" s="32" t="s">
        <v>1091</v>
      </c>
      <c r="AS28">
        <v>10</v>
      </c>
      <c r="AT28">
        <v>0</v>
      </c>
      <c r="AU28">
        <v>0</v>
      </c>
      <c r="AV28">
        <v>1</v>
      </c>
      <c r="AW28">
        <v>0</v>
      </c>
      <c r="AX28">
        <v>10</v>
      </c>
      <c r="BA28" t="s">
        <v>5198</v>
      </c>
      <c r="BB28" t="s">
        <v>5202</v>
      </c>
      <c r="BD28" t="s">
        <v>5238</v>
      </c>
    </row>
    <row r="29" spans="1:56" ht="120" x14ac:dyDescent="0.25">
      <c r="A29" s="173" t="s">
        <v>993</v>
      </c>
      <c r="B29" s="173" t="s">
        <v>1281</v>
      </c>
      <c r="C29" s="173"/>
      <c r="D29" s="173"/>
      <c r="E29" s="173"/>
      <c r="F29" s="173"/>
      <c r="G29" s="173"/>
      <c r="H29" s="173"/>
      <c r="I29" s="173"/>
      <c r="J29" s="173" t="s">
        <v>1279</v>
      </c>
      <c r="K29" s="173"/>
      <c r="L29" s="173"/>
      <c r="M29" s="173"/>
      <c r="N29" s="173"/>
      <c r="O29" s="173"/>
      <c r="P29" s="173"/>
      <c r="Q29" s="173"/>
      <c r="R29" s="173" t="s">
        <v>298</v>
      </c>
      <c r="S29" s="173"/>
      <c r="T29" s="173"/>
      <c r="U29" s="173"/>
      <c r="V29" s="173">
        <v>118</v>
      </c>
      <c r="W29" s="173"/>
      <c r="X29" s="173"/>
      <c r="Y29" s="173"/>
      <c r="Z29" s="173">
        <v>40</v>
      </c>
      <c r="AA29" s="173">
        <v>49</v>
      </c>
      <c r="AB29" s="173"/>
      <c r="AC29" s="173" t="s">
        <v>3051</v>
      </c>
      <c r="AD29" s="173"/>
      <c r="AE29" s="173"/>
      <c r="AF29" s="173"/>
      <c r="AG29" s="173"/>
      <c r="AH29" s="173" t="s">
        <v>2640</v>
      </c>
      <c r="AI29" s="173">
        <v>2014</v>
      </c>
      <c r="AJ29" s="32" t="s">
        <v>1280</v>
      </c>
      <c r="AS29">
        <v>21</v>
      </c>
      <c r="AT29">
        <v>3</v>
      </c>
      <c r="AU29">
        <v>0</v>
      </c>
      <c r="AV29">
        <v>1</v>
      </c>
      <c r="AW29">
        <v>0</v>
      </c>
      <c r="AX29">
        <v>24</v>
      </c>
      <c r="BA29" t="s">
        <v>5198</v>
      </c>
      <c r="BB29" t="s">
        <v>5202</v>
      </c>
      <c r="BD29" t="s">
        <v>5239</v>
      </c>
    </row>
    <row r="30" spans="1:56" ht="90" x14ac:dyDescent="0.25">
      <c r="A30" s="173" t="s">
        <v>993</v>
      </c>
      <c r="B30" s="173" t="s">
        <v>1051</v>
      </c>
      <c r="C30" s="173"/>
      <c r="D30" s="173"/>
      <c r="E30" s="173"/>
      <c r="F30" s="173" t="s">
        <v>5204</v>
      </c>
      <c r="G30" s="173" t="s">
        <v>5205</v>
      </c>
      <c r="H30" s="173"/>
      <c r="I30" s="173"/>
      <c r="J30" s="173" t="s">
        <v>1282</v>
      </c>
      <c r="K30" s="173"/>
      <c r="L30" s="173"/>
      <c r="M30" s="173"/>
      <c r="N30" s="173"/>
      <c r="O30" s="173"/>
      <c r="P30" s="173"/>
      <c r="Q30" s="173"/>
      <c r="R30" s="173" t="s">
        <v>298</v>
      </c>
      <c r="S30" s="173"/>
      <c r="T30" s="173"/>
      <c r="U30" s="173"/>
      <c r="V30" s="173">
        <v>117</v>
      </c>
      <c r="W30" s="173">
        <v>6</v>
      </c>
      <c r="X30" s="173"/>
      <c r="Y30" s="173"/>
      <c r="Z30" s="173">
        <v>633</v>
      </c>
      <c r="AA30" s="173">
        <v>659</v>
      </c>
      <c r="AB30" s="173"/>
      <c r="AC30" s="173" t="s">
        <v>2531</v>
      </c>
      <c r="AD30" s="173"/>
      <c r="AE30" s="173"/>
      <c r="AF30" s="173"/>
      <c r="AG30" s="173"/>
      <c r="AH30" s="173">
        <v>41426</v>
      </c>
      <c r="AI30" s="173">
        <v>2013</v>
      </c>
      <c r="AJ30" s="32" t="s">
        <v>1050</v>
      </c>
      <c r="AS30">
        <v>131</v>
      </c>
      <c r="AT30">
        <v>8</v>
      </c>
      <c r="AU30">
        <v>0</v>
      </c>
      <c r="AV30">
        <v>4</v>
      </c>
      <c r="AW30">
        <v>0</v>
      </c>
      <c r="AX30">
        <v>138</v>
      </c>
      <c r="BA30" t="s">
        <v>5198</v>
      </c>
      <c r="BB30" t="s">
        <v>5202</v>
      </c>
      <c r="BD30" t="s">
        <v>5206</v>
      </c>
    </row>
    <row r="31" spans="1:56" ht="105" x14ac:dyDescent="0.25">
      <c r="A31" s="173" t="s">
        <v>993</v>
      </c>
      <c r="B31" s="173" t="s">
        <v>1285</v>
      </c>
      <c r="C31" s="173"/>
      <c r="D31" s="173"/>
      <c r="E31" s="173"/>
      <c r="F31" s="173"/>
      <c r="G31" s="173" t="s">
        <v>5240</v>
      </c>
      <c r="H31" s="173"/>
      <c r="I31" s="173"/>
      <c r="J31" s="173" t="s">
        <v>1283</v>
      </c>
      <c r="K31" s="173"/>
      <c r="L31" s="173"/>
      <c r="M31" s="173"/>
      <c r="N31" s="173"/>
      <c r="O31" s="173"/>
      <c r="P31" s="173"/>
      <c r="Q31" s="173"/>
      <c r="R31" s="173" t="s">
        <v>322</v>
      </c>
      <c r="S31" s="173"/>
      <c r="T31" s="173"/>
      <c r="U31" s="173"/>
      <c r="V31" s="173">
        <v>28</v>
      </c>
      <c r="W31" s="173">
        <v>1</v>
      </c>
      <c r="X31" s="173"/>
      <c r="Y31" s="173"/>
      <c r="Z31" s="173">
        <v>27</v>
      </c>
      <c r="AA31" s="173">
        <v>46</v>
      </c>
      <c r="AB31" s="173"/>
      <c r="AC31" s="173" t="s">
        <v>4747</v>
      </c>
      <c r="AD31" s="173"/>
      <c r="AE31" s="173"/>
      <c r="AF31" s="173"/>
      <c r="AG31" s="173"/>
      <c r="AH31" s="173" t="s">
        <v>4746</v>
      </c>
      <c r="AI31" s="173">
        <v>2016</v>
      </c>
      <c r="AJ31" s="32" t="s">
        <v>1284</v>
      </c>
      <c r="AS31">
        <v>2</v>
      </c>
      <c r="AT31">
        <v>0</v>
      </c>
      <c r="AU31">
        <v>0</v>
      </c>
      <c r="AV31">
        <v>0</v>
      </c>
      <c r="AW31">
        <v>0</v>
      </c>
      <c r="AX31">
        <v>2</v>
      </c>
      <c r="BA31" t="s">
        <v>5241</v>
      </c>
      <c r="BB31" t="s">
        <v>5242</v>
      </c>
      <c r="BD31" t="s">
        <v>5243</v>
      </c>
    </row>
    <row r="32" spans="1:56" ht="120" x14ac:dyDescent="0.25">
      <c r="A32" s="173" t="s">
        <v>993</v>
      </c>
      <c r="B32" s="173" t="s">
        <v>1096</v>
      </c>
      <c r="C32" s="173"/>
      <c r="D32" s="173"/>
      <c r="E32" s="173"/>
      <c r="F32" s="173"/>
      <c r="G32" s="173" t="s">
        <v>5244</v>
      </c>
      <c r="H32" s="173"/>
      <c r="I32" s="173"/>
      <c r="J32" s="173" t="s">
        <v>1094</v>
      </c>
      <c r="K32" s="173"/>
      <c r="L32" s="173"/>
      <c r="M32" s="173"/>
      <c r="N32" s="173"/>
      <c r="O32" s="173"/>
      <c r="P32" s="173"/>
      <c r="Q32" s="173"/>
      <c r="R32" s="173" t="s">
        <v>328</v>
      </c>
      <c r="S32" s="173"/>
      <c r="T32" s="173"/>
      <c r="U32" s="173"/>
      <c r="V32" s="173">
        <v>25</v>
      </c>
      <c r="W32" s="173">
        <v>7</v>
      </c>
      <c r="X32" s="173"/>
      <c r="Y32" s="173"/>
      <c r="Z32" s="173">
        <v>1313</v>
      </c>
      <c r="AA32" s="173">
        <v>1321</v>
      </c>
      <c r="AB32" s="173"/>
      <c r="AC32" s="173" t="s">
        <v>5245</v>
      </c>
      <c r="AD32" s="173"/>
      <c r="AE32" s="173"/>
      <c r="AF32" s="173"/>
      <c r="AG32" s="173"/>
      <c r="AH32" s="173">
        <v>41183</v>
      </c>
      <c r="AI32" s="173">
        <v>2012</v>
      </c>
      <c r="AJ32" s="32" t="s">
        <v>1095</v>
      </c>
      <c r="AS32">
        <v>100</v>
      </c>
      <c r="AT32">
        <v>0</v>
      </c>
      <c r="AU32">
        <v>0</v>
      </c>
      <c r="AV32">
        <v>2</v>
      </c>
      <c r="AW32">
        <v>1</v>
      </c>
      <c r="AX32">
        <v>101</v>
      </c>
      <c r="BA32" t="s">
        <v>5246</v>
      </c>
      <c r="BB32" t="s">
        <v>5247</v>
      </c>
      <c r="BD32" t="s">
        <v>5248</v>
      </c>
    </row>
    <row r="33" spans="1:57" ht="165" x14ac:dyDescent="0.25">
      <c r="A33" s="173" t="s">
        <v>993</v>
      </c>
      <c r="B33" s="173" t="s">
        <v>1288</v>
      </c>
      <c r="C33" s="173"/>
      <c r="D33" s="173"/>
      <c r="E33" s="173"/>
      <c r="F33" s="173" t="s">
        <v>5249</v>
      </c>
      <c r="G33" s="173" t="s">
        <v>5250</v>
      </c>
      <c r="H33" s="173"/>
      <c r="I33" s="173"/>
      <c r="J33" s="173" t="s">
        <v>1286</v>
      </c>
      <c r="K33" s="173"/>
      <c r="L33" s="173"/>
      <c r="M33" s="173"/>
      <c r="N33" s="173"/>
      <c r="O33" s="173"/>
      <c r="P33" s="173"/>
      <c r="Q33" s="173"/>
      <c r="R33" s="173" t="s">
        <v>323</v>
      </c>
      <c r="S33" s="173"/>
      <c r="T33" s="173"/>
      <c r="U33" s="173"/>
      <c r="V33" s="173">
        <v>16</v>
      </c>
      <c r="W33" s="173">
        <v>4</v>
      </c>
      <c r="X33" s="173"/>
      <c r="Y33" s="173"/>
      <c r="Z33" s="173">
        <v>483</v>
      </c>
      <c r="AA33" s="173">
        <v>507</v>
      </c>
      <c r="AB33" s="173"/>
      <c r="AC33" s="173" t="s">
        <v>2679</v>
      </c>
      <c r="AD33" s="173"/>
      <c r="AE33" s="173"/>
      <c r="AF33" s="173"/>
      <c r="AG33" s="173"/>
      <c r="AH33" s="173" t="s">
        <v>2678</v>
      </c>
      <c r="AI33" s="173">
        <v>2008</v>
      </c>
      <c r="AJ33" s="32" t="s">
        <v>1287</v>
      </c>
      <c r="AS33">
        <v>58</v>
      </c>
      <c r="AT33">
        <v>0</v>
      </c>
      <c r="AU33">
        <v>1</v>
      </c>
      <c r="AV33">
        <v>3</v>
      </c>
      <c r="AW33">
        <v>2</v>
      </c>
      <c r="AX33">
        <v>59</v>
      </c>
      <c r="BA33" t="s">
        <v>5251</v>
      </c>
      <c r="BD33" t="s">
        <v>5252</v>
      </c>
      <c r="BE33">
        <v>19053496</v>
      </c>
    </row>
    <row r="34" spans="1:57" ht="105" x14ac:dyDescent="0.25">
      <c r="A34" s="173" t="s">
        <v>993</v>
      </c>
      <c r="B34" s="173" t="s">
        <v>1292</v>
      </c>
      <c r="C34" s="173"/>
      <c r="D34" s="173"/>
      <c r="E34" s="173"/>
      <c r="F34" s="173"/>
      <c r="G34" s="173"/>
      <c r="H34" s="173"/>
      <c r="I34" s="173"/>
      <c r="J34" s="173" t="s">
        <v>1290</v>
      </c>
      <c r="K34" s="173"/>
      <c r="L34" s="173"/>
      <c r="M34" s="173"/>
      <c r="N34" s="173"/>
      <c r="O34" s="173"/>
      <c r="P34" s="173"/>
      <c r="Q34" s="173"/>
      <c r="R34" s="173" t="s">
        <v>313</v>
      </c>
      <c r="S34" s="173"/>
      <c r="T34" s="173"/>
      <c r="U34" s="173"/>
      <c r="V34" s="173">
        <v>91</v>
      </c>
      <c r="W34" s="173"/>
      <c r="X34" s="173"/>
      <c r="Y34" s="173"/>
      <c r="Z34" s="173">
        <v>480</v>
      </c>
      <c r="AA34" s="173">
        <v>491</v>
      </c>
      <c r="AB34" s="173"/>
      <c r="AC34" s="173" t="s">
        <v>3676</v>
      </c>
      <c r="AD34" s="173"/>
      <c r="AE34" s="173"/>
      <c r="AF34" s="173"/>
      <c r="AG34" s="173"/>
      <c r="AH34" s="173" t="s">
        <v>3675</v>
      </c>
      <c r="AI34" s="173">
        <v>2018</v>
      </c>
      <c r="AJ34" s="32" t="s">
        <v>1291</v>
      </c>
      <c r="AS34">
        <v>6</v>
      </c>
      <c r="AT34">
        <v>0</v>
      </c>
      <c r="AU34">
        <v>0</v>
      </c>
      <c r="AV34">
        <v>0</v>
      </c>
      <c r="AW34">
        <v>0</v>
      </c>
      <c r="AX34">
        <v>6</v>
      </c>
      <c r="BA34" t="s">
        <v>5253</v>
      </c>
      <c r="BB34" t="s">
        <v>5254</v>
      </c>
      <c r="BD34" t="s">
        <v>5255</v>
      </c>
    </row>
    <row r="35" spans="1:57" ht="135" x14ac:dyDescent="0.25">
      <c r="A35" s="173" t="s">
        <v>993</v>
      </c>
      <c r="B35" s="173" t="s">
        <v>1106</v>
      </c>
      <c r="C35" s="173"/>
      <c r="D35" s="173"/>
      <c r="E35" s="173"/>
      <c r="F35" s="173"/>
      <c r="G35" s="173"/>
      <c r="H35" s="173"/>
      <c r="I35" s="173"/>
      <c r="J35" s="173" t="s">
        <v>1104</v>
      </c>
      <c r="K35" s="173"/>
      <c r="L35" s="173"/>
      <c r="M35" s="173"/>
      <c r="N35" s="173"/>
      <c r="O35" s="173"/>
      <c r="P35" s="173"/>
      <c r="Q35" s="173"/>
      <c r="R35" s="173" t="s">
        <v>313</v>
      </c>
      <c r="S35" s="173"/>
      <c r="T35" s="173"/>
      <c r="U35" s="173"/>
      <c r="V35" s="173">
        <v>87</v>
      </c>
      <c r="W35" s="173"/>
      <c r="X35" s="173"/>
      <c r="Y35" s="173"/>
      <c r="Z35" s="173">
        <v>41</v>
      </c>
      <c r="AA35" s="173">
        <v>55</v>
      </c>
      <c r="AB35" s="173"/>
      <c r="AC35" s="173" t="s">
        <v>4205</v>
      </c>
      <c r="AD35" s="173"/>
      <c r="AE35" s="173"/>
      <c r="AF35" s="173"/>
      <c r="AG35" s="173"/>
      <c r="AH35" s="173" t="s">
        <v>4204</v>
      </c>
      <c r="AI35" s="173">
        <v>2017</v>
      </c>
      <c r="AJ35" s="32" t="s">
        <v>1105</v>
      </c>
      <c r="AS35">
        <v>0</v>
      </c>
      <c r="AT35">
        <v>0</v>
      </c>
      <c r="AU35">
        <v>0</v>
      </c>
      <c r="AV35">
        <v>0</v>
      </c>
      <c r="AW35">
        <v>0</v>
      </c>
      <c r="AX35">
        <v>0</v>
      </c>
      <c r="BA35" t="s">
        <v>5253</v>
      </c>
      <c r="BB35" t="s">
        <v>5254</v>
      </c>
      <c r="BD35" t="s">
        <v>5256</v>
      </c>
    </row>
    <row r="36" spans="1:57" ht="120" x14ac:dyDescent="0.25">
      <c r="A36" s="173" t="s">
        <v>993</v>
      </c>
      <c r="B36" s="173" t="s">
        <v>1295</v>
      </c>
      <c r="C36" s="173"/>
      <c r="D36" s="173"/>
      <c r="E36" s="173"/>
      <c r="F36" s="173"/>
      <c r="G36" s="173" t="s">
        <v>5257</v>
      </c>
      <c r="H36" s="173"/>
      <c r="I36" s="173"/>
      <c r="J36" s="173" t="s">
        <v>1293</v>
      </c>
      <c r="K36" s="173"/>
      <c r="L36" s="173"/>
      <c r="M36" s="173"/>
      <c r="N36" s="173"/>
      <c r="O36" s="173"/>
      <c r="P36" s="173"/>
      <c r="Q36" s="173"/>
      <c r="R36" s="173" t="s">
        <v>313</v>
      </c>
      <c r="S36" s="173"/>
      <c r="T36" s="173"/>
      <c r="U36" s="173"/>
      <c r="V36" s="173">
        <v>39</v>
      </c>
      <c r="W36" s="173">
        <v>4</v>
      </c>
      <c r="X36" s="173"/>
      <c r="Y36" s="173"/>
      <c r="Z36" s="173">
        <v>4274</v>
      </c>
      <c r="AA36" s="173">
        <v>4286</v>
      </c>
      <c r="AB36" s="173"/>
      <c r="AC36" s="173" t="s">
        <v>2708</v>
      </c>
      <c r="AD36" s="173"/>
      <c r="AE36" s="173"/>
      <c r="AF36" s="173"/>
      <c r="AG36" s="173"/>
      <c r="AH36" s="173">
        <v>40969</v>
      </c>
      <c r="AI36" s="173">
        <v>2012</v>
      </c>
      <c r="AJ36" s="32" t="s">
        <v>1294</v>
      </c>
      <c r="AS36">
        <v>51</v>
      </c>
      <c r="AT36">
        <v>12</v>
      </c>
      <c r="AU36">
        <v>0</v>
      </c>
      <c r="AV36">
        <v>3</v>
      </c>
      <c r="AW36">
        <v>0</v>
      </c>
      <c r="AX36">
        <v>62</v>
      </c>
      <c r="BA36" t="s">
        <v>5253</v>
      </c>
      <c r="BB36" t="s">
        <v>5254</v>
      </c>
      <c r="BD36" t="s">
        <v>5258</v>
      </c>
    </row>
    <row r="37" spans="1:57" ht="165" x14ac:dyDescent="0.25">
      <c r="A37" s="173" t="s">
        <v>993</v>
      </c>
      <c r="B37" s="173" t="s">
        <v>1298</v>
      </c>
      <c r="C37" s="173"/>
      <c r="D37" s="173"/>
      <c r="E37" s="173"/>
      <c r="F37" s="173"/>
      <c r="G37" s="173" t="s">
        <v>5259</v>
      </c>
      <c r="H37" s="173"/>
      <c r="I37" s="173"/>
      <c r="J37" s="173" t="s">
        <v>1296</v>
      </c>
      <c r="K37" s="173"/>
      <c r="L37" s="173"/>
      <c r="M37" s="173"/>
      <c r="N37" s="173"/>
      <c r="O37" s="173"/>
      <c r="P37" s="173"/>
      <c r="Q37" s="173"/>
      <c r="R37" s="173" t="s">
        <v>313</v>
      </c>
      <c r="S37" s="173"/>
      <c r="T37" s="173"/>
      <c r="U37" s="173"/>
      <c r="V37" s="173">
        <v>63</v>
      </c>
      <c r="W37" s="173"/>
      <c r="X37" s="173"/>
      <c r="Y37" s="173"/>
      <c r="Z37" s="173">
        <v>97</v>
      </c>
      <c r="AA37" s="173">
        <v>111</v>
      </c>
      <c r="AB37" s="173"/>
      <c r="AC37" s="173" t="s">
        <v>3447</v>
      </c>
      <c r="AD37" s="173"/>
      <c r="AE37" s="173"/>
      <c r="AF37" s="173"/>
      <c r="AG37" s="173"/>
      <c r="AH37" s="173" t="s">
        <v>3446</v>
      </c>
      <c r="AI37" s="173">
        <v>2016</v>
      </c>
      <c r="AJ37" s="32" t="s">
        <v>1297</v>
      </c>
      <c r="AS37">
        <v>9</v>
      </c>
      <c r="AT37">
        <v>0</v>
      </c>
      <c r="AU37">
        <v>0</v>
      </c>
      <c r="AV37">
        <v>0</v>
      </c>
      <c r="AW37">
        <v>0</v>
      </c>
      <c r="AX37">
        <v>9</v>
      </c>
      <c r="BA37" t="s">
        <v>5253</v>
      </c>
      <c r="BB37" t="s">
        <v>5254</v>
      </c>
      <c r="BD37" t="s">
        <v>5260</v>
      </c>
    </row>
    <row r="38" spans="1:57" ht="165" x14ac:dyDescent="0.25">
      <c r="A38" s="173" t="s">
        <v>993</v>
      </c>
      <c r="B38" s="173" t="s">
        <v>1118</v>
      </c>
      <c r="C38" s="173"/>
      <c r="D38" s="173"/>
      <c r="E38" s="173"/>
      <c r="F38" s="173"/>
      <c r="G38" s="173"/>
      <c r="H38" s="173"/>
      <c r="I38" s="173"/>
      <c r="J38" s="173" t="s">
        <v>1116</v>
      </c>
      <c r="K38" s="173"/>
      <c r="L38" s="173"/>
      <c r="M38" s="173"/>
      <c r="N38" s="173"/>
      <c r="O38" s="173"/>
      <c r="P38" s="173"/>
      <c r="Q38" s="173"/>
      <c r="R38" s="173" t="s">
        <v>313</v>
      </c>
      <c r="S38" s="173"/>
      <c r="T38" s="173"/>
      <c r="U38" s="173"/>
      <c r="V38" s="173">
        <v>115</v>
      </c>
      <c r="W38" s="173"/>
      <c r="X38" s="173"/>
      <c r="Y38" s="173"/>
      <c r="Z38" s="173">
        <v>524</v>
      </c>
      <c r="AA38" s="173">
        <v>534</v>
      </c>
      <c r="AB38" s="173"/>
      <c r="AC38" s="173" t="s">
        <v>3998</v>
      </c>
      <c r="AD38" s="173"/>
      <c r="AE38" s="173"/>
      <c r="AF38" s="173"/>
      <c r="AG38" s="173"/>
      <c r="AH38" s="173" t="s">
        <v>3997</v>
      </c>
      <c r="AI38" s="173">
        <v>2019</v>
      </c>
      <c r="AJ38" s="32" t="s">
        <v>1117</v>
      </c>
      <c r="AS38">
        <v>0</v>
      </c>
      <c r="AT38">
        <v>0</v>
      </c>
      <c r="AU38">
        <v>0</v>
      </c>
      <c r="AV38">
        <v>0</v>
      </c>
      <c r="AW38">
        <v>0</v>
      </c>
      <c r="AX38">
        <v>0</v>
      </c>
      <c r="BA38" t="s">
        <v>5253</v>
      </c>
      <c r="BB38" t="s">
        <v>5254</v>
      </c>
      <c r="BD38" t="s">
        <v>5261</v>
      </c>
    </row>
    <row r="39" spans="1:57" ht="120" x14ac:dyDescent="0.25">
      <c r="A39" s="173" t="s">
        <v>993</v>
      </c>
      <c r="B39" s="173" t="s">
        <v>1301</v>
      </c>
      <c r="C39" s="173"/>
      <c r="D39" s="173"/>
      <c r="E39" s="173"/>
      <c r="F39" s="173"/>
      <c r="G39" s="173" t="s">
        <v>5262</v>
      </c>
      <c r="H39" s="173"/>
      <c r="I39" s="173"/>
      <c r="J39" s="173" t="s">
        <v>1299</v>
      </c>
      <c r="K39" s="173"/>
      <c r="L39" s="173"/>
      <c r="M39" s="173"/>
      <c r="N39" s="173"/>
      <c r="O39" s="173"/>
      <c r="P39" s="173"/>
      <c r="Q39" s="173"/>
      <c r="R39" s="173" t="s">
        <v>313</v>
      </c>
      <c r="S39" s="173"/>
      <c r="T39" s="173"/>
      <c r="U39" s="173"/>
      <c r="V39" s="173">
        <v>40</v>
      </c>
      <c r="W39" s="173">
        <v>17</v>
      </c>
      <c r="X39" s="173"/>
      <c r="Y39" s="173"/>
      <c r="Z39" s="173">
        <v>6848</v>
      </c>
      <c r="AA39" s="173">
        <v>6855</v>
      </c>
      <c r="AB39" s="173"/>
      <c r="AC39" s="173" t="s">
        <v>3154</v>
      </c>
      <c r="AD39" s="173"/>
      <c r="AE39" s="173"/>
      <c r="AF39" s="173"/>
      <c r="AG39" s="173"/>
      <c r="AH39" s="173" t="s">
        <v>3153</v>
      </c>
      <c r="AI39" s="173">
        <v>2013</v>
      </c>
      <c r="AJ39" s="32" t="s">
        <v>1300</v>
      </c>
      <c r="AS39">
        <v>17</v>
      </c>
      <c r="AT39">
        <v>3</v>
      </c>
      <c r="AU39">
        <v>0</v>
      </c>
      <c r="AV39">
        <v>1</v>
      </c>
      <c r="AW39">
        <v>0</v>
      </c>
      <c r="AX39">
        <v>20</v>
      </c>
      <c r="BA39" t="s">
        <v>5253</v>
      </c>
      <c r="BB39" t="s">
        <v>5254</v>
      </c>
      <c r="BD39" t="s">
        <v>5263</v>
      </c>
    </row>
    <row r="40" spans="1:57" ht="165" x14ac:dyDescent="0.25">
      <c r="A40" s="173" t="s">
        <v>993</v>
      </c>
      <c r="B40" s="173" t="s">
        <v>1304</v>
      </c>
      <c r="C40" s="173"/>
      <c r="D40" s="173"/>
      <c r="E40" s="173"/>
      <c r="F40" s="173"/>
      <c r="G40" s="173"/>
      <c r="H40" s="173"/>
      <c r="I40" s="173"/>
      <c r="J40" s="173" t="s">
        <v>1302</v>
      </c>
      <c r="K40" s="173"/>
      <c r="L40" s="173"/>
      <c r="M40" s="173"/>
      <c r="N40" s="173"/>
      <c r="O40" s="173"/>
      <c r="P40" s="173"/>
      <c r="Q40" s="173"/>
      <c r="R40" s="173" t="s">
        <v>324</v>
      </c>
      <c r="S40" s="173"/>
      <c r="T40" s="173"/>
      <c r="U40" s="173"/>
      <c r="V40" s="173">
        <v>9</v>
      </c>
      <c r="W40" s="173">
        <v>3</v>
      </c>
      <c r="X40" s="173"/>
      <c r="Y40" s="173"/>
      <c r="Z40" s="173">
        <v>343</v>
      </c>
      <c r="AA40" s="173">
        <v>350</v>
      </c>
      <c r="AB40" s="173"/>
      <c r="AC40" s="173" t="s">
        <v>4103</v>
      </c>
      <c r="AD40" s="173"/>
      <c r="AE40" s="173"/>
      <c r="AF40" s="173"/>
      <c r="AG40" s="173"/>
      <c r="AH40" s="173" t="s">
        <v>4102</v>
      </c>
      <c r="AI40" s="173">
        <v>2018</v>
      </c>
      <c r="AJ40" s="32" t="s">
        <v>1303</v>
      </c>
      <c r="AS40">
        <v>0</v>
      </c>
      <c r="AT40">
        <v>0</v>
      </c>
      <c r="AU40">
        <v>0</v>
      </c>
      <c r="AV40">
        <v>0</v>
      </c>
      <c r="AW40">
        <v>0</v>
      </c>
      <c r="AX40">
        <v>0</v>
      </c>
      <c r="BA40" t="s">
        <v>5264</v>
      </c>
      <c r="BD40" t="s">
        <v>5265</v>
      </c>
    </row>
    <row r="41" spans="1:57" ht="120" x14ac:dyDescent="0.25">
      <c r="A41" s="173" t="s">
        <v>993</v>
      </c>
      <c r="B41" s="173" t="s">
        <v>1307</v>
      </c>
      <c r="C41" s="173"/>
      <c r="D41" s="173"/>
      <c r="E41" s="173"/>
      <c r="F41" s="173"/>
      <c r="G41" s="173"/>
      <c r="H41" s="173"/>
      <c r="I41" s="173"/>
      <c r="J41" s="173" t="s">
        <v>1305</v>
      </c>
      <c r="K41" s="173"/>
      <c r="L41" s="173"/>
      <c r="M41" s="173"/>
      <c r="N41" s="173"/>
      <c r="O41" s="173"/>
      <c r="P41" s="173"/>
      <c r="Q41" s="173"/>
      <c r="R41" s="173" t="s">
        <v>314</v>
      </c>
      <c r="S41" s="173"/>
      <c r="T41" s="173"/>
      <c r="U41" s="173"/>
      <c r="V41" s="173">
        <v>46</v>
      </c>
      <c r="W41" s="173">
        <v>12</v>
      </c>
      <c r="X41" s="173"/>
      <c r="Y41" s="173"/>
      <c r="Z41" s="173">
        <v>3032</v>
      </c>
      <c r="AA41" s="173">
        <v>3046</v>
      </c>
      <c r="AB41" s="173"/>
      <c r="AC41" s="173" t="s">
        <v>4256</v>
      </c>
      <c r="AD41" s="173"/>
      <c r="AE41" s="173"/>
      <c r="AF41" s="173"/>
      <c r="AG41" s="173"/>
      <c r="AH41" s="173" t="s">
        <v>3902</v>
      </c>
      <c r="AI41" s="173">
        <v>2016</v>
      </c>
      <c r="AJ41" s="32" t="s">
        <v>1306</v>
      </c>
      <c r="AS41">
        <v>0</v>
      </c>
      <c r="AT41">
        <v>0</v>
      </c>
      <c r="AU41">
        <v>0</v>
      </c>
      <c r="AV41">
        <v>0</v>
      </c>
      <c r="AW41">
        <v>0</v>
      </c>
      <c r="AX41">
        <v>0</v>
      </c>
      <c r="BA41" t="s">
        <v>5266</v>
      </c>
      <c r="BB41" t="s">
        <v>5267</v>
      </c>
      <c r="BD41" t="s">
        <v>5268</v>
      </c>
      <c r="BE41">
        <v>27723610</v>
      </c>
    </row>
    <row r="42" spans="1:57" ht="180" x14ac:dyDescent="0.25">
      <c r="A42" s="173" t="s">
        <v>993</v>
      </c>
      <c r="B42" s="173" t="s">
        <v>1310</v>
      </c>
      <c r="C42" s="173"/>
      <c r="D42" s="173"/>
      <c r="E42" s="173"/>
      <c r="F42" s="173"/>
      <c r="G42" s="173"/>
      <c r="H42" s="173"/>
      <c r="I42" s="173"/>
      <c r="J42" s="173" t="s">
        <v>1308</v>
      </c>
      <c r="K42" s="173"/>
      <c r="L42" s="173"/>
      <c r="M42" s="173"/>
      <c r="N42" s="173"/>
      <c r="O42" s="173"/>
      <c r="P42" s="173"/>
      <c r="Q42" s="173"/>
      <c r="R42" s="173" t="s">
        <v>314</v>
      </c>
      <c r="S42" s="173"/>
      <c r="T42" s="173"/>
      <c r="U42" s="173"/>
      <c r="V42" s="173">
        <v>47</v>
      </c>
      <c r="W42" s="173">
        <v>7</v>
      </c>
      <c r="X42" s="173"/>
      <c r="Y42" s="173"/>
      <c r="Z42" s="173">
        <v>1781</v>
      </c>
      <c r="AA42" s="173">
        <v>1794</v>
      </c>
      <c r="AB42" s="173"/>
      <c r="AC42" s="173" t="s">
        <v>2807</v>
      </c>
      <c r="AD42" s="173"/>
      <c r="AE42" s="173"/>
      <c r="AF42" s="173"/>
      <c r="AG42" s="173"/>
      <c r="AH42" s="173">
        <v>42917</v>
      </c>
      <c r="AI42" s="173">
        <v>2017</v>
      </c>
      <c r="AJ42" s="32" t="s">
        <v>1309</v>
      </c>
      <c r="AS42">
        <v>37</v>
      </c>
      <c r="AT42">
        <v>2</v>
      </c>
      <c r="AU42">
        <v>0</v>
      </c>
      <c r="AV42">
        <v>2</v>
      </c>
      <c r="AW42">
        <v>0</v>
      </c>
      <c r="AX42">
        <v>38</v>
      </c>
      <c r="BA42" t="s">
        <v>5266</v>
      </c>
      <c r="BB42" t="s">
        <v>5267</v>
      </c>
      <c r="BD42" t="s">
        <v>5269</v>
      </c>
      <c r="BE42">
        <v>27429453</v>
      </c>
    </row>
    <row r="43" spans="1:57" ht="135" x14ac:dyDescent="0.25">
      <c r="A43" s="173" t="s">
        <v>993</v>
      </c>
      <c r="B43" s="173" t="s">
        <v>1122</v>
      </c>
      <c r="C43" s="173"/>
      <c r="D43" s="173"/>
      <c r="E43" s="173"/>
      <c r="F43" s="173"/>
      <c r="G43" s="173" t="s">
        <v>5270</v>
      </c>
      <c r="H43" s="173"/>
      <c r="I43" s="173"/>
      <c r="J43" s="173" t="s">
        <v>1120</v>
      </c>
      <c r="K43" s="173"/>
      <c r="L43" s="173"/>
      <c r="M43" s="173"/>
      <c r="N43" s="173"/>
      <c r="O43" s="173"/>
      <c r="P43" s="173"/>
      <c r="Q43" s="173"/>
      <c r="R43" s="173" t="s">
        <v>314</v>
      </c>
      <c r="S43" s="173"/>
      <c r="T43" s="173"/>
      <c r="U43" s="173"/>
      <c r="V43" s="173">
        <v>43</v>
      </c>
      <c r="W43" s="173">
        <v>6</v>
      </c>
      <c r="X43" s="173"/>
      <c r="Y43" s="173"/>
      <c r="Z43" s="173">
        <v>1860</v>
      </c>
      <c r="AA43" s="173">
        <v>1870</v>
      </c>
      <c r="AB43" s="173"/>
      <c r="AC43" s="173" t="s">
        <v>2721</v>
      </c>
      <c r="AD43" s="173"/>
      <c r="AE43" s="173"/>
      <c r="AF43" s="173"/>
      <c r="AG43" s="173"/>
      <c r="AH43" s="173" t="s">
        <v>2720</v>
      </c>
      <c r="AI43" s="173">
        <v>2013</v>
      </c>
      <c r="AJ43" s="32" t="s">
        <v>1121</v>
      </c>
      <c r="AS43">
        <v>46</v>
      </c>
      <c r="AT43">
        <v>2</v>
      </c>
      <c r="AU43">
        <v>0</v>
      </c>
      <c r="AV43">
        <v>0</v>
      </c>
      <c r="AW43">
        <v>0</v>
      </c>
      <c r="AX43">
        <v>48</v>
      </c>
      <c r="BA43" t="s">
        <v>5266</v>
      </c>
      <c r="BB43" t="s">
        <v>5267</v>
      </c>
      <c r="BD43" t="s">
        <v>5271</v>
      </c>
      <c r="BE43">
        <v>23757577</v>
      </c>
    </row>
    <row r="44" spans="1:57" ht="150" x14ac:dyDescent="0.25">
      <c r="A44" s="173" t="s">
        <v>993</v>
      </c>
      <c r="B44" s="173" t="s">
        <v>1313</v>
      </c>
      <c r="C44" s="173"/>
      <c r="D44" s="173"/>
      <c r="E44" s="173"/>
      <c r="F44" s="173"/>
      <c r="G44" s="173"/>
      <c r="H44" s="173"/>
      <c r="I44" s="173"/>
      <c r="J44" s="173" t="s">
        <v>1311</v>
      </c>
      <c r="K44" s="173"/>
      <c r="L44" s="173"/>
      <c r="M44" s="173"/>
      <c r="N44" s="173"/>
      <c r="O44" s="173"/>
      <c r="P44" s="173"/>
      <c r="Q44" s="173"/>
      <c r="R44" s="173" t="s">
        <v>314</v>
      </c>
      <c r="S44" s="173"/>
      <c r="T44" s="173"/>
      <c r="U44" s="173"/>
      <c r="V44" s="173">
        <v>44</v>
      </c>
      <c r="W44" s="173">
        <v>11</v>
      </c>
      <c r="X44" s="173" t="s">
        <v>1948</v>
      </c>
      <c r="Y44" s="173"/>
      <c r="Z44" s="173">
        <v>2122</v>
      </c>
      <c r="AA44" s="173">
        <v>2133</v>
      </c>
      <c r="AB44" s="173"/>
      <c r="AC44" s="173" t="s">
        <v>2811</v>
      </c>
      <c r="AD44" s="173"/>
      <c r="AE44" s="173"/>
      <c r="AF44" s="173"/>
      <c r="AG44" s="173"/>
      <c r="AH44" s="173">
        <v>41944</v>
      </c>
      <c r="AI44" s="173">
        <v>2014</v>
      </c>
      <c r="AJ44" s="32" t="s">
        <v>1312</v>
      </c>
      <c r="AS44">
        <v>37</v>
      </c>
      <c r="AT44">
        <v>0</v>
      </c>
      <c r="AU44">
        <v>0</v>
      </c>
      <c r="AV44">
        <v>0</v>
      </c>
      <c r="AW44">
        <v>0</v>
      </c>
      <c r="AX44">
        <v>37</v>
      </c>
      <c r="BA44" t="s">
        <v>5266</v>
      </c>
      <c r="BB44" t="s">
        <v>5267</v>
      </c>
      <c r="BD44" t="s">
        <v>5272</v>
      </c>
      <c r="BE44">
        <v>25330474</v>
      </c>
    </row>
    <row r="45" spans="1:57" ht="165" x14ac:dyDescent="0.25">
      <c r="A45" s="173" t="s">
        <v>993</v>
      </c>
      <c r="B45" s="173" t="s">
        <v>1316</v>
      </c>
      <c r="C45" s="173"/>
      <c r="D45" s="173"/>
      <c r="E45" s="173"/>
      <c r="F45" s="173"/>
      <c r="G45" s="173"/>
      <c r="H45" s="173"/>
      <c r="I45" s="173"/>
      <c r="J45" s="173" t="s">
        <v>1314</v>
      </c>
      <c r="K45" s="173"/>
      <c r="L45" s="173"/>
      <c r="M45" s="173"/>
      <c r="N45" s="173"/>
      <c r="O45" s="173"/>
      <c r="P45" s="173"/>
      <c r="Q45" s="173"/>
      <c r="R45" s="173" t="s">
        <v>314</v>
      </c>
      <c r="S45" s="173"/>
      <c r="T45" s="173"/>
      <c r="U45" s="173"/>
      <c r="V45" s="173">
        <v>47</v>
      </c>
      <c r="W45" s="173">
        <v>4</v>
      </c>
      <c r="X45" s="173"/>
      <c r="Y45" s="173"/>
      <c r="Z45" s="173">
        <v>960</v>
      </c>
      <c r="AA45" s="173">
        <v>973</v>
      </c>
      <c r="AB45" s="173"/>
      <c r="AC45" s="173" t="s">
        <v>4731</v>
      </c>
      <c r="AD45" s="173"/>
      <c r="AE45" s="173"/>
      <c r="AF45" s="173"/>
      <c r="AG45" s="173"/>
      <c r="AH45" s="173" t="s">
        <v>3776</v>
      </c>
      <c r="AI45" s="173">
        <v>2017</v>
      </c>
      <c r="AJ45" s="32" t="s">
        <v>1315</v>
      </c>
      <c r="AS45">
        <v>2</v>
      </c>
      <c r="AT45">
        <v>0</v>
      </c>
      <c r="AU45">
        <v>0</v>
      </c>
      <c r="AV45">
        <v>0</v>
      </c>
      <c r="AW45">
        <v>0</v>
      </c>
      <c r="AX45">
        <v>2</v>
      </c>
      <c r="BA45" t="s">
        <v>5266</v>
      </c>
      <c r="BB45" t="s">
        <v>5267</v>
      </c>
      <c r="BD45" t="s">
        <v>5273</v>
      </c>
      <c r="BE45">
        <v>26992186</v>
      </c>
    </row>
    <row r="46" spans="1:57" ht="150" x14ac:dyDescent="0.25">
      <c r="A46" s="173" t="s">
        <v>993</v>
      </c>
      <c r="B46" s="173" t="s">
        <v>1319</v>
      </c>
      <c r="C46" s="173"/>
      <c r="D46" s="173"/>
      <c r="E46" s="173"/>
      <c r="F46" s="173" t="s">
        <v>5274</v>
      </c>
      <c r="G46" s="173" t="s">
        <v>5275</v>
      </c>
      <c r="H46" s="173"/>
      <c r="I46" s="173"/>
      <c r="J46" s="173" t="s">
        <v>1317</v>
      </c>
      <c r="K46" s="173"/>
      <c r="L46" s="173"/>
      <c r="M46" s="173"/>
      <c r="N46" s="173"/>
      <c r="O46" s="173"/>
      <c r="P46" s="173"/>
      <c r="Q46" s="173"/>
      <c r="R46" s="173" t="s">
        <v>311</v>
      </c>
      <c r="S46" s="173"/>
      <c r="T46" s="173"/>
      <c r="U46" s="173"/>
      <c r="V46" s="173">
        <v>24</v>
      </c>
      <c r="W46" s="173">
        <v>12</v>
      </c>
      <c r="X46" s="173"/>
      <c r="Y46" s="173"/>
      <c r="Z46" s="173">
        <v>5706</v>
      </c>
      <c r="AA46" s="173">
        <v>5722</v>
      </c>
      <c r="AB46" s="173"/>
      <c r="AC46" s="173" t="s">
        <v>2473</v>
      </c>
      <c r="AD46" s="173"/>
      <c r="AE46" s="173"/>
      <c r="AF46" s="173"/>
      <c r="AG46" s="173"/>
      <c r="AH46" s="173" t="s">
        <v>2393</v>
      </c>
      <c r="AI46" s="173">
        <v>2015</v>
      </c>
      <c r="AJ46" s="32" t="s">
        <v>1318</v>
      </c>
      <c r="AS46">
        <v>305</v>
      </c>
      <c r="AT46">
        <v>30</v>
      </c>
      <c r="AU46">
        <v>0</v>
      </c>
      <c r="AV46">
        <v>7</v>
      </c>
      <c r="AW46">
        <v>0</v>
      </c>
      <c r="AX46">
        <v>329</v>
      </c>
      <c r="BA46" t="s">
        <v>5276</v>
      </c>
      <c r="BB46" t="s">
        <v>5277</v>
      </c>
      <c r="BD46" t="s">
        <v>5278</v>
      </c>
      <c r="BE46">
        <v>26452281</v>
      </c>
    </row>
    <row r="47" spans="1:57" ht="195" x14ac:dyDescent="0.25">
      <c r="A47" s="173" t="s">
        <v>993</v>
      </c>
      <c r="B47" s="173" t="s">
        <v>1322</v>
      </c>
      <c r="C47" s="173"/>
      <c r="D47" s="173"/>
      <c r="E47" s="173"/>
      <c r="F47" s="173"/>
      <c r="G47" s="173"/>
      <c r="H47" s="173"/>
      <c r="I47" s="173"/>
      <c r="J47" s="173" t="s">
        <v>1320</v>
      </c>
      <c r="K47" s="173"/>
      <c r="L47" s="173"/>
      <c r="M47" s="173"/>
      <c r="N47" s="173"/>
      <c r="O47" s="173"/>
      <c r="P47" s="173"/>
      <c r="Q47" s="173"/>
      <c r="R47" s="173" t="s">
        <v>311</v>
      </c>
      <c r="S47" s="173"/>
      <c r="T47" s="173"/>
      <c r="U47" s="173"/>
      <c r="V47" s="173">
        <v>24</v>
      </c>
      <c r="W47" s="173">
        <v>9</v>
      </c>
      <c r="X47" s="173"/>
      <c r="Y47" s="173"/>
      <c r="Z47" s="173">
        <v>2701</v>
      </c>
      <c r="AA47" s="173">
        <v>2711</v>
      </c>
      <c r="AB47" s="173"/>
      <c r="AC47" s="173" t="s">
        <v>3513</v>
      </c>
      <c r="AD47" s="173"/>
      <c r="AE47" s="173"/>
      <c r="AF47" s="173"/>
      <c r="AG47" s="173"/>
      <c r="AH47" s="173">
        <v>42248</v>
      </c>
      <c r="AI47" s="173">
        <v>2015</v>
      </c>
      <c r="AJ47" s="32" t="s">
        <v>1321</v>
      </c>
      <c r="AS47">
        <v>8</v>
      </c>
      <c r="AT47">
        <v>0</v>
      </c>
      <c r="AU47">
        <v>0</v>
      </c>
      <c r="AV47">
        <v>0</v>
      </c>
      <c r="AW47">
        <v>0</v>
      </c>
      <c r="AX47">
        <v>8</v>
      </c>
      <c r="BA47" t="s">
        <v>5276</v>
      </c>
      <c r="BB47" t="s">
        <v>5277</v>
      </c>
      <c r="BD47" t="s">
        <v>5279</v>
      </c>
      <c r="BE47">
        <v>25872210</v>
      </c>
    </row>
    <row r="48" spans="1:57" ht="135" x14ac:dyDescent="0.25">
      <c r="A48" s="173" t="s">
        <v>993</v>
      </c>
      <c r="B48" s="173" t="s">
        <v>1131</v>
      </c>
      <c r="C48" s="173"/>
      <c r="D48" s="173"/>
      <c r="E48" s="173"/>
      <c r="F48" s="173"/>
      <c r="G48" s="173"/>
      <c r="H48" s="173"/>
      <c r="I48" s="173"/>
      <c r="J48" s="173" t="s">
        <v>1129</v>
      </c>
      <c r="K48" s="173"/>
      <c r="L48" s="173"/>
      <c r="M48" s="173"/>
      <c r="N48" s="173"/>
      <c r="O48" s="173"/>
      <c r="P48" s="173"/>
      <c r="Q48" s="173"/>
      <c r="R48" s="173" t="s">
        <v>311</v>
      </c>
      <c r="S48" s="173"/>
      <c r="T48" s="173"/>
      <c r="U48" s="173"/>
      <c r="V48" s="173">
        <v>19</v>
      </c>
      <c r="W48" s="173">
        <v>10</v>
      </c>
      <c r="X48" s="173"/>
      <c r="Y48" s="173"/>
      <c r="Z48" s="173">
        <v>2595</v>
      </c>
      <c r="AA48" s="173">
        <v>2613</v>
      </c>
      <c r="AB48" s="173"/>
      <c r="AC48" s="173" t="s">
        <v>3032</v>
      </c>
      <c r="AD48" s="173"/>
      <c r="AE48" s="173"/>
      <c r="AF48" s="173"/>
      <c r="AG48" s="173"/>
      <c r="AH48" s="173">
        <v>40452</v>
      </c>
      <c r="AI48" s="173">
        <v>2010</v>
      </c>
      <c r="AJ48" s="32" t="s">
        <v>1130</v>
      </c>
      <c r="AS48">
        <v>22</v>
      </c>
      <c r="AT48">
        <v>0</v>
      </c>
      <c r="AU48">
        <v>0</v>
      </c>
      <c r="AV48">
        <v>0</v>
      </c>
      <c r="AW48">
        <v>0</v>
      </c>
      <c r="AX48">
        <v>22</v>
      </c>
      <c r="BA48" t="s">
        <v>5276</v>
      </c>
      <c r="BD48" t="s">
        <v>5280</v>
      </c>
      <c r="BE48">
        <v>20550993</v>
      </c>
    </row>
    <row r="49" spans="1:57" ht="225" x14ac:dyDescent="0.25">
      <c r="A49" s="173" t="s">
        <v>993</v>
      </c>
      <c r="B49" s="173" t="s">
        <v>1325</v>
      </c>
      <c r="C49" s="173"/>
      <c r="D49" s="173"/>
      <c r="E49" s="173"/>
      <c r="F49" s="173" t="s">
        <v>5281</v>
      </c>
      <c r="G49" s="173" t="s">
        <v>5282</v>
      </c>
      <c r="H49" s="173"/>
      <c r="I49" s="173"/>
      <c r="J49" s="173" t="s">
        <v>1323</v>
      </c>
      <c r="K49" s="173"/>
      <c r="L49" s="173"/>
      <c r="M49" s="173"/>
      <c r="N49" s="173"/>
      <c r="O49" s="173"/>
      <c r="P49" s="173"/>
      <c r="Q49" s="173"/>
      <c r="R49" s="173" t="s">
        <v>311</v>
      </c>
      <c r="S49" s="173"/>
      <c r="T49" s="173"/>
      <c r="U49" s="173"/>
      <c r="V49" s="173">
        <v>24</v>
      </c>
      <c r="W49" s="173">
        <v>11</v>
      </c>
      <c r="X49" s="173"/>
      <c r="Y49" s="173"/>
      <c r="Z49" s="173">
        <v>4422</v>
      </c>
      <c r="AA49" s="173">
        <v>4432</v>
      </c>
      <c r="AB49" s="173"/>
      <c r="AC49" s="173" t="s">
        <v>3238</v>
      </c>
      <c r="AD49" s="173"/>
      <c r="AE49" s="173"/>
      <c r="AF49" s="173"/>
      <c r="AG49" s="173"/>
      <c r="AH49" s="173">
        <v>42309</v>
      </c>
      <c r="AI49" s="173">
        <v>2015</v>
      </c>
      <c r="AJ49" s="32" t="s">
        <v>1324</v>
      </c>
      <c r="AS49">
        <v>14</v>
      </c>
      <c r="AT49">
        <v>0</v>
      </c>
      <c r="AU49">
        <v>0</v>
      </c>
      <c r="AV49">
        <v>0</v>
      </c>
      <c r="AW49">
        <v>0</v>
      </c>
      <c r="AX49">
        <v>14</v>
      </c>
      <c r="BA49" t="s">
        <v>5276</v>
      </c>
      <c r="BB49" t="s">
        <v>5277</v>
      </c>
      <c r="BD49" t="s">
        <v>5283</v>
      </c>
      <c r="BE49">
        <v>26259079</v>
      </c>
    </row>
    <row r="50" spans="1:57" ht="165" x14ac:dyDescent="0.25">
      <c r="A50" s="173" t="s">
        <v>993</v>
      </c>
      <c r="B50" s="173" t="s">
        <v>1328</v>
      </c>
      <c r="C50" s="173"/>
      <c r="D50" s="173"/>
      <c r="E50" s="173"/>
      <c r="F50" s="173"/>
      <c r="G50" s="173"/>
      <c r="H50" s="173"/>
      <c r="I50" s="173"/>
      <c r="J50" s="173" t="s">
        <v>1326</v>
      </c>
      <c r="K50" s="173"/>
      <c r="L50" s="173"/>
      <c r="M50" s="173"/>
      <c r="N50" s="173"/>
      <c r="O50" s="173"/>
      <c r="P50" s="173"/>
      <c r="Q50" s="173"/>
      <c r="R50" s="173" t="s">
        <v>311</v>
      </c>
      <c r="S50" s="173"/>
      <c r="T50" s="173"/>
      <c r="U50" s="173"/>
      <c r="V50" s="173">
        <v>27</v>
      </c>
      <c r="W50" s="173">
        <v>7</v>
      </c>
      <c r="X50" s="173"/>
      <c r="Y50" s="173"/>
      <c r="Z50" s="173">
        <v>3657</v>
      </c>
      <c r="AA50" s="173">
        <v>3670</v>
      </c>
      <c r="AB50" s="173"/>
      <c r="AC50" s="173" t="s">
        <v>4466</v>
      </c>
      <c r="AD50" s="173"/>
      <c r="AE50" s="173"/>
      <c r="AF50" s="173"/>
      <c r="AG50" s="173"/>
      <c r="AH50" s="173">
        <v>43282</v>
      </c>
      <c r="AI50" s="173">
        <v>2018</v>
      </c>
      <c r="AJ50" s="32" t="s">
        <v>1327</v>
      </c>
      <c r="AS50">
        <v>1</v>
      </c>
      <c r="AT50">
        <v>0</v>
      </c>
      <c r="AU50">
        <v>0</v>
      </c>
      <c r="AV50">
        <v>0</v>
      </c>
      <c r="AW50">
        <v>0</v>
      </c>
      <c r="AX50">
        <v>1</v>
      </c>
      <c r="BA50" t="s">
        <v>5276</v>
      </c>
      <c r="BB50" t="s">
        <v>5277</v>
      </c>
      <c r="BD50" t="s">
        <v>5284</v>
      </c>
      <c r="BE50">
        <v>29993867</v>
      </c>
    </row>
    <row r="51" spans="1:57" ht="120" x14ac:dyDescent="0.25">
      <c r="A51" s="173" t="s">
        <v>993</v>
      </c>
      <c r="B51" s="173" t="s">
        <v>1331</v>
      </c>
      <c r="C51" s="173"/>
      <c r="D51" s="173"/>
      <c r="E51" s="173"/>
      <c r="F51" s="173"/>
      <c r="G51" s="173"/>
      <c r="H51" s="173"/>
      <c r="I51" s="173"/>
      <c r="J51" s="173" t="s">
        <v>1329</v>
      </c>
      <c r="K51" s="173"/>
      <c r="L51" s="173"/>
      <c r="M51" s="173"/>
      <c r="N51" s="173"/>
      <c r="O51" s="173"/>
      <c r="P51" s="173"/>
      <c r="Q51" s="173"/>
      <c r="R51" s="173" t="s">
        <v>311</v>
      </c>
      <c r="S51" s="173"/>
      <c r="T51" s="173"/>
      <c r="U51" s="173"/>
      <c r="V51" s="173">
        <v>17</v>
      </c>
      <c r="W51" s="173">
        <v>2</v>
      </c>
      <c r="X51" s="173"/>
      <c r="Y51" s="173"/>
      <c r="Z51" s="173">
        <v>190</v>
      </c>
      <c r="AA51" s="173">
        <v>203</v>
      </c>
      <c r="AB51" s="173"/>
      <c r="AC51" s="173" t="s">
        <v>3385</v>
      </c>
      <c r="AD51" s="173"/>
      <c r="AE51" s="173"/>
      <c r="AF51" s="173"/>
      <c r="AG51" s="173"/>
      <c r="AH51" s="173">
        <v>39479</v>
      </c>
      <c r="AI51" s="173">
        <v>2008</v>
      </c>
      <c r="AJ51" s="32" t="s">
        <v>1330</v>
      </c>
      <c r="AS51">
        <v>11</v>
      </c>
      <c r="AT51">
        <v>0</v>
      </c>
      <c r="AU51">
        <v>0</v>
      </c>
      <c r="AV51">
        <v>1</v>
      </c>
      <c r="AW51">
        <v>0</v>
      </c>
      <c r="AX51">
        <v>11</v>
      </c>
      <c r="BA51" t="s">
        <v>5276</v>
      </c>
      <c r="BD51" t="s">
        <v>5285</v>
      </c>
      <c r="BE51">
        <v>18270111</v>
      </c>
    </row>
    <row r="52" spans="1:57" ht="165" x14ac:dyDescent="0.25">
      <c r="A52" s="173" t="s">
        <v>993</v>
      </c>
      <c r="B52" s="173" t="s">
        <v>1334</v>
      </c>
      <c r="C52" s="173"/>
      <c r="D52" s="173"/>
      <c r="E52" s="173"/>
      <c r="F52" s="173"/>
      <c r="G52" s="173" t="s">
        <v>5286</v>
      </c>
      <c r="H52" s="173"/>
      <c r="I52" s="173"/>
      <c r="J52" s="173" t="s">
        <v>1332</v>
      </c>
      <c r="K52" s="173"/>
      <c r="L52" s="173"/>
      <c r="M52" s="173"/>
      <c r="N52" s="173"/>
      <c r="O52" s="173"/>
      <c r="P52" s="173"/>
      <c r="Q52" s="173"/>
      <c r="R52" s="173" t="s">
        <v>311</v>
      </c>
      <c r="S52" s="173"/>
      <c r="T52" s="173"/>
      <c r="U52" s="173"/>
      <c r="V52" s="173">
        <v>23</v>
      </c>
      <c r="W52" s="173">
        <v>2</v>
      </c>
      <c r="X52" s="173"/>
      <c r="Y52" s="173"/>
      <c r="Z52" s="173">
        <v>810</v>
      </c>
      <c r="AA52" s="173">
        <v>822</v>
      </c>
      <c r="AB52" s="173"/>
      <c r="AC52" s="173" t="s">
        <v>2784</v>
      </c>
      <c r="AD52" s="173"/>
      <c r="AE52" s="173"/>
      <c r="AF52" s="173"/>
      <c r="AG52" s="173"/>
      <c r="AH52" s="173">
        <v>41671</v>
      </c>
      <c r="AI52" s="173">
        <v>2014</v>
      </c>
      <c r="AJ52" s="32" t="s">
        <v>1333</v>
      </c>
      <c r="AS52">
        <v>39</v>
      </c>
      <c r="AT52">
        <v>0</v>
      </c>
      <c r="AU52">
        <v>0</v>
      </c>
      <c r="AV52">
        <v>0</v>
      </c>
      <c r="AW52">
        <v>0</v>
      </c>
      <c r="AX52">
        <v>39</v>
      </c>
      <c r="BA52" t="s">
        <v>5276</v>
      </c>
      <c r="BB52" t="s">
        <v>5277</v>
      </c>
      <c r="BD52" t="s">
        <v>5287</v>
      </c>
      <c r="BE52">
        <v>26270920</v>
      </c>
    </row>
    <row r="53" spans="1:57" ht="150" x14ac:dyDescent="0.25">
      <c r="A53" s="173" t="s">
        <v>993</v>
      </c>
      <c r="B53" s="173" t="s">
        <v>1337</v>
      </c>
      <c r="C53" s="173"/>
      <c r="D53" s="173"/>
      <c r="E53" s="173"/>
      <c r="F53" s="173"/>
      <c r="G53" s="173"/>
      <c r="H53" s="173"/>
      <c r="I53" s="173"/>
      <c r="J53" s="173" t="s">
        <v>1335</v>
      </c>
      <c r="K53" s="173"/>
      <c r="L53" s="173"/>
      <c r="M53" s="173"/>
      <c r="N53" s="173"/>
      <c r="O53" s="173"/>
      <c r="P53" s="173"/>
      <c r="Q53" s="173"/>
      <c r="R53" s="173" t="s">
        <v>311</v>
      </c>
      <c r="S53" s="173"/>
      <c r="T53" s="173"/>
      <c r="U53" s="173"/>
      <c r="V53" s="173">
        <v>24</v>
      </c>
      <c r="W53" s="173">
        <v>12</v>
      </c>
      <c r="X53" s="173"/>
      <c r="Y53" s="173"/>
      <c r="Z53" s="173">
        <v>5619</v>
      </c>
      <c r="AA53" s="173">
        <v>5629</v>
      </c>
      <c r="AB53" s="173"/>
      <c r="AC53" s="173" t="s">
        <v>3454</v>
      </c>
      <c r="AD53" s="173"/>
      <c r="AE53" s="173"/>
      <c r="AF53" s="173"/>
      <c r="AG53" s="173"/>
      <c r="AH53" s="173" t="s">
        <v>2393</v>
      </c>
      <c r="AI53" s="173">
        <v>2015</v>
      </c>
      <c r="AJ53" s="32" t="s">
        <v>1336</v>
      </c>
      <c r="AS53">
        <v>9</v>
      </c>
      <c r="AT53">
        <v>0</v>
      </c>
      <c r="AU53">
        <v>0</v>
      </c>
      <c r="AV53">
        <v>0</v>
      </c>
      <c r="AW53">
        <v>0</v>
      </c>
      <c r="AX53">
        <v>9</v>
      </c>
      <c r="BA53" t="s">
        <v>5276</v>
      </c>
      <c r="BB53" t="s">
        <v>5277</v>
      </c>
      <c r="BD53" t="s">
        <v>5288</v>
      </c>
      <c r="BE53">
        <v>26441416</v>
      </c>
    </row>
    <row r="54" spans="1:57" ht="180" x14ac:dyDescent="0.25">
      <c r="A54" s="173" t="s">
        <v>993</v>
      </c>
      <c r="B54" s="173" t="s">
        <v>1340</v>
      </c>
      <c r="C54" s="173"/>
      <c r="D54" s="173"/>
      <c r="E54" s="173"/>
      <c r="F54" s="173"/>
      <c r="G54" s="173" t="s">
        <v>5289</v>
      </c>
      <c r="H54" s="173"/>
      <c r="I54" s="173"/>
      <c r="J54" s="173" t="s">
        <v>1338</v>
      </c>
      <c r="K54" s="173"/>
      <c r="L54" s="173"/>
      <c r="M54" s="173"/>
      <c r="N54" s="173"/>
      <c r="O54" s="173"/>
      <c r="P54" s="173"/>
      <c r="Q54" s="173"/>
      <c r="R54" s="173" t="s">
        <v>311</v>
      </c>
      <c r="S54" s="173"/>
      <c r="T54" s="173"/>
      <c r="U54" s="173"/>
      <c r="V54" s="173">
        <v>27</v>
      </c>
      <c r="W54" s="173">
        <v>10</v>
      </c>
      <c r="X54" s="173"/>
      <c r="Y54" s="173"/>
      <c r="Z54" s="173">
        <v>4787</v>
      </c>
      <c r="AA54" s="173">
        <v>4797</v>
      </c>
      <c r="AB54" s="173"/>
      <c r="AC54" s="173" t="s">
        <v>5290</v>
      </c>
      <c r="AD54" s="173"/>
      <c r="AE54" s="173"/>
      <c r="AF54" s="173"/>
      <c r="AG54" s="173"/>
      <c r="AH54" s="173">
        <v>43374</v>
      </c>
      <c r="AI54" s="173">
        <v>2018</v>
      </c>
      <c r="AJ54" s="32" t="s">
        <v>1339</v>
      </c>
      <c r="AS54">
        <v>1</v>
      </c>
      <c r="AT54">
        <v>0</v>
      </c>
      <c r="AU54">
        <v>0</v>
      </c>
      <c r="AV54">
        <v>0</v>
      </c>
      <c r="AW54">
        <v>0</v>
      </c>
      <c r="AX54">
        <v>1</v>
      </c>
      <c r="BA54" t="s">
        <v>5276</v>
      </c>
      <c r="BB54" t="s">
        <v>5277</v>
      </c>
      <c r="BD54" t="s">
        <v>5291</v>
      </c>
      <c r="BE54">
        <v>29994215</v>
      </c>
    </row>
    <row r="55" spans="1:57" ht="135" x14ac:dyDescent="0.25">
      <c r="A55" s="173" t="s">
        <v>993</v>
      </c>
      <c r="B55" s="173" t="s">
        <v>1196</v>
      </c>
      <c r="C55" s="173"/>
      <c r="D55" s="173"/>
      <c r="E55" s="173"/>
      <c r="F55" s="173" t="s">
        <v>5292</v>
      </c>
      <c r="G55" s="173" t="s">
        <v>5293</v>
      </c>
      <c r="H55" s="173"/>
      <c r="I55" s="173"/>
      <c r="J55" s="173" t="s">
        <v>1194</v>
      </c>
      <c r="K55" s="173"/>
      <c r="L55" s="173"/>
      <c r="M55" s="173"/>
      <c r="N55" s="173"/>
      <c r="O55" s="173"/>
      <c r="P55" s="173"/>
      <c r="Q55" s="173"/>
      <c r="R55" s="173" t="s">
        <v>311</v>
      </c>
      <c r="S55" s="173"/>
      <c r="T55" s="173"/>
      <c r="U55" s="173"/>
      <c r="V55" s="173">
        <v>17</v>
      </c>
      <c r="W55" s="173">
        <v>7</v>
      </c>
      <c r="X55" s="173"/>
      <c r="Y55" s="173"/>
      <c r="Z55" s="173">
        <v>1168</v>
      </c>
      <c r="AA55" s="173">
        <v>1177</v>
      </c>
      <c r="AB55" s="173"/>
      <c r="AC55" s="173" t="s">
        <v>5294</v>
      </c>
      <c r="AD55" s="173"/>
      <c r="AE55" s="173"/>
      <c r="AF55" s="173"/>
      <c r="AG55" s="173"/>
      <c r="AH55" s="173">
        <v>39630</v>
      </c>
      <c r="AI55" s="173">
        <v>2008</v>
      </c>
      <c r="AJ55" s="32" t="s">
        <v>1195</v>
      </c>
      <c r="AS55">
        <v>388</v>
      </c>
      <c r="AT55">
        <v>57</v>
      </c>
      <c r="AU55">
        <v>1</v>
      </c>
      <c r="AV55">
        <v>4</v>
      </c>
      <c r="AW55">
        <v>0</v>
      </c>
      <c r="AX55">
        <v>443</v>
      </c>
      <c r="BA55" t="s">
        <v>5276</v>
      </c>
      <c r="BB55" t="s">
        <v>5277</v>
      </c>
      <c r="BD55" t="s">
        <v>5295</v>
      </c>
      <c r="BE55">
        <v>18586624</v>
      </c>
    </row>
    <row r="56" spans="1:57" ht="195" x14ac:dyDescent="0.25">
      <c r="A56" s="173" t="s">
        <v>993</v>
      </c>
      <c r="B56" s="173" t="s">
        <v>1343</v>
      </c>
      <c r="C56" s="173"/>
      <c r="D56" s="173"/>
      <c r="E56" s="173"/>
      <c r="F56" s="173"/>
      <c r="G56" s="173" t="s">
        <v>5296</v>
      </c>
      <c r="H56" s="173"/>
      <c r="I56" s="173"/>
      <c r="J56" s="173" t="s">
        <v>1341</v>
      </c>
      <c r="K56" s="173"/>
      <c r="L56" s="173"/>
      <c r="M56" s="173"/>
      <c r="N56" s="173"/>
      <c r="O56" s="173"/>
      <c r="P56" s="173"/>
      <c r="Q56" s="173"/>
      <c r="R56" s="173" t="s">
        <v>325</v>
      </c>
      <c r="S56" s="173"/>
      <c r="T56" s="173"/>
      <c r="U56" s="173"/>
      <c r="V56" s="173">
        <v>29</v>
      </c>
      <c r="W56" s="173">
        <v>4</v>
      </c>
      <c r="X56" s="173"/>
      <c r="Y56" s="173"/>
      <c r="Z56" s="173">
        <v>1301</v>
      </c>
      <c r="AA56" s="173">
        <v>1313</v>
      </c>
      <c r="AB56" s="173"/>
      <c r="AC56" s="173" t="s">
        <v>2868</v>
      </c>
      <c r="AD56" s="173"/>
      <c r="AE56" s="173"/>
      <c r="AF56" s="173"/>
      <c r="AG56" s="173"/>
      <c r="AH56" s="173" t="s">
        <v>2867</v>
      </c>
      <c r="AI56" s="173">
        <v>2018</v>
      </c>
      <c r="AJ56" s="32" t="s">
        <v>1342</v>
      </c>
      <c r="AS56">
        <v>31</v>
      </c>
      <c r="AT56">
        <v>0</v>
      </c>
      <c r="AU56">
        <v>0</v>
      </c>
      <c r="AV56">
        <v>1</v>
      </c>
      <c r="AW56">
        <v>0</v>
      </c>
      <c r="AX56">
        <v>31</v>
      </c>
      <c r="BA56" t="s">
        <v>5297</v>
      </c>
      <c r="BB56" t="s">
        <v>5298</v>
      </c>
      <c r="BD56" t="s">
        <v>5299</v>
      </c>
      <c r="BE56">
        <v>28287984</v>
      </c>
    </row>
    <row r="57" spans="1:57" ht="135" x14ac:dyDescent="0.25">
      <c r="A57" s="173" t="s">
        <v>993</v>
      </c>
      <c r="B57" s="173" t="s">
        <v>1346</v>
      </c>
      <c r="C57" s="173"/>
      <c r="D57" s="173"/>
      <c r="E57" s="173"/>
      <c r="F57" s="173" t="s">
        <v>5300</v>
      </c>
      <c r="G57" s="173" t="s">
        <v>5301</v>
      </c>
      <c r="H57" s="173"/>
      <c r="I57" s="173"/>
      <c r="J57" s="173" t="s">
        <v>1344</v>
      </c>
      <c r="K57" s="173"/>
      <c r="L57" s="173"/>
      <c r="M57" s="173"/>
      <c r="N57" s="173"/>
      <c r="O57" s="173"/>
      <c r="P57" s="173"/>
      <c r="Q57" s="173"/>
      <c r="R57" s="173" t="s">
        <v>300</v>
      </c>
      <c r="S57" s="173"/>
      <c r="T57" s="173"/>
      <c r="U57" s="173"/>
      <c r="V57" s="173">
        <v>32</v>
      </c>
      <c r="W57" s="173">
        <v>12</v>
      </c>
      <c r="X57" s="173"/>
      <c r="Y57" s="173"/>
      <c r="Z57" s="173">
        <v>2246</v>
      </c>
      <c r="AA57" s="173">
        <v>2261</v>
      </c>
      <c r="AB57" s="173"/>
      <c r="AC57" s="173" t="s">
        <v>3197</v>
      </c>
      <c r="AD57" s="173"/>
      <c r="AE57" s="173"/>
      <c r="AF57" s="173"/>
      <c r="AG57" s="173"/>
      <c r="AH57" s="173" t="s">
        <v>2404</v>
      </c>
      <c r="AI57" s="173">
        <v>2010</v>
      </c>
      <c r="AJ57" s="32" t="s">
        <v>1345</v>
      </c>
      <c r="AS57">
        <v>16</v>
      </c>
      <c r="AT57">
        <v>1</v>
      </c>
      <c r="AU57">
        <v>0</v>
      </c>
      <c r="AV57">
        <v>0</v>
      </c>
      <c r="AW57">
        <v>0</v>
      </c>
      <c r="AX57">
        <v>17</v>
      </c>
      <c r="BA57" t="s">
        <v>5302</v>
      </c>
      <c r="BB57" t="s">
        <v>5303</v>
      </c>
      <c r="BD57" t="s">
        <v>5304</v>
      </c>
      <c r="BE57">
        <v>20975121</v>
      </c>
    </row>
    <row r="58" spans="1:57" ht="150" x14ac:dyDescent="0.25">
      <c r="A58" s="173" t="s">
        <v>993</v>
      </c>
      <c r="B58" s="173" t="s">
        <v>1349</v>
      </c>
      <c r="C58" s="173"/>
      <c r="D58" s="173"/>
      <c r="E58" s="173"/>
      <c r="F58" s="173"/>
      <c r="G58" s="173"/>
      <c r="H58" s="173"/>
      <c r="I58" s="173"/>
      <c r="J58" s="173" t="s">
        <v>1347</v>
      </c>
      <c r="K58" s="173"/>
      <c r="L58" s="173"/>
      <c r="M58" s="173"/>
      <c r="N58" s="173"/>
      <c r="O58" s="173"/>
      <c r="P58" s="173"/>
      <c r="Q58" s="173"/>
      <c r="R58" s="173" t="s">
        <v>300</v>
      </c>
      <c r="S58" s="173"/>
      <c r="T58" s="173"/>
      <c r="U58" s="173"/>
      <c r="V58" s="173">
        <v>34</v>
      </c>
      <c r="W58" s="173">
        <v>4</v>
      </c>
      <c r="X58" s="173"/>
      <c r="Y58" s="173"/>
      <c r="Z58" s="173">
        <v>743</v>
      </c>
      <c r="AA58" s="173">
        <v>761</v>
      </c>
      <c r="AB58" s="173"/>
      <c r="AC58" s="173" t="s">
        <v>2399</v>
      </c>
      <c r="AD58" s="173"/>
      <c r="AE58" s="173"/>
      <c r="AF58" s="173"/>
      <c r="AG58" s="173"/>
      <c r="AH58" s="173" t="s">
        <v>2398</v>
      </c>
      <c r="AI58" s="173">
        <v>2012</v>
      </c>
      <c r="AJ58" s="32" t="s">
        <v>1348</v>
      </c>
      <c r="AS58">
        <v>930</v>
      </c>
      <c r="AT58">
        <v>53</v>
      </c>
      <c r="AU58">
        <v>3</v>
      </c>
      <c r="AV58">
        <v>29</v>
      </c>
      <c r="AW58">
        <v>0</v>
      </c>
      <c r="AX58">
        <v>984</v>
      </c>
      <c r="BA58" t="s">
        <v>5302</v>
      </c>
      <c r="BB58" t="s">
        <v>5303</v>
      </c>
      <c r="BD58" t="s">
        <v>5305</v>
      </c>
      <c r="BE58">
        <v>21808091</v>
      </c>
    </row>
    <row r="59" spans="1:57" ht="90" x14ac:dyDescent="0.25">
      <c r="A59" s="173" t="s">
        <v>993</v>
      </c>
      <c r="B59" s="173" t="s">
        <v>1352</v>
      </c>
      <c r="C59" s="173"/>
      <c r="D59" s="173"/>
      <c r="E59" s="173"/>
      <c r="F59" s="173"/>
      <c r="G59" s="173"/>
      <c r="H59" s="173"/>
      <c r="I59" s="173"/>
      <c r="J59" s="173" t="s">
        <v>1350</v>
      </c>
      <c r="K59" s="173"/>
      <c r="L59" s="173"/>
      <c r="M59" s="173"/>
      <c r="N59" s="173"/>
      <c r="O59" s="173"/>
      <c r="P59" s="173"/>
      <c r="Q59" s="173"/>
      <c r="R59" s="173" t="s">
        <v>300</v>
      </c>
      <c r="S59" s="173"/>
      <c r="T59" s="173"/>
      <c r="U59" s="173"/>
      <c r="V59" s="173">
        <v>33</v>
      </c>
      <c r="W59" s="173">
        <v>4</v>
      </c>
      <c r="X59" s="173"/>
      <c r="Y59" s="173"/>
      <c r="Z59" s="173">
        <v>721</v>
      </c>
      <c r="AA59" s="173">
        <v>740</v>
      </c>
      <c r="AB59" s="173"/>
      <c r="AC59" s="173" t="s">
        <v>2583</v>
      </c>
      <c r="AD59" s="173"/>
      <c r="AE59" s="173"/>
      <c r="AF59" s="173"/>
      <c r="AG59" s="173"/>
      <c r="AH59" s="173" t="s">
        <v>2582</v>
      </c>
      <c r="AI59" s="173">
        <v>2011</v>
      </c>
      <c r="AJ59" s="32" t="s">
        <v>1351</v>
      </c>
      <c r="AS59">
        <v>85</v>
      </c>
      <c r="AT59">
        <v>8</v>
      </c>
      <c r="AU59">
        <v>0</v>
      </c>
      <c r="AV59">
        <v>8</v>
      </c>
      <c r="AW59">
        <v>0</v>
      </c>
      <c r="AX59">
        <v>93</v>
      </c>
      <c r="BA59" t="s">
        <v>5302</v>
      </c>
      <c r="BB59" t="s">
        <v>5303</v>
      </c>
      <c r="BD59" t="s">
        <v>5306</v>
      </c>
      <c r="BE59">
        <v>20660950</v>
      </c>
    </row>
    <row r="60" spans="1:57" ht="120" x14ac:dyDescent="0.25">
      <c r="A60" s="173" t="s">
        <v>993</v>
      </c>
      <c r="B60" s="173" t="s">
        <v>1355</v>
      </c>
      <c r="C60" s="173"/>
      <c r="D60" s="173"/>
      <c r="E60" s="173"/>
      <c r="F60" s="173"/>
      <c r="G60" s="173"/>
      <c r="H60" s="173"/>
      <c r="I60" s="173"/>
      <c r="J60" s="173" t="s">
        <v>1353</v>
      </c>
      <c r="K60" s="173"/>
      <c r="L60" s="173"/>
      <c r="M60" s="173"/>
      <c r="N60" s="173"/>
      <c r="O60" s="173"/>
      <c r="P60" s="173"/>
      <c r="Q60" s="173"/>
      <c r="R60" s="173" t="s">
        <v>300</v>
      </c>
      <c r="S60" s="173"/>
      <c r="T60" s="173"/>
      <c r="U60" s="173"/>
      <c r="V60" s="173">
        <v>33</v>
      </c>
      <c r="W60" s="173">
        <v>11</v>
      </c>
      <c r="X60" s="173"/>
      <c r="Y60" s="173"/>
      <c r="Z60" s="173">
        <v>2188</v>
      </c>
      <c r="AA60" s="173">
        <v>2202</v>
      </c>
      <c r="AB60" s="173"/>
      <c r="AC60" s="173" t="s">
        <v>2475</v>
      </c>
      <c r="AD60" s="173"/>
      <c r="AE60" s="173"/>
      <c r="AF60" s="173"/>
      <c r="AG60" s="173"/>
      <c r="AH60" s="173">
        <v>40848</v>
      </c>
      <c r="AI60" s="173">
        <v>2011</v>
      </c>
      <c r="AJ60" s="32" t="s">
        <v>1354</v>
      </c>
      <c r="AS60">
        <v>258</v>
      </c>
      <c r="AT60">
        <v>18</v>
      </c>
      <c r="AU60">
        <v>0</v>
      </c>
      <c r="AV60">
        <v>10</v>
      </c>
      <c r="AW60">
        <v>0</v>
      </c>
      <c r="AX60">
        <v>275</v>
      </c>
      <c r="BA60" t="s">
        <v>5302</v>
      </c>
      <c r="BB60" t="s">
        <v>5303</v>
      </c>
      <c r="BD60" t="s">
        <v>5307</v>
      </c>
      <c r="BE60">
        <v>21464503</v>
      </c>
    </row>
    <row r="61" spans="1:57" ht="120" x14ac:dyDescent="0.25">
      <c r="A61" s="173" t="s">
        <v>993</v>
      </c>
      <c r="B61" s="173" t="s">
        <v>1358</v>
      </c>
      <c r="C61" s="173"/>
      <c r="D61" s="173"/>
      <c r="E61" s="173"/>
      <c r="F61" s="173"/>
      <c r="G61" s="173"/>
      <c r="H61" s="173"/>
      <c r="I61" s="173"/>
      <c r="J61" s="173" t="s">
        <v>1356</v>
      </c>
      <c r="K61" s="173"/>
      <c r="L61" s="173"/>
      <c r="M61" s="173"/>
      <c r="N61" s="173"/>
      <c r="O61" s="173"/>
      <c r="P61" s="173"/>
      <c r="Q61" s="173"/>
      <c r="R61" s="173" t="s">
        <v>300</v>
      </c>
      <c r="S61" s="173"/>
      <c r="T61" s="173"/>
      <c r="U61" s="173"/>
      <c r="V61" s="173">
        <v>38</v>
      </c>
      <c r="W61" s="173">
        <v>4</v>
      </c>
      <c r="X61" s="173"/>
      <c r="Y61" s="173"/>
      <c r="Z61" s="173">
        <v>814</v>
      </c>
      <c r="AA61" s="173">
        <v>830</v>
      </c>
      <c r="AB61" s="173"/>
      <c r="AC61" s="173" t="s">
        <v>2529</v>
      </c>
      <c r="AD61" s="173"/>
      <c r="AE61" s="173"/>
      <c r="AF61" s="173"/>
      <c r="AG61" s="173"/>
      <c r="AH61" s="173" t="s">
        <v>2528</v>
      </c>
      <c r="AI61" s="173">
        <v>2016</v>
      </c>
      <c r="AJ61" s="32" t="s">
        <v>1357</v>
      </c>
      <c r="AS61">
        <v>139</v>
      </c>
      <c r="AT61">
        <v>16</v>
      </c>
      <c r="AU61">
        <v>1</v>
      </c>
      <c r="AV61">
        <v>8</v>
      </c>
      <c r="AW61">
        <v>0</v>
      </c>
      <c r="AX61">
        <v>156</v>
      </c>
      <c r="BA61" t="s">
        <v>5302</v>
      </c>
      <c r="BB61" t="s">
        <v>5303</v>
      </c>
      <c r="BD61" t="s">
        <v>5308</v>
      </c>
      <c r="BE61">
        <v>26959679</v>
      </c>
    </row>
    <row r="62" spans="1:57" ht="90" x14ac:dyDescent="0.25">
      <c r="A62" s="173" t="s">
        <v>993</v>
      </c>
      <c r="B62" s="173" t="s">
        <v>1361</v>
      </c>
      <c r="C62" s="173"/>
      <c r="D62" s="173"/>
      <c r="E62" s="173"/>
      <c r="F62" s="173"/>
      <c r="G62" s="173"/>
      <c r="H62" s="173"/>
      <c r="I62" s="173"/>
      <c r="J62" s="173" t="s">
        <v>1359</v>
      </c>
      <c r="K62" s="173"/>
      <c r="L62" s="173"/>
      <c r="M62" s="173"/>
      <c r="N62" s="173"/>
      <c r="O62" s="173"/>
      <c r="P62" s="173"/>
      <c r="Q62" s="173"/>
      <c r="R62" s="173" t="s">
        <v>300</v>
      </c>
      <c r="S62" s="173"/>
      <c r="T62" s="173"/>
      <c r="U62" s="173"/>
      <c r="V62" s="173">
        <v>38</v>
      </c>
      <c r="W62" s="173">
        <v>11</v>
      </c>
      <c r="X62" s="173"/>
      <c r="Y62" s="173"/>
      <c r="Z62" s="173">
        <v>2327</v>
      </c>
      <c r="AA62" s="173">
        <v>2334</v>
      </c>
      <c r="AB62" s="173"/>
      <c r="AC62" s="173" t="s">
        <v>4735</v>
      </c>
      <c r="AD62" s="173"/>
      <c r="AE62" s="173"/>
      <c r="AF62" s="173"/>
      <c r="AG62" s="173"/>
      <c r="AH62" s="173">
        <v>42675</v>
      </c>
      <c r="AI62" s="173">
        <v>2016</v>
      </c>
      <c r="AJ62" s="32" t="s">
        <v>1360</v>
      </c>
      <c r="AS62">
        <v>2</v>
      </c>
      <c r="AT62">
        <v>0</v>
      </c>
      <c r="AU62">
        <v>0</v>
      </c>
      <c r="AV62">
        <v>0</v>
      </c>
      <c r="AW62">
        <v>0</v>
      </c>
      <c r="AX62">
        <v>2</v>
      </c>
      <c r="BA62" t="s">
        <v>5302</v>
      </c>
      <c r="BB62" t="s">
        <v>5303</v>
      </c>
      <c r="BD62" t="s">
        <v>5309</v>
      </c>
      <c r="BE62">
        <v>27071159</v>
      </c>
    </row>
    <row r="63" spans="1:57" ht="210" x14ac:dyDescent="0.25">
      <c r="A63" s="173" t="s">
        <v>993</v>
      </c>
      <c r="B63" s="173" t="s">
        <v>1364</v>
      </c>
      <c r="C63" s="173"/>
      <c r="D63" s="173"/>
      <c r="E63" s="173"/>
      <c r="F63" s="173"/>
      <c r="G63" s="173"/>
      <c r="H63" s="173"/>
      <c r="I63" s="173"/>
      <c r="J63" s="173" t="s">
        <v>1362</v>
      </c>
      <c r="K63" s="173"/>
      <c r="L63" s="173"/>
      <c r="M63" s="173"/>
      <c r="N63" s="173"/>
      <c r="O63" s="173"/>
      <c r="P63" s="173"/>
      <c r="Q63" s="173"/>
      <c r="R63" s="173" t="s">
        <v>300</v>
      </c>
      <c r="S63" s="173"/>
      <c r="T63" s="173"/>
      <c r="U63" s="173"/>
      <c r="V63" s="173">
        <v>31</v>
      </c>
      <c r="W63" s="173">
        <v>2</v>
      </c>
      <c r="X63" s="173"/>
      <c r="Y63" s="173"/>
      <c r="Z63" s="173">
        <v>319</v>
      </c>
      <c r="AA63" s="173">
        <v>336</v>
      </c>
      <c r="AB63" s="173"/>
      <c r="AC63" s="173" t="s">
        <v>2490</v>
      </c>
      <c r="AD63" s="173"/>
      <c r="AE63" s="173"/>
      <c r="AF63" s="173"/>
      <c r="AG63" s="173"/>
      <c r="AH63" s="173">
        <v>39845</v>
      </c>
      <c r="AI63" s="173">
        <v>2009</v>
      </c>
      <c r="AJ63" s="32" t="s">
        <v>1363</v>
      </c>
      <c r="AS63">
        <v>216</v>
      </c>
      <c r="AT63">
        <v>8</v>
      </c>
      <c r="AU63">
        <v>0</v>
      </c>
      <c r="AV63">
        <v>6</v>
      </c>
      <c r="AW63">
        <v>0</v>
      </c>
      <c r="AX63">
        <v>224</v>
      </c>
      <c r="BA63" t="s">
        <v>5302</v>
      </c>
      <c r="BB63" t="s">
        <v>5303</v>
      </c>
      <c r="BD63" t="s">
        <v>5310</v>
      </c>
      <c r="BE63">
        <v>19110496</v>
      </c>
    </row>
    <row r="64" spans="1:57" ht="150" x14ac:dyDescent="0.25">
      <c r="A64" s="173" t="s">
        <v>993</v>
      </c>
      <c r="B64" s="173" t="s">
        <v>1367</v>
      </c>
      <c r="C64" s="173"/>
      <c r="D64" s="173"/>
      <c r="E64" s="173"/>
      <c r="F64" s="173"/>
      <c r="G64" s="173"/>
      <c r="H64" s="173"/>
      <c r="I64" s="173"/>
      <c r="J64" s="173" t="s">
        <v>1365</v>
      </c>
      <c r="K64" s="173"/>
      <c r="L64" s="173"/>
      <c r="M64" s="173"/>
      <c r="N64" s="173"/>
      <c r="O64" s="173"/>
      <c r="P64" s="173"/>
      <c r="Q64" s="173"/>
      <c r="R64" s="173" t="s">
        <v>300</v>
      </c>
      <c r="S64" s="173"/>
      <c r="T64" s="173"/>
      <c r="U64" s="173"/>
      <c r="V64" s="173">
        <v>36</v>
      </c>
      <c r="W64" s="173">
        <v>7</v>
      </c>
      <c r="X64" s="173"/>
      <c r="Y64" s="173"/>
      <c r="Z64" s="173">
        <v>1312</v>
      </c>
      <c r="AA64" s="173">
        <v>1324</v>
      </c>
      <c r="AB64" s="173"/>
      <c r="AC64" s="173" t="s">
        <v>3335</v>
      </c>
      <c r="AD64" s="173"/>
      <c r="AE64" s="173"/>
      <c r="AF64" s="173"/>
      <c r="AG64" s="173"/>
      <c r="AH64" s="173">
        <v>41821</v>
      </c>
      <c r="AI64" s="173">
        <v>2014</v>
      </c>
      <c r="AJ64" s="32" t="s">
        <v>1366</v>
      </c>
      <c r="AS64">
        <v>12</v>
      </c>
      <c r="AT64">
        <v>0</v>
      </c>
      <c r="AU64">
        <v>0</v>
      </c>
      <c r="AV64">
        <v>0</v>
      </c>
      <c r="AW64">
        <v>0</v>
      </c>
      <c r="AX64">
        <v>12</v>
      </c>
      <c r="BA64" t="s">
        <v>5302</v>
      </c>
      <c r="BB64" t="s">
        <v>5303</v>
      </c>
      <c r="BD64" t="s">
        <v>5311</v>
      </c>
      <c r="BE64">
        <v>26353305</v>
      </c>
    </row>
    <row r="65" spans="1:57" ht="150" x14ac:dyDescent="0.25">
      <c r="A65" s="173" t="s">
        <v>993</v>
      </c>
      <c r="B65" s="173" t="s">
        <v>1370</v>
      </c>
      <c r="C65" s="173"/>
      <c r="D65" s="173"/>
      <c r="E65" s="173"/>
      <c r="F65" s="173"/>
      <c r="G65" s="173"/>
      <c r="H65" s="173"/>
      <c r="I65" s="173"/>
      <c r="J65" s="173" t="s">
        <v>1368</v>
      </c>
      <c r="K65" s="173"/>
      <c r="L65" s="173"/>
      <c r="M65" s="173"/>
      <c r="N65" s="173"/>
      <c r="O65" s="173"/>
      <c r="P65" s="173"/>
      <c r="Q65" s="173"/>
      <c r="R65" s="173" t="s">
        <v>300</v>
      </c>
      <c r="S65" s="173"/>
      <c r="T65" s="173"/>
      <c r="U65" s="173"/>
      <c r="V65" s="173">
        <v>35</v>
      </c>
      <c r="W65" s="173">
        <v>2</v>
      </c>
      <c r="X65" s="173"/>
      <c r="Y65" s="173"/>
      <c r="Z65" s="173">
        <v>476</v>
      </c>
      <c r="AA65" s="173">
        <v>489</v>
      </c>
      <c r="AB65" s="173"/>
      <c r="AC65" s="173" t="s">
        <v>3342</v>
      </c>
      <c r="AD65" s="173"/>
      <c r="AE65" s="173"/>
      <c r="AF65" s="173"/>
      <c r="AG65" s="173"/>
      <c r="AH65" s="173">
        <v>41306</v>
      </c>
      <c r="AI65" s="173">
        <v>2013</v>
      </c>
      <c r="AJ65" s="32" t="s">
        <v>1369</v>
      </c>
      <c r="AS65">
        <v>12</v>
      </c>
      <c r="AT65">
        <v>1</v>
      </c>
      <c r="AU65">
        <v>0</v>
      </c>
      <c r="AV65">
        <v>0</v>
      </c>
      <c r="AW65">
        <v>0</v>
      </c>
      <c r="AX65">
        <v>12</v>
      </c>
      <c r="BA65" t="s">
        <v>5302</v>
      </c>
      <c r="BD65" t="s">
        <v>5312</v>
      </c>
      <c r="BE65">
        <v>22547428</v>
      </c>
    </row>
    <row r="66" spans="1:57" ht="150" x14ac:dyDescent="0.25">
      <c r="A66" s="173" t="s">
        <v>993</v>
      </c>
      <c r="B66" s="173" t="s">
        <v>1373</v>
      </c>
      <c r="C66" s="173"/>
      <c r="D66" s="173"/>
      <c r="E66" s="173"/>
      <c r="F66" s="173"/>
      <c r="G66" s="173"/>
      <c r="H66" s="173"/>
      <c r="I66" s="173"/>
      <c r="J66" s="173" t="s">
        <v>1371</v>
      </c>
      <c r="K66" s="173"/>
      <c r="L66" s="173"/>
      <c r="M66" s="173"/>
      <c r="N66" s="173"/>
      <c r="O66" s="173"/>
      <c r="P66" s="173"/>
      <c r="Q66" s="173"/>
      <c r="R66" s="173" t="s">
        <v>300</v>
      </c>
      <c r="S66" s="173"/>
      <c r="T66" s="173"/>
      <c r="U66" s="173"/>
      <c r="V66" s="173">
        <v>33</v>
      </c>
      <c r="W66" s="173">
        <v>4</v>
      </c>
      <c r="X66" s="173"/>
      <c r="Y66" s="173"/>
      <c r="Z66" s="173">
        <v>754</v>
      </c>
      <c r="AA66" s="173">
        <v>766</v>
      </c>
      <c r="AB66" s="173"/>
      <c r="AC66" s="173" t="s">
        <v>2663</v>
      </c>
      <c r="AD66" s="173"/>
      <c r="AE66" s="173"/>
      <c r="AF66" s="173"/>
      <c r="AG66" s="173"/>
      <c r="AH66" s="173" t="s">
        <v>2582</v>
      </c>
      <c r="AI66" s="173">
        <v>2011</v>
      </c>
      <c r="AJ66" s="32" t="s">
        <v>1372</v>
      </c>
      <c r="AS66">
        <v>61</v>
      </c>
      <c r="AT66">
        <v>0</v>
      </c>
      <c r="AU66">
        <v>1</v>
      </c>
      <c r="AV66">
        <v>1</v>
      </c>
      <c r="AW66">
        <v>0</v>
      </c>
      <c r="AX66">
        <v>62</v>
      </c>
      <c r="BA66" t="s">
        <v>5302</v>
      </c>
      <c r="BB66" t="s">
        <v>5303</v>
      </c>
      <c r="BD66" t="s">
        <v>5313</v>
      </c>
      <c r="BE66">
        <v>21330688</v>
      </c>
    </row>
    <row r="67" spans="1:57" ht="135" x14ac:dyDescent="0.25">
      <c r="A67" s="173" t="s">
        <v>993</v>
      </c>
      <c r="B67" s="173" t="s">
        <v>1376</v>
      </c>
      <c r="C67" s="173"/>
      <c r="D67" s="173"/>
      <c r="E67" s="173"/>
      <c r="F67" s="173" t="s">
        <v>5314</v>
      </c>
      <c r="G67" s="173" t="s">
        <v>5315</v>
      </c>
      <c r="H67" s="173"/>
      <c r="I67" s="173"/>
      <c r="J67" s="173" t="s">
        <v>1374</v>
      </c>
      <c r="K67" s="173"/>
      <c r="L67" s="173"/>
      <c r="M67" s="173"/>
      <c r="N67" s="173"/>
      <c r="O67" s="173"/>
      <c r="P67" s="173"/>
      <c r="Q67" s="173"/>
      <c r="R67" s="173" t="s">
        <v>300</v>
      </c>
      <c r="S67" s="173"/>
      <c r="T67" s="173"/>
      <c r="U67" s="173"/>
      <c r="V67" s="173">
        <v>29</v>
      </c>
      <c r="W67" s="173">
        <v>3</v>
      </c>
      <c r="X67" s="173"/>
      <c r="Y67" s="173"/>
      <c r="Z67" s="173">
        <v>411</v>
      </c>
      <c r="AA67" s="173">
        <v>426</v>
      </c>
      <c r="AB67" s="173"/>
      <c r="AC67" s="173" t="s">
        <v>2401</v>
      </c>
      <c r="AD67" s="173"/>
      <c r="AE67" s="173"/>
      <c r="AF67" s="173"/>
      <c r="AG67" s="173"/>
      <c r="AH67" s="173">
        <v>39142</v>
      </c>
      <c r="AI67" s="173">
        <v>2007</v>
      </c>
      <c r="AJ67" s="32" t="s">
        <v>1375</v>
      </c>
      <c r="AS67">
        <v>798</v>
      </c>
      <c r="AT67">
        <v>54</v>
      </c>
      <c r="AU67">
        <v>0</v>
      </c>
      <c r="AV67">
        <v>160</v>
      </c>
      <c r="AW67">
        <v>0</v>
      </c>
      <c r="AX67">
        <v>850</v>
      </c>
      <c r="BA67" t="s">
        <v>5302</v>
      </c>
      <c r="BB67" t="s">
        <v>5303</v>
      </c>
      <c r="BD67" t="s">
        <v>5316</v>
      </c>
      <c r="BE67">
        <v>17224612</v>
      </c>
    </row>
    <row r="68" spans="1:57" ht="135" x14ac:dyDescent="0.25">
      <c r="A68" s="173" t="s">
        <v>993</v>
      </c>
      <c r="B68" s="173" t="s">
        <v>1379</v>
      </c>
      <c r="C68" s="173"/>
      <c r="D68" s="173"/>
      <c r="E68" s="173"/>
      <c r="F68" s="173"/>
      <c r="G68" s="173"/>
      <c r="H68" s="173"/>
      <c r="I68" s="173"/>
      <c r="J68" s="173" t="s">
        <v>1377</v>
      </c>
      <c r="K68" s="173"/>
      <c r="L68" s="173"/>
      <c r="M68" s="173"/>
      <c r="N68" s="173"/>
      <c r="O68" s="173"/>
      <c r="P68" s="173"/>
      <c r="Q68" s="173"/>
      <c r="R68" s="173" t="s">
        <v>300</v>
      </c>
      <c r="S68" s="173"/>
      <c r="T68" s="173"/>
      <c r="U68" s="173"/>
      <c r="V68" s="173">
        <v>33</v>
      </c>
      <c r="W68" s="173">
        <v>7</v>
      </c>
      <c r="X68" s="173"/>
      <c r="Y68" s="173"/>
      <c r="Z68" s="173">
        <v>1310</v>
      </c>
      <c r="AA68" s="173">
        <v>1323</v>
      </c>
      <c r="AB68" s="173"/>
      <c r="AC68" s="173" t="s">
        <v>2569</v>
      </c>
      <c r="AD68" s="173"/>
      <c r="AE68" s="173"/>
      <c r="AF68" s="173"/>
      <c r="AG68" s="173"/>
      <c r="AH68" s="173">
        <v>40725</v>
      </c>
      <c r="AI68" s="173">
        <v>2011</v>
      </c>
      <c r="AJ68" s="32" t="s">
        <v>1378</v>
      </c>
      <c r="AS68">
        <v>91</v>
      </c>
      <c r="AT68">
        <v>5</v>
      </c>
      <c r="AU68">
        <v>0</v>
      </c>
      <c r="AV68">
        <v>2</v>
      </c>
      <c r="AW68">
        <v>0</v>
      </c>
      <c r="AX68">
        <v>95</v>
      </c>
      <c r="BA68" t="s">
        <v>5302</v>
      </c>
      <c r="BB68" t="s">
        <v>5303</v>
      </c>
      <c r="BD68" t="s">
        <v>5317</v>
      </c>
      <c r="BE68">
        <v>21135448</v>
      </c>
    </row>
    <row r="69" spans="1:57" ht="165" x14ac:dyDescent="0.25">
      <c r="A69" s="173" t="s">
        <v>993</v>
      </c>
      <c r="B69" s="173" t="s">
        <v>1382</v>
      </c>
      <c r="C69" s="173"/>
      <c r="D69" s="173"/>
      <c r="E69" s="173"/>
      <c r="F69" s="173"/>
      <c r="G69" s="173" t="s">
        <v>5318</v>
      </c>
      <c r="H69" s="173"/>
      <c r="I69" s="173"/>
      <c r="J69" s="173" t="s">
        <v>1380</v>
      </c>
      <c r="K69" s="173"/>
      <c r="L69" s="173"/>
      <c r="M69" s="173"/>
      <c r="N69" s="173"/>
      <c r="O69" s="173"/>
      <c r="P69" s="173"/>
      <c r="Q69" s="173"/>
      <c r="R69" s="173" t="s">
        <v>300</v>
      </c>
      <c r="S69" s="173"/>
      <c r="T69" s="173"/>
      <c r="U69" s="173"/>
      <c r="V69" s="173">
        <v>35</v>
      </c>
      <c r="W69" s="173">
        <v>4</v>
      </c>
      <c r="X69" s="173"/>
      <c r="Y69" s="173"/>
      <c r="Z69" s="173">
        <v>882</v>
      </c>
      <c r="AA69" s="173">
        <v>897</v>
      </c>
      <c r="AB69" s="173"/>
      <c r="AC69" s="173" t="s">
        <v>2965</v>
      </c>
      <c r="AD69" s="173"/>
      <c r="AE69" s="173"/>
      <c r="AF69" s="173"/>
      <c r="AG69" s="173"/>
      <c r="AH69" s="173" t="s">
        <v>2964</v>
      </c>
      <c r="AI69" s="173">
        <v>2013</v>
      </c>
      <c r="AJ69" s="32" t="s">
        <v>1381</v>
      </c>
      <c r="AS69">
        <v>25</v>
      </c>
      <c r="AT69">
        <v>1</v>
      </c>
      <c r="AU69">
        <v>0</v>
      </c>
      <c r="AV69">
        <v>0</v>
      </c>
      <c r="AW69">
        <v>0</v>
      </c>
      <c r="AX69">
        <v>26</v>
      </c>
      <c r="BA69" t="s">
        <v>5302</v>
      </c>
      <c r="BB69" t="s">
        <v>5303</v>
      </c>
      <c r="BD69" t="s">
        <v>5319</v>
      </c>
      <c r="BE69">
        <v>22889818</v>
      </c>
    </row>
    <row r="70" spans="1:57" ht="135" x14ac:dyDescent="0.25">
      <c r="A70" s="173" t="s">
        <v>993</v>
      </c>
      <c r="B70" s="173" t="s">
        <v>1385</v>
      </c>
      <c r="C70" s="173"/>
      <c r="D70" s="173"/>
      <c r="E70" s="173"/>
      <c r="F70" s="173"/>
      <c r="G70" s="173"/>
      <c r="H70" s="173"/>
      <c r="I70" s="173"/>
      <c r="J70" s="173" t="s">
        <v>1383</v>
      </c>
      <c r="K70" s="173"/>
      <c r="L70" s="173"/>
      <c r="M70" s="173"/>
      <c r="N70" s="173"/>
      <c r="O70" s="173"/>
      <c r="P70" s="173"/>
      <c r="Q70" s="173"/>
      <c r="R70" s="173" t="s">
        <v>300</v>
      </c>
      <c r="S70" s="173"/>
      <c r="T70" s="173"/>
      <c r="U70" s="173"/>
      <c r="V70" s="173">
        <v>33</v>
      </c>
      <c r="W70" s="173">
        <v>10</v>
      </c>
      <c r="X70" s="173"/>
      <c r="Y70" s="173"/>
      <c r="Z70" s="173">
        <v>1978</v>
      </c>
      <c r="AA70" s="173">
        <v>1990</v>
      </c>
      <c r="AB70" s="173"/>
      <c r="AC70" s="173" t="s">
        <v>2505</v>
      </c>
      <c r="AD70" s="173"/>
      <c r="AE70" s="173"/>
      <c r="AF70" s="173"/>
      <c r="AG70" s="173"/>
      <c r="AH70" s="173">
        <v>40817</v>
      </c>
      <c r="AI70" s="173">
        <v>2011</v>
      </c>
      <c r="AJ70" s="32" t="s">
        <v>1384</v>
      </c>
      <c r="AS70">
        <v>165</v>
      </c>
      <c r="AT70">
        <v>7</v>
      </c>
      <c r="AU70">
        <v>0</v>
      </c>
      <c r="AV70">
        <v>15</v>
      </c>
      <c r="AW70">
        <v>0</v>
      </c>
      <c r="AX70">
        <v>171</v>
      </c>
      <c r="BA70" t="s">
        <v>5302</v>
      </c>
      <c r="BD70" t="s">
        <v>5320</v>
      </c>
      <c r="BE70">
        <v>21173442</v>
      </c>
    </row>
    <row r="71" spans="1:57" ht="135" x14ac:dyDescent="0.25">
      <c r="A71" s="173" t="s">
        <v>993</v>
      </c>
      <c r="B71" s="173" t="s">
        <v>1388</v>
      </c>
      <c r="C71" s="173"/>
      <c r="D71" s="173"/>
      <c r="E71" s="173"/>
      <c r="F71" s="173"/>
      <c r="G71" s="173"/>
      <c r="H71" s="173"/>
      <c r="I71" s="173"/>
      <c r="J71" s="173" t="s">
        <v>1386</v>
      </c>
      <c r="K71" s="173"/>
      <c r="L71" s="173"/>
      <c r="M71" s="173"/>
      <c r="N71" s="173"/>
      <c r="O71" s="173"/>
      <c r="P71" s="173"/>
      <c r="Q71" s="173"/>
      <c r="R71" s="173" t="s">
        <v>300</v>
      </c>
      <c r="S71" s="173"/>
      <c r="T71" s="173"/>
      <c r="U71" s="173"/>
      <c r="V71" s="173">
        <v>34</v>
      </c>
      <c r="W71" s="173">
        <v>9</v>
      </c>
      <c r="X71" s="173"/>
      <c r="Y71" s="173"/>
      <c r="Z71" s="173">
        <v>1691</v>
      </c>
      <c r="AA71" s="173">
        <v>1703</v>
      </c>
      <c r="AB71" s="173"/>
      <c r="AC71" s="173" t="s">
        <v>2627</v>
      </c>
      <c r="AD71" s="173"/>
      <c r="AE71" s="173"/>
      <c r="AF71" s="173"/>
      <c r="AG71" s="173"/>
      <c r="AH71" s="173">
        <v>41153</v>
      </c>
      <c r="AI71" s="173">
        <v>2012</v>
      </c>
      <c r="AJ71" s="32" t="s">
        <v>1387</v>
      </c>
      <c r="AS71">
        <v>69</v>
      </c>
      <c r="AT71">
        <v>6</v>
      </c>
      <c r="AU71">
        <v>0</v>
      </c>
      <c r="AV71">
        <v>6</v>
      </c>
      <c r="AW71">
        <v>0</v>
      </c>
      <c r="AX71">
        <v>74</v>
      </c>
      <c r="BA71" t="s">
        <v>5302</v>
      </c>
      <c r="BD71" t="s">
        <v>5321</v>
      </c>
      <c r="BE71">
        <v>22392710</v>
      </c>
    </row>
    <row r="72" spans="1:57" ht="120" x14ac:dyDescent="0.25">
      <c r="A72" s="173" t="s">
        <v>993</v>
      </c>
      <c r="B72" s="173" t="s">
        <v>1391</v>
      </c>
      <c r="C72" s="173"/>
      <c r="D72" s="173"/>
      <c r="E72" s="173"/>
      <c r="F72" s="173"/>
      <c r="G72" s="173"/>
      <c r="H72" s="173"/>
      <c r="I72" s="173"/>
      <c r="J72" s="173" t="s">
        <v>1389</v>
      </c>
      <c r="K72" s="173"/>
      <c r="L72" s="173"/>
      <c r="M72" s="173"/>
      <c r="N72" s="173"/>
      <c r="O72" s="173"/>
      <c r="P72" s="173"/>
      <c r="Q72" s="173"/>
      <c r="R72" s="173" t="s">
        <v>300</v>
      </c>
      <c r="S72" s="173"/>
      <c r="T72" s="173"/>
      <c r="U72" s="173"/>
      <c r="V72" s="173">
        <v>38</v>
      </c>
      <c r="W72" s="173">
        <v>10</v>
      </c>
      <c r="X72" s="173"/>
      <c r="Y72" s="173"/>
      <c r="Z72" s="173">
        <v>1943</v>
      </c>
      <c r="AA72" s="173">
        <v>1955</v>
      </c>
      <c r="AB72" s="173"/>
      <c r="AC72" s="173" t="s">
        <v>2870</v>
      </c>
      <c r="AD72" s="173"/>
      <c r="AE72" s="173"/>
      <c r="AF72" s="173"/>
      <c r="AG72" s="173"/>
      <c r="AH72" s="173">
        <v>42644</v>
      </c>
      <c r="AI72" s="173">
        <v>2016</v>
      </c>
      <c r="AJ72" s="32" t="s">
        <v>1390</v>
      </c>
      <c r="AS72">
        <v>31</v>
      </c>
      <c r="AT72">
        <v>3</v>
      </c>
      <c r="AU72">
        <v>0</v>
      </c>
      <c r="AV72">
        <v>3</v>
      </c>
      <c r="AW72">
        <v>0</v>
      </c>
      <c r="AX72">
        <v>33</v>
      </c>
      <c r="BA72" t="s">
        <v>5302</v>
      </c>
      <c r="BB72" t="s">
        <v>5303</v>
      </c>
      <c r="BD72" t="s">
        <v>5322</v>
      </c>
      <c r="BE72">
        <v>26599615</v>
      </c>
    </row>
    <row r="73" spans="1:57" ht="150" x14ac:dyDescent="0.25">
      <c r="A73" s="173" t="s">
        <v>993</v>
      </c>
      <c r="B73" s="173" t="s">
        <v>1394</v>
      </c>
      <c r="C73" s="173"/>
      <c r="D73" s="173"/>
      <c r="E73" s="173"/>
      <c r="F73" s="173" t="s">
        <v>5323</v>
      </c>
      <c r="G73" s="173" t="s">
        <v>5324</v>
      </c>
      <c r="H73" s="173"/>
      <c r="I73" s="173"/>
      <c r="J73" s="173" t="s">
        <v>1392</v>
      </c>
      <c r="K73" s="173"/>
      <c r="L73" s="173"/>
      <c r="M73" s="173"/>
      <c r="N73" s="173"/>
      <c r="O73" s="173"/>
      <c r="P73" s="173"/>
      <c r="Q73" s="173"/>
      <c r="R73" s="173" t="s">
        <v>300</v>
      </c>
      <c r="S73" s="173"/>
      <c r="T73" s="173"/>
      <c r="U73" s="173"/>
      <c r="V73" s="173">
        <v>35</v>
      </c>
      <c r="W73" s="173">
        <v>3</v>
      </c>
      <c r="X73" s="173"/>
      <c r="Y73" s="173"/>
      <c r="Z73" s="173">
        <v>597</v>
      </c>
      <c r="AA73" s="173">
        <v>610</v>
      </c>
      <c r="AB73" s="173"/>
      <c r="AC73" s="173" t="s">
        <v>2480</v>
      </c>
      <c r="AD73" s="173"/>
      <c r="AE73" s="173"/>
      <c r="AF73" s="173"/>
      <c r="AG73" s="173"/>
      <c r="AH73" s="173">
        <v>41334</v>
      </c>
      <c r="AI73" s="173">
        <v>2013</v>
      </c>
      <c r="AJ73" s="32" t="s">
        <v>1393</v>
      </c>
      <c r="AS73">
        <v>249</v>
      </c>
      <c r="AT73">
        <v>34</v>
      </c>
      <c r="AU73">
        <v>0</v>
      </c>
      <c r="AV73">
        <v>6</v>
      </c>
      <c r="AW73">
        <v>0</v>
      </c>
      <c r="AX73">
        <v>279</v>
      </c>
      <c r="BA73" t="s">
        <v>5302</v>
      </c>
      <c r="BB73" t="s">
        <v>5303</v>
      </c>
      <c r="BD73" t="s">
        <v>5325</v>
      </c>
      <c r="BE73">
        <v>22689075</v>
      </c>
    </row>
    <row r="74" spans="1:57" ht="135" x14ac:dyDescent="0.25">
      <c r="A74" s="173" t="s">
        <v>993</v>
      </c>
      <c r="B74" s="173" t="s">
        <v>1397</v>
      </c>
      <c r="C74" s="173"/>
      <c r="D74" s="173"/>
      <c r="E74" s="173"/>
      <c r="F74" s="173"/>
      <c r="G74" s="173" t="s">
        <v>5318</v>
      </c>
      <c r="H74" s="173"/>
      <c r="I74" s="173"/>
      <c r="J74" s="173" t="s">
        <v>1395</v>
      </c>
      <c r="K74" s="173"/>
      <c r="L74" s="173"/>
      <c r="M74" s="173"/>
      <c r="N74" s="173"/>
      <c r="O74" s="173"/>
      <c r="P74" s="173"/>
      <c r="Q74" s="173"/>
      <c r="R74" s="173" t="s">
        <v>300</v>
      </c>
      <c r="S74" s="173"/>
      <c r="T74" s="173"/>
      <c r="U74" s="173"/>
      <c r="V74" s="173">
        <v>35</v>
      </c>
      <c r="W74" s="173">
        <v>11</v>
      </c>
      <c r="X74" s="173"/>
      <c r="Y74" s="173"/>
      <c r="Z74" s="173">
        <v>2608</v>
      </c>
      <c r="AA74" s="173">
        <v>2623</v>
      </c>
      <c r="AB74" s="173"/>
      <c r="AC74" s="173" t="s">
        <v>2719</v>
      </c>
      <c r="AD74" s="173"/>
      <c r="AE74" s="173"/>
      <c r="AF74" s="173"/>
      <c r="AG74" s="173"/>
      <c r="AH74" s="173">
        <v>41579</v>
      </c>
      <c r="AI74" s="173">
        <v>2013</v>
      </c>
      <c r="AJ74" s="32" t="s">
        <v>1396</v>
      </c>
      <c r="AS74">
        <v>47</v>
      </c>
      <c r="AT74">
        <v>2</v>
      </c>
      <c r="AU74">
        <v>0</v>
      </c>
      <c r="AV74">
        <v>0</v>
      </c>
      <c r="AW74">
        <v>0</v>
      </c>
      <c r="AX74">
        <v>49</v>
      </c>
      <c r="BA74" t="s">
        <v>5302</v>
      </c>
      <c r="BD74" t="s">
        <v>5326</v>
      </c>
      <c r="BE74">
        <v>24051723</v>
      </c>
    </row>
    <row r="75" spans="1:57" ht="135" x14ac:dyDescent="0.25">
      <c r="A75" s="173" t="s">
        <v>993</v>
      </c>
      <c r="B75" s="173" t="s">
        <v>1400</v>
      </c>
      <c r="C75" s="173"/>
      <c r="D75" s="173"/>
      <c r="E75" s="173"/>
      <c r="F75" s="173"/>
      <c r="G75" s="173"/>
      <c r="H75" s="173"/>
      <c r="I75" s="173"/>
      <c r="J75" s="173" t="s">
        <v>1398</v>
      </c>
      <c r="K75" s="173"/>
      <c r="L75" s="173"/>
      <c r="M75" s="173"/>
      <c r="N75" s="173"/>
      <c r="O75" s="173"/>
      <c r="P75" s="173"/>
      <c r="Q75" s="173"/>
      <c r="R75" s="173" t="s">
        <v>326</v>
      </c>
      <c r="S75" s="173"/>
      <c r="T75" s="173"/>
      <c r="U75" s="173"/>
      <c r="V75" s="173">
        <v>42</v>
      </c>
      <c r="W75" s="173">
        <v>4</v>
      </c>
      <c r="X75" s="173" t="s">
        <v>1948</v>
      </c>
      <c r="Y75" s="173"/>
      <c r="Z75" s="173">
        <v>1017</v>
      </c>
      <c r="AA75" s="173">
        <v>1026</v>
      </c>
      <c r="AB75" s="173"/>
      <c r="AC75" s="173" t="s">
        <v>3265</v>
      </c>
      <c r="AD75" s="173"/>
      <c r="AE75" s="173"/>
      <c r="AF75" s="173"/>
      <c r="AG75" s="173"/>
      <c r="AH75" s="173" t="s">
        <v>3133</v>
      </c>
      <c r="AI75" s="173">
        <v>2012</v>
      </c>
      <c r="AJ75" s="32" t="s">
        <v>1399</v>
      </c>
      <c r="AS75">
        <v>14</v>
      </c>
      <c r="AT75">
        <v>1</v>
      </c>
      <c r="AU75">
        <v>0</v>
      </c>
      <c r="AV75">
        <v>1</v>
      </c>
      <c r="AW75">
        <v>0</v>
      </c>
      <c r="AX75">
        <v>14</v>
      </c>
      <c r="BA75" t="s">
        <v>5327</v>
      </c>
      <c r="BD75" t="s">
        <v>5328</v>
      </c>
      <c r="BE75">
        <v>22575690</v>
      </c>
    </row>
    <row r="76" spans="1:57" ht="135" x14ac:dyDescent="0.25">
      <c r="A76" s="173" t="s">
        <v>993</v>
      </c>
      <c r="B76" s="173" t="s">
        <v>1403</v>
      </c>
      <c r="C76" s="173"/>
      <c r="D76" s="173"/>
      <c r="E76" s="173"/>
      <c r="F76" s="173" t="s">
        <v>5329</v>
      </c>
      <c r="G76" s="173" t="s">
        <v>5330</v>
      </c>
      <c r="H76" s="173"/>
      <c r="I76" s="173"/>
      <c r="J76" s="173" t="s">
        <v>1401</v>
      </c>
      <c r="K76" s="173"/>
      <c r="L76" s="173"/>
      <c r="M76" s="173"/>
      <c r="N76" s="173"/>
      <c r="O76" s="173"/>
      <c r="P76" s="173"/>
      <c r="Q76" s="173"/>
      <c r="R76" s="173" t="s">
        <v>347</v>
      </c>
      <c r="S76" s="173"/>
      <c r="T76" s="173"/>
      <c r="U76" s="173"/>
      <c r="V76" s="173">
        <v>34</v>
      </c>
      <c r="W76" s="173">
        <v>3</v>
      </c>
      <c r="X76" s="173"/>
      <c r="Y76" s="173"/>
      <c r="Z76" s="173">
        <v>334</v>
      </c>
      <c r="AA76" s="173">
        <v>352</v>
      </c>
      <c r="AB76" s="173"/>
      <c r="AC76" s="173" t="s">
        <v>5331</v>
      </c>
      <c r="AD76" s="173"/>
      <c r="AE76" s="173"/>
      <c r="AF76" s="173"/>
      <c r="AG76" s="173"/>
      <c r="AH76" s="173" t="s">
        <v>5332</v>
      </c>
      <c r="AI76" s="173">
        <v>2004</v>
      </c>
      <c r="AJ76" s="32" t="s">
        <v>1402</v>
      </c>
      <c r="AS76">
        <v>1033</v>
      </c>
      <c r="AT76">
        <v>83</v>
      </c>
      <c r="AU76">
        <v>0</v>
      </c>
      <c r="AV76">
        <v>24</v>
      </c>
      <c r="AW76">
        <v>1</v>
      </c>
      <c r="AX76">
        <v>1110</v>
      </c>
      <c r="BA76" t="s">
        <v>5333</v>
      </c>
      <c r="BB76" t="s">
        <v>5334</v>
      </c>
      <c r="BD76" t="s">
        <v>5335</v>
      </c>
    </row>
    <row r="77" spans="1:57" ht="105" x14ac:dyDescent="0.25">
      <c r="A77" s="173" t="s">
        <v>993</v>
      </c>
      <c r="B77" s="173" t="s">
        <v>1406</v>
      </c>
      <c r="C77" s="173"/>
      <c r="D77" s="173"/>
      <c r="E77" s="173"/>
      <c r="F77" s="173"/>
      <c r="G77" s="173" t="s">
        <v>5336</v>
      </c>
      <c r="H77" s="173"/>
      <c r="I77" s="173"/>
      <c r="J77" s="173" t="s">
        <v>1404</v>
      </c>
      <c r="K77" s="173"/>
      <c r="L77" s="173"/>
      <c r="M77" s="173"/>
      <c r="N77" s="173"/>
      <c r="O77" s="173"/>
      <c r="P77" s="173"/>
      <c r="Q77" s="173"/>
      <c r="R77" s="173" t="s">
        <v>310</v>
      </c>
      <c r="S77" s="173"/>
      <c r="T77" s="173"/>
      <c r="U77" s="173"/>
      <c r="V77" s="173">
        <v>11</v>
      </c>
      <c r="W77" s="173">
        <v>4</v>
      </c>
      <c r="X77" s="173"/>
      <c r="Y77" s="173"/>
      <c r="Z77" s="173">
        <v>265</v>
      </c>
      <c r="AA77" s="173">
        <v>285</v>
      </c>
      <c r="AB77" s="173"/>
      <c r="AC77" s="173" t="s">
        <v>4847</v>
      </c>
      <c r="AD77" s="173"/>
      <c r="AE77" s="173"/>
      <c r="AF77" s="173"/>
      <c r="AG77" s="173"/>
      <c r="AH77" s="173">
        <v>42887</v>
      </c>
      <c r="AI77" s="173">
        <v>2017</v>
      </c>
      <c r="AJ77" s="32" t="s">
        <v>1405</v>
      </c>
      <c r="AS77">
        <v>3</v>
      </c>
      <c r="AT77">
        <v>0</v>
      </c>
      <c r="AU77">
        <v>0</v>
      </c>
      <c r="AV77">
        <v>0</v>
      </c>
      <c r="AW77">
        <v>0</v>
      </c>
      <c r="AX77">
        <v>3</v>
      </c>
      <c r="BA77" t="s">
        <v>5337</v>
      </c>
      <c r="BB77" t="s">
        <v>5338</v>
      </c>
      <c r="BD77" t="s">
        <v>5339</v>
      </c>
    </row>
    <row r="78" spans="1:57" ht="105" x14ac:dyDescent="0.25">
      <c r="A78" s="173" t="s">
        <v>993</v>
      </c>
      <c r="B78" s="173" t="s">
        <v>1409</v>
      </c>
      <c r="C78" s="173"/>
      <c r="D78" s="173"/>
      <c r="E78" s="173"/>
      <c r="F78" s="173" t="s">
        <v>5340</v>
      </c>
      <c r="G78" s="173" t="s">
        <v>5341</v>
      </c>
      <c r="H78" s="173"/>
      <c r="I78" s="173"/>
      <c r="J78" s="173" t="s">
        <v>1407</v>
      </c>
      <c r="K78" s="173"/>
      <c r="L78" s="173"/>
      <c r="M78" s="173"/>
      <c r="N78" s="173"/>
      <c r="O78" s="173"/>
      <c r="P78" s="173"/>
      <c r="Q78" s="173"/>
      <c r="R78" s="173" t="s">
        <v>310</v>
      </c>
      <c r="S78" s="173"/>
      <c r="T78" s="173"/>
      <c r="U78" s="173"/>
      <c r="V78" s="173">
        <v>6</v>
      </c>
      <c r="W78" s="173">
        <v>6</v>
      </c>
      <c r="X78" s="173"/>
      <c r="Y78" s="173"/>
      <c r="Z78" s="173">
        <v>514</v>
      </c>
      <c r="AA78" s="173">
        <v>523</v>
      </c>
      <c r="AB78" s="173"/>
      <c r="AC78" s="173" t="s">
        <v>3108</v>
      </c>
      <c r="AD78" s="173"/>
      <c r="AE78" s="173"/>
      <c r="AF78" s="173"/>
      <c r="AG78" s="173"/>
      <c r="AH78" s="173">
        <v>41214</v>
      </c>
      <c r="AI78" s="173">
        <v>2012</v>
      </c>
      <c r="AJ78" s="32" t="s">
        <v>1408</v>
      </c>
      <c r="AS78">
        <v>19</v>
      </c>
      <c r="AT78">
        <v>1</v>
      </c>
      <c r="AU78">
        <v>0</v>
      </c>
      <c r="AV78">
        <v>1</v>
      </c>
      <c r="AW78">
        <v>0</v>
      </c>
      <c r="AX78">
        <v>20</v>
      </c>
      <c r="BA78" t="s">
        <v>5337</v>
      </c>
      <c r="BD78" t="s">
        <v>5342</v>
      </c>
    </row>
    <row r="79" spans="1:57" ht="165" x14ac:dyDescent="0.25">
      <c r="A79" s="173" t="s">
        <v>993</v>
      </c>
      <c r="B79" s="173" t="s">
        <v>1412</v>
      </c>
      <c r="C79" s="173"/>
      <c r="D79" s="173"/>
      <c r="E79" s="173"/>
      <c r="F79" s="173" t="s">
        <v>5343</v>
      </c>
      <c r="G79" s="173" t="s">
        <v>5344</v>
      </c>
      <c r="H79" s="173"/>
      <c r="I79" s="173"/>
      <c r="J79" s="173" t="s">
        <v>1410</v>
      </c>
      <c r="K79" s="173"/>
      <c r="L79" s="173"/>
      <c r="M79" s="173"/>
      <c r="N79" s="173"/>
      <c r="O79" s="173"/>
      <c r="P79" s="173"/>
      <c r="Q79" s="173"/>
      <c r="R79" s="173" t="s">
        <v>310</v>
      </c>
      <c r="S79" s="173"/>
      <c r="T79" s="173"/>
      <c r="U79" s="173"/>
      <c r="V79" s="173">
        <v>6</v>
      </c>
      <c r="W79" s="173">
        <v>4</v>
      </c>
      <c r="X79" s="173"/>
      <c r="Y79" s="173"/>
      <c r="Z79" s="173">
        <v>296</v>
      </c>
      <c r="AA79" s="173">
        <v>305</v>
      </c>
      <c r="AB79" s="173"/>
      <c r="AC79" s="173" t="s">
        <v>3628</v>
      </c>
      <c r="AD79" s="173"/>
      <c r="AE79" s="173"/>
      <c r="AF79" s="173"/>
      <c r="AG79" s="173"/>
      <c r="AH79" s="173">
        <v>41091</v>
      </c>
      <c r="AI79" s="173">
        <v>2012</v>
      </c>
      <c r="AJ79" s="32" t="s">
        <v>1411</v>
      </c>
      <c r="AS79">
        <v>7</v>
      </c>
      <c r="AT79">
        <v>1</v>
      </c>
      <c r="AU79">
        <v>0</v>
      </c>
      <c r="AV79">
        <v>0</v>
      </c>
      <c r="AW79">
        <v>0</v>
      </c>
      <c r="AX79">
        <v>8</v>
      </c>
      <c r="BA79" t="s">
        <v>5337</v>
      </c>
      <c r="BB79" t="s">
        <v>5338</v>
      </c>
      <c r="BD79" t="s">
        <v>5345</v>
      </c>
    </row>
    <row r="80" spans="1:57" ht="120" x14ac:dyDescent="0.25">
      <c r="A80" s="173" t="s">
        <v>993</v>
      </c>
      <c r="B80" s="173" t="s">
        <v>1415</v>
      </c>
      <c r="C80" s="173"/>
      <c r="D80" s="173"/>
      <c r="E80" s="173"/>
      <c r="F80" s="173"/>
      <c r="G80" s="173"/>
      <c r="H80" s="173"/>
      <c r="I80" s="173"/>
      <c r="J80" s="173" t="s">
        <v>1413</v>
      </c>
      <c r="K80" s="173"/>
      <c r="L80" s="173"/>
      <c r="M80" s="173"/>
      <c r="N80" s="173"/>
      <c r="O80" s="173"/>
      <c r="P80" s="173"/>
      <c r="Q80" s="173"/>
      <c r="R80" s="173" t="s">
        <v>310</v>
      </c>
      <c r="S80" s="173"/>
      <c r="T80" s="173"/>
      <c r="U80" s="173"/>
      <c r="V80" s="173">
        <v>10</v>
      </c>
      <c r="W80" s="173">
        <v>4</v>
      </c>
      <c r="X80" s="173" t="s">
        <v>1948</v>
      </c>
      <c r="Y80" s="173"/>
      <c r="Z80" s="173">
        <v>323</v>
      </c>
      <c r="AA80" s="173">
        <v>330</v>
      </c>
      <c r="AB80" s="173"/>
      <c r="AC80" s="173" t="s">
        <v>3908</v>
      </c>
      <c r="AD80" s="173"/>
      <c r="AE80" s="173"/>
      <c r="AF80" s="173"/>
      <c r="AG80" s="173"/>
      <c r="AH80" s="173">
        <v>42522</v>
      </c>
      <c r="AI80" s="173">
        <v>2016</v>
      </c>
      <c r="AJ80" s="32" t="s">
        <v>1414</v>
      </c>
      <c r="AS80">
        <v>4</v>
      </c>
      <c r="AT80">
        <v>1</v>
      </c>
      <c r="AU80">
        <v>0</v>
      </c>
      <c r="AV80">
        <v>0</v>
      </c>
      <c r="AW80">
        <v>0</v>
      </c>
      <c r="AX80">
        <v>5</v>
      </c>
      <c r="BA80" t="s">
        <v>5337</v>
      </c>
      <c r="BB80" t="s">
        <v>5338</v>
      </c>
      <c r="BD80" t="s">
        <v>5346</v>
      </c>
    </row>
    <row r="81" spans="1:56" ht="120" x14ac:dyDescent="0.25">
      <c r="A81" s="173" t="s">
        <v>993</v>
      </c>
      <c r="B81" s="173" t="s">
        <v>1418</v>
      </c>
      <c r="C81" s="173"/>
      <c r="D81" s="173"/>
      <c r="E81" s="173"/>
      <c r="F81" s="173"/>
      <c r="G81" s="173"/>
      <c r="H81" s="173"/>
      <c r="I81" s="173"/>
      <c r="J81" s="173" t="s">
        <v>1416</v>
      </c>
      <c r="K81" s="173"/>
      <c r="L81" s="173"/>
      <c r="M81" s="173"/>
      <c r="N81" s="173"/>
      <c r="O81" s="173"/>
      <c r="P81" s="173"/>
      <c r="Q81" s="173"/>
      <c r="R81" s="173" t="s">
        <v>310</v>
      </c>
      <c r="S81" s="173"/>
      <c r="T81" s="173"/>
      <c r="U81" s="173"/>
      <c r="V81" s="173">
        <v>11</v>
      </c>
      <c r="W81" s="173">
        <v>8</v>
      </c>
      <c r="X81" s="173"/>
      <c r="Y81" s="173"/>
      <c r="Z81" s="173">
        <v>623</v>
      </c>
      <c r="AA81" s="173">
        <v>632</v>
      </c>
      <c r="AB81" s="173"/>
      <c r="AC81" s="173" t="s">
        <v>4512</v>
      </c>
      <c r="AD81" s="173"/>
      <c r="AE81" s="173"/>
      <c r="AF81" s="173"/>
      <c r="AG81" s="173"/>
      <c r="AH81" s="173" t="s">
        <v>3496</v>
      </c>
      <c r="AI81" s="173">
        <v>2017</v>
      </c>
      <c r="AJ81" s="32" t="s">
        <v>1417</v>
      </c>
      <c r="AS81">
        <v>1</v>
      </c>
      <c r="AT81">
        <v>0</v>
      </c>
      <c r="AU81">
        <v>0</v>
      </c>
      <c r="AV81">
        <v>0</v>
      </c>
      <c r="AW81">
        <v>0</v>
      </c>
      <c r="AX81">
        <v>1</v>
      </c>
      <c r="BA81" t="s">
        <v>5337</v>
      </c>
      <c r="BB81" t="s">
        <v>5338</v>
      </c>
      <c r="BD81" t="s">
        <v>5347</v>
      </c>
    </row>
    <row r="82" spans="1:56" ht="105" x14ac:dyDescent="0.25">
      <c r="A82" s="173" t="s">
        <v>993</v>
      </c>
      <c r="B82" s="173" t="s">
        <v>1421</v>
      </c>
      <c r="C82" s="173"/>
      <c r="D82" s="173"/>
      <c r="E82" s="173"/>
      <c r="F82" s="173" t="s">
        <v>5348</v>
      </c>
      <c r="G82" s="173" t="s">
        <v>5349</v>
      </c>
      <c r="H82" s="173"/>
      <c r="I82" s="173"/>
      <c r="J82" s="173" t="s">
        <v>1419</v>
      </c>
      <c r="K82" s="173"/>
      <c r="L82" s="173"/>
      <c r="M82" s="173"/>
      <c r="N82" s="173"/>
      <c r="O82" s="173"/>
      <c r="P82" s="173"/>
      <c r="Q82" s="173"/>
      <c r="R82" s="173" t="s">
        <v>310</v>
      </c>
      <c r="S82" s="173"/>
      <c r="T82" s="173"/>
      <c r="U82" s="173"/>
      <c r="V82" s="173">
        <v>6</v>
      </c>
      <c r="W82" s="173">
        <v>1</v>
      </c>
      <c r="X82" s="173"/>
      <c r="Y82" s="173"/>
      <c r="Z82" s="173">
        <v>70</v>
      </c>
      <c r="AA82" s="173">
        <v>78</v>
      </c>
      <c r="AB82" s="173"/>
      <c r="AC82" s="173" t="s">
        <v>3821</v>
      </c>
      <c r="AD82" s="173"/>
      <c r="AE82" s="173"/>
      <c r="AF82" s="173"/>
      <c r="AG82" s="173"/>
      <c r="AH82" s="173" t="s">
        <v>2483</v>
      </c>
      <c r="AI82" s="173">
        <v>2012</v>
      </c>
      <c r="AJ82" s="32" t="s">
        <v>1420</v>
      </c>
      <c r="AS82">
        <v>5</v>
      </c>
      <c r="AT82">
        <v>0</v>
      </c>
      <c r="AU82">
        <v>0</v>
      </c>
      <c r="AV82">
        <v>0</v>
      </c>
      <c r="AW82">
        <v>0</v>
      </c>
      <c r="AX82">
        <v>5</v>
      </c>
      <c r="BA82" t="s">
        <v>5337</v>
      </c>
      <c r="BB82" t="s">
        <v>5338</v>
      </c>
      <c r="BD82" t="s">
        <v>5350</v>
      </c>
    </row>
    <row r="83" spans="1:56" ht="120" x14ac:dyDescent="0.25">
      <c r="A83" s="173" t="s">
        <v>993</v>
      </c>
      <c r="B83" s="173" t="s">
        <v>1424</v>
      </c>
      <c r="C83" s="173"/>
      <c r="D83" s="173"/>
      <c r="E83" s="173"/>
      <c r="F83" s="173"/>
      <c r="G83" s="173"/>
      <c r="H83" s="173"/>
      <c r="I83" s="173"/>
      <c r="J83" s="173" t="s">
        <v>1422</v>
      </c>
      <c r="K83" s="173"/>
      <c r="L83" s="173"/>
      <c r="M83" s="173"/>
      <c r="N83" s="173"/>
      <c r="O83" s="173"/>
      <c r="P83" s="173"/>
      <c r="Q83" s="173"/>
      <c r="R83" s="173" t="s">
        <v>310</v>
      </c>
      <c r="S83" s="173"/>
      <c r="T83" s="173"/>
      <c r="U83" s="173"/>
      <c r="V83" s="173">
        <v>2</v>
      </c>
      <c r="W83" s="173">
        <v>4</v>
      </c>
      <c r="X83" s="173"/>
      <c r="Y83" s="173"/>
      <c r="Z83" s="173">
        <v>236</v>
      </c>
      <c r="AA83" s="173">
        <v>246</v>
      </c>
      <c r="AB83" s="173"/>
      <c r="AC83" s="173" t="s">
        <v>2996</v>
      </c>
      <c r="AD83" s="173"/>
      <c r="AE83" s="173"/>
      <c r="AF83" s="173"/>
      <c r="AG83" s="173"/>
      <c r="AH83" s="173" t="s">
        <v>2995</v>
      </c>
      <c r="AI83" s="173">
        <v>2008</v>
      </c>
      <c r="AJ83" s="32" t="s">
        <v>1423</v>
      </c>
      <c r="AO83" t="s">
        <v>5351</v>
      </c>
      <c r="AP83">
        <v>20072007</v>
      </c>
      <c r="AR83" t="s">
        <v>5352</v>
      </c>
      <c r="AS83">
        <v>24</v>
      </c>
      <c r="AT83">
        <v>1</v>
      </c>
      <c r="AU83">
        <v>0</v>
      </c>
      <c r="AV83">
        <v>0</v>
      </c>
      <c r="AW83">
        <v>0</v>
      </c>
      <c r="AX83">
        <v>25</v>
      </c>
      <c r="BA83" t="s">
        <v>5337</v>
      </c>
      <c r="BB83" t="s">
        <v>5338</v>
      </c>
      <c r="BD83" t="s">
        <v>5353</v>
      </c>
    </row>
    <row r="84" spans="1:56" ht="120" x14ac:dyDescent="0.25">
      <c r="A84" s="173" t="s">
        <v>993</v>
      </c>
      <c r="B84" s="173" t="s">
        <v>1135</v>
      </c>
      <c r="C84" s="173"/>
      <c r="D84" s="173"/>
      <c r="E84" s="173"/>
      <c r="F84" s="173"/>
      <c r="G84" s="173"/>
      <c r="H84" s="173"/>
      <c r="I84" s="173"/>
      <c r="J84" s="173" t="s">
        <v>1133</v>
      </c>
      <c r="K84" s="173"/>
      <c r="L84" s="173"/>
      <c r="M84" s="173"/>
      <c r="N84" s="173"/>
      <c r="O84" s="173"/>
      <c r="P84" s="173"/>
      <c r="Q84" s="173"/>
      <c r="R84" s="173" t="s">
        <v>310</v>
      </c>
      <c r="S84" s="173"/>
      <c r="T84" s="173"/>
      <c r="U84" s="173"/>
      <c r="V84" s="173">
        <v>11</v>
      </c>
      <c r="W84" s="173">
        <v>8</v>
      </c>
      <c r="X84" s="173"/>
      <c r="Y84" s="173"/>
      <c r="Z84" s="173">
        <v>744</v>
      </c>
      <c r="AA84" s="173">
        <v>749</v>
      </c>
      <c r="AB84" s="173"/>
      <c r="AC84" s="173" t="s">
        <v>4705</v>
      </c>
      <c r="AD84" s="173"/>
      <c r="AE84" s="173"/>
      <c r="AF84" s="173"/>
      <c r="AG84" s="173"/>
      <c r="AH84" s="173" t="s">
        <v>3496</v>
      </c>
      <c r="AI84" s="173">
        <v>2017</v>
      </c>
      <c r="AJ84" s="32" t="s">
        <v>1134</v>
      </c>
      <c r="AS84">
        <v>2</v>
      </c>
      <c r="AT84">
        <v>0</v>
      </c>
      <c r="AU84">
        <v>0</v>
      </c>
      <c r="AV84">
        <v>0</v>
      </c>
      <c r="AW84">
        <v>0</v>
      </c>
      <c r="AX84">
        <v>2</v>
      </c>
      <c r="BA84" t="s">
        <v>5337</v>
      </c>
      <c r="BB84" t="s">
        <v>5338</v>
      </c>
      <c r="BD84" t="s">
        <v>5354</v>
      </c>
    </row>
    <row r="85" spans="1:56" x14ac:dyDescent="0.25">
      <c r="A85" s="173" t="s">
        <v>993</v>
      </c>
      <c r="B85" s="173" t="s">
        <v>1426</v>
      </c>
      <c r="C85" s="173"/>
      <c r="D85" s="173"/>
      <c r="E85" s="173"/>
      <c r="F85" s="173"/>
      <c r="G85" s="173"/>
      <c r="H85" s="173"/>
      <c r="I85" s="173"/>
      <c r="J85" s="173" t="s">
        <v>1425</v>
      </c>
      <c r="K85" s="173"/>
      <c r="L85" s="173"/>
      <c r="M85" s="173"/>
      <c r="N85" s="173"/>
      <c r="O85" s="173"/>
      <c r="P85" s="173"/>
      <c r="Q85" s="173"/>
      <c r="R85" s="173" t="s">
        <v>310</v>
      </c>
      <c r="S85" s="173"/>
      <c r="T85" s="173"/>
      <c r="U85" s="173"/>
      <c r="V85" s="173">
        <v>9</v>
      </c>
      <c r="W85" s="173">
        <v>5</v>
      </c>
      <c r="X85" s="173" t="s">
        <v>1948</v>
      </c>
      <c r="Y85" s="173"/>
      <c r="Z85" s="173">
        <v>627</v>
      </c>
      <c r="AA85" s="173">
        <v>628</v>
      </c>
      <c r="AB85" s="173"/>
      <c r="AC85" s="173" t="s">
        <v>4295</v>
      </c>
      <c r="AD85" s="173"/>
      <c r="AE85" s="173"/>
      <c r="AF85" s="173"/>
      <c r="AG85" s="173"/>
      <c r="AH85" s="173">
        <v>42278</v>
      </c>
      <c r="AI85" s="173">
        <v>2015</v>
      </c>
      <c r="AJ85" s="32"/>
      <c r="AS85">
        <v>0</v>
      </c>
      <c r="AT85">
        <v>0</v>
      </c>
      <c r="AU85">
        <v>0</v>
      </c>
      <c r="AV85">
        <v>0</v>
      </c>
      <c r="AW85">
        <v>0</v>
      </c>
      <c r="AX85">
        <v>0</v>
      </c>
      <c r="BA85" t="s">
        <v>5337</v>
      </c>
      <c r="BB85" t="s">
        <v>5338</v>
      </c>
      <c r="BD85" t="s">
        <v>5355</v>
      </c>
    </row>
    <row r="86" spans="1:56" ht="120" x14ac:dyDescent="0.25">
      <c r="A86" s="173" t="s">
        <v>993</v>
      </c>
      <c r="B86" s="173" t="s">
        <v>1429</v>
      </c>
      <c r="C86" s="173"/>
      <c r="D86" s="173"/>
      <c r="E86" s="173"/>
      <c r="F86" s="173"/>
      <c r="G86" s="173"/>
      <c r="H86" s="173"/>
      <c r="I86" s="173"/>
      <c r="J86" s="173" t="s">
        <v>1427</v>
      </c>
      <c r="K86" s="173"/>
      <c r="L86" s="173"/>
      <c r="M86" s="173"/>
      <c r="N86" s="173"/>
      <c r="O86" s="173"/>
      <c r="P86" s="173"/>
      <c r="Q86" s="173"/>
      <c r="R86" s="173" t="s">
        <v>316</v>
      </c>
      <c r="S86" s="173"/>
      <c r="T86" s="173"/>
      <c r="U86" s="173"/>
      <c r="V86" s="173">
        <v>12</v>
      </c>
      <c r="W86" s="173">
        <v>5</v>
      </c>
      <c r="X86" s="173"/>
      <c r="Y86" s="173"/>
      <c r="Z86" s="173">
        <v>801</v>
      </c>
      <c r="AA86" s="173">
        <v>809</v>
      </c>
      <c r="AB86" s="173"/>
      <c r="AC86" s="173" t="s">
        <v>4133</v>
      </c>
      <c r="AD86" s="173"/>
      <c r="AE86" s="173"/>
      <c r="AF86" s="173"/>
      <c r="AG86" s="173"/>
      <c r="AH86" s="173">
        <v>43221</v>
      </c>
      <c r="AI86" s="173">
        <v>2018</v>
      </c>
      <c r="AJ86" s="32" t="s">
        <v>1428</v>
      </c>
      <c r="AS86">
        <v>0</v>
      </c>
      <c r="AT86">
        <v>0</v>
      </c>
      <c r="AU86">
        <v>0</v>
      </c>
      <c r="AV86">
        <v>0</v>
      </c>
      <c r="AW86">
        <v>0</v>
      </c>
      <c r="AX86">
        <v>0</v>
      </c>
      <c r="BA86" t="s">
        <v>5356</v>
      </c>
      <c r="BB86" t="s">
        <v>5357</v>
      </c>
      <c r="BD86" t="s">
        <v>5358</v>
      </c>
    </row>
    <row r="87" spans="1:56" ht="75" x14ac:dyDescent="0.25">
      <c r="A87" s="173" t="s">
        <v>993</v>
      </c>
      <c r="B87" s="173" t="s">
        <v>1142</v>
      </c>
      <c r="C87" s="173"/>
      <c r="D87" s="173"/>
      <c r="E87" s="173"/>
      <c r="F87" s="173"/>
      <c r="G87" s="173"/>
      <c r="H87" s="173"/>
      <c r="I87" s="173"/>
      <c r="J87" s="173" t="s">
        <v>1140</v>
      </c>
      <c r="K87" s="173"/>
      <c r="L87" s="173"/>
      <c r="M87" s="173"/>
      <c r="N87" s="173"/>
      <c r="O87" s="173"/>
      <c r="P87" s="173"/>
      <c r="Q87" s="173"/>
      <c r="R87" s="173" t="s">
        <v>316</v>
      </c>
      <c r="S87" s="173"/>
      <c r="T87" s="173"/>
      <c r="U87" s="173"/>
      <c r="V87" s="173">
        <v>12</v>
      </c>
      <c r="W87" s="173">
        <v>1</v>
      </c>
      <c r="X87" s="173"/>
      <c r="Y87" s="173"/>
      <c r="Z87" s="173">
        <v>133</v>
      </c>
      <c r="AA87" s="173">
        <v>137</v>
      </c>
      <c r="AB87" s="173"/>
      <c r="AC87" s="173" t="s">
        <v>4194</v>
      </c>
      <c r="AD87" s="173"/>
      <c r="AE87" s="173"/>
      <c r="AF87" s="173"/>
      <c r="AG87" s="173"/>
      <c r="AH87" s="173" t="s">
        <v>3675</v>
      </c>
      <c r="AI87" s="173">
        <v>2018</v>
      </c>
      <c r="AJ87" s="32" t="s">
        <v>1141</v>
      </c>
      <c r="AS87">
        <v>0</v>
      </c>
      <c r="AT87">
        <v>0</v>
      </c>
      <c r="AU87">
        <v>0</v>
      </c>
      <c r="AV87">
        <v>0</v>
      </c>
      <c r="AW87">
        <v>0</v>
      </c>
      <c r="AX87">
        <v>0</v>
      </c>
      <c r="BA87" t="s">
        <v>5356</v>
      </c>
      <c r="BB87" t="s">
        <v>5357</v>
      </c>
      <c r="BD87" t="s">
        <v>5359</v>
      </c>
    </row>
    <row r="88" spans="1:56" ht="105" x14ac:dyDescent="0.25">
      <c r="A88" s="173" t="s">
        <v>993</v>
      </c>
      <c r="B88" s="173" t="s">
        <v>1432</v>
      </c>
      <c r="C88" s="173"/>
      <c r="D88" s="173"/>
      <c r="E88" s="173"/>
      <c r="F88" s="173"/>
      <c r="G88" s="173"/>
      <c r="H88" s="173"/>
      <c r="I88" s="173"/>
      <c r="J88" s="173" t="s">
        <v>1430</v>
      </c>
      <c r="K88" s="173"/>
      <c r="L88" s="173"/>
      <c r="M88" s="173"/>
      <c r="N88" s="173"/>
      <c r="O88" s="173"/>
      <c r="P88" s="173"/>
      <c r="Q88" s="173"/>
      <c r="R88" s="173" t="s">
        <v>316</v>
      </c>
      <c r="S88" s="173"/>
      <c r="T88" s="173"/>
      <c r="U88" s="173"/>
      <c r="V88" s="173">
        <v>12</v>
      </c>
      <c r="W88" s="173">
        <v>11</v>
      </c>
      <c r="X88" s="173"/>
      <c r="Y88" s="173"/>
      <c r="Z88" s="173">
        <v>2036</v>
      </c>
      <c r="AA88" s="173">
        <v>2041</v>
      </c>
      <c r="AB88" s="173"/>
      <c r="AC88" s="173" t="s">
        <v>4041</v>
      </c>
      <c r="AD88" s="173"/>
      <c r="AE88" s="173"/>
      <c r="AF88" s="173"/>
      <c r="AG88" s="173"/>
      <c r="AH88" s="173">
        <v>43405</v>
      </c>
      <c r="AI88" s="173">
        <v>2018</v>
      </c>
      <c r="AJ88" s="32" t="s">
        <v>1431</v>
      </c>
      <c r="AS88">
        <v>0</v>
      </c>
      <c r="AT88">
        <v>0</v>
      </c>
      <c r="AU88">
        <v>0</v>
      </c>
      <c r="AV88">
        <v>0</v>
      </c>
      <c r="AW88">
        <v>0</v>
      </c>
      <c r="AX88">
        <v>0</v>
      </c>
      <c r="BA88" t="s">
        <v>5356</v>
      </c>
      <c r="BB88" t="s">
        <v>5357</v>
      </c>
      <c r="BD88" t="s">
        <v>5360</v>
      </c>
    </row>
    <row r="89" spans="1:56" ht="225" x14ac:dyDescent="0.25">
      <c r="A89" s="173" t="s">
        <v>993</v>
      </c>
      <c r="B89" s="173" t="s">
        <v>1435</v>
      </c>
      <c r="C89" s="173"/>
      <c r="D89" s="173"/>
      <c r="E89" s="173"/>
      <c r="F89" s="173"/>
      <c r="G89" s="173"/>
      <c r="H89" s="173"/>
      <c r="I89" s="173"/>
      <c r="J89" s="173" t="s">
        <v>1433</v>
      </c>
      <c r="K89" s="173"/>
      <c r="L89" s="173"/>
      <c r="M89" s="173"/>
      <c r="N89" s="173"/>
      <c r="O89" s="173"/>
      <c r="P89" s="173"/>
      <c r="Q89" s="173"/>
      <c r="R89" s="173" t="s">
        <v>302</v>
      </c>
      <c r="S89" s="173"/>
      <c r="T89" s="173"/>
      <c r="U89" s="173"/>
      <c r="V89" s="173">
        <v>24</v>
      </c>
      <c r="W89" s="173">
        <v>6</v>
      </c>
      <c r="X89" s="173"/>
      <c r="Y89" s="173"/>
      <c r="Z89" s="173">
        <v>557</v>
      </c>
      <c r="AA89" s="173">
        <v>563</v>
      </c>
      <c r="AB89" s="173"/>
      <c r="AC89" s="173" t="s">
        <v>3549</v>
      </c>
      <c r="AD89" s="173"/>
      <c r="AE89" s="173"/>
      <c r="AF89" s="173"/>
      <c r="AG89" s="173"/>
      <c r="AH89" s="173" t="s">
        <v>3548</v>
      </c>
      <c r="AI89" s="173">
        <v>2006</v>
      </c>
      <c r="AJ89" s="32" t="s">
        <v>1434</v>
      </c>
      <c r="AS89">
        <v>8</v>
      </c>
      <c r="AT89">
        <v>1</v>
      </c>
      <c r="AU89">
        <v>0</v>
      </c>
      <c r="AV89">
        <v>0</v>
      </c>
      <c r="AW89">
        <v>0</v>
      </c>
      <c r="AX89">
        <v>9</v>
      </c>
      <c r="BA89" t="s">
        <v>5361</v>
      </c>
      <c r="BD89" t="s">
        <v>5362</v>
      </c>
    </row>
    <row r="90" spans="1:56" ht="120" x14ac:dyDescent="0.25">
      <c r="A90" s="173" t="s">
        <v>993</v>
      </c>
      <c r="B90" s="173" t="s">
        <v>1438</v>
      </c>
      <c r="C90" s="173"/>
      <c r="D90" s="173"/>
      <c r="E90" s="173"/>
      <c r="F90" s="173"/>
      <c r="G90" s="173"/>
      <c r="H90" s="173"/>
      <c r="I90" s="173"/>
      <c r="J90" s="173" t="s">
        <v>1436</v>
      </c>
      <c r="K90" s="173"/>
      <c r="L90" s="173"/>
      <c r="M90" s="173"/>
      <c r="N90" s="173"/>
      <c r="O90" s="173"/>
      <c r="P90" s="173"/>
      <c r="Q90" s="173"/>
      <c r="R90" s="173" t="s">
        <v>302</v>
      </c>
      <c r="S90" s="173"/>
      <c r="T90" s="173"/>
      <c r="U90" s="173"/>
      <c r="V90" s="173">
        <v>69</v>
      </c>
      <c r="W90" s="173"/>
      <c r="X90" s="173"/>
      <c r="Y90" s="173"/>
      <c r="Z90" s="173">
        <v>1</v>
      </c>
      <c r="AA90" s="173">
        <v>8</v>
      </c>
      <c r="AB90" s="173"/>
      <c r="AC90" s="173" t="s">
        <v>4498</v>
      </c>
      <c r="AD90" s="173"/>
      <c r="AE90" s="173"/>
      <c r="AF90" s="173"/>
      <c r="AG90" s="173"/>
      <c r="AH90" s="173" t="s">
        <v>3675</v>
      </c>
      <c r="AI90" s="173">
        <v>2018</v>
      </c>
      <c r="AJ90" s="32" t="s">
        <v>1437</v>
      </c>
      <c r="AS90">
        <v>1</v>
      </c>
      <c r="AT90">
        <v>0</v>
      </c>
      <c r="AU90">
        <v>0</v>
      </c>
      <c r="AV90">
        <v>0</v>
      </c>
      <c r="AW90">
        <v>0</v>
      </c>
      <c r="AX90">
        <v>1</v>
      </c>
      <c r="BA90" t="s">
        <v>5361</v>
      </c>
      <c r="BB90" t="s">
        <v>5363</v>
      </c>
      <c r="BD90" t="s">
        <v>5364</v>
      </c>
    </row>
    <row r="91" spans="1:56" ht="120" x14ac:dyDescent="0.25">
      <c r="A91" s="173" t="s">
        <v>993</v>
      </c>
      <c r="B91" s="173" t="s">
        <v>1441</v>
      </c>
      <c r="C91" s="173"/>
      <c r="D91" s="173"/>
      <c r="E91" s="173"/>
      <c r="F91" s="173"/>
      <c r="G91" s="173" t="s">
        <v>5365</v>
      </c>
      <c r="H91" s="173"/>
      <c r="I91" s="173"/>
      <c r="J91" s="173" t="s">
        <v>1439</v>
      </c>
      <c r="K91" s="173"/>
      <c r="L91" s="173"/>
      <c r="M91" s="173"/>
      <c r="N91" s="173"/>
      <c r="O91" s="173"/>
      <c r="P91" s="173"/>
      <c r="Q91" s="173"/>
      <c r="R91" s="173" t="s">
        <v>302</v>
      </c>
      <c r="S91" s="173"/>
      <c r="T91" s="173"/>
      <c r="U91" s="173"/>
      <c r="V91" s="173">
        <v>27</v>
      </c>
      <c r="W91" s="173">
        <v>43497</v>
      </c>
      <c r="X91" s="173"/>
      <c r="Y91" s="173"/>
      <c r="Z91" s="173">
        <v>131</v>
      </c>
      <c r="AA91" s="173">
        <v>140</v>
      </c>
      <c r="AB91" s="173"/>
      <c r="AC91" s="173" t="s">
        <v>4792</v>
      </c>
      <c r="AD91" s="173"/>
      <c r="AE91" s="173"/>
      <c r="AF91" s="173"/>
      <c r="AG91" s="173"/>
      <c r="AH91" s="173" t="s">
        <v>4791</v>
      </c>
      <c r="AI91" s="173">
        <v>2009</v>
      </c>
      <c r="AJ91" s="32" t="s">
        <v>1440</v>
      </c>
      <c r="AO91" t="s">
        <v>5366</v>
      </c>
      <c r="AP91">
        <v>20062006</v>
      </c>
      <c r="AQ91" t="s">
        <v>5367</v>
      </c>
      <c r="AR91" t="s">
        <v>5368</v>
      </c>
      <c r="AS91">
        <v>2</v>
      </c>
      <c r="AT91">
        <v>0</v>
      </c>
      <c r="AU91">
        <v>0</v>
      </c>
      <c r="AV91">
        <v>0</v>
      </c>
      <c r="AW91">
        <v>0</v>
      </c>
      <c r="AX91">
        <v>2</v>
      </c>
      <c r="BA91" t="s">
        <v>5361</v>
      </c>
      <c r="BD91" t="s">
        <v>5369</v>
      </c>
    </row>
    <row r="92" spans="1:56" ht="195" x14ac:dyDescent="0.25">
      <c r="A92" s="173" t="s">
        <v>993</v>
      </c>
      <c r="B92" s="173" t="s">
        <v>1444</v>
      </c>
      <c r="C92" s="173"/>
      <c r="D92" s="173"/>
      <c r="E92" s="173"/>
      <c r="F92" s="173"/>
      <c r="G92" s="173"/>
      <c r="H92" s="173"/>
      <c r="I92" s="173"/>
      <c r="J92" s="173" t="s">
        <v>1442</v>
      </c>
      <c r="K92" s="173"/>
      <c r="L92" s="173"/>
      <c r="M92" s="173"/>
      <c r="N92" s="173"/>
      <c r="O92" s="173"/>
      <c r="P92" s="173"/>
      <c r="Q92" s="173"/>
      <c r="R92" s="173" t="s">
        <v>302</v>
      </c>
      <c r="S92" s="173"/>
      <c r="T92" s="173"/>
      <c r="U92" s="173"/>
      <c r="V92" s="173">
        <v>68</v>
      </c>
      <c r="W92" s="173"/>
      <c r="X92" s="173" t="s">
        <v>1948</v>
      </c>
      <c r="Y92" s="173"/>
      <c r="Z92" s="173">
        <v>28</v>
      </c>
      <c r="AA92" s="173">
        <v>39</v>
      </c>
      <c r="AB92" s="173"/>
      <c r="AC92" s="173" t="s">
        <v>4511</v>
      </c>
      <c r="AD92" s="173"/>
      <c r="AE92" s="173"/>
      <c r="AF92" s="173"/>
      <c r="AG92" s="173"/>
      <c r="AH92" s="173" t="s">
        <v>3496</v>
      </c>
      <c r="AI92" s="173">
        <v>2017</v>
      </c>
      <c r="AJ92" s="32" t="s">
        <v>1443</v>
      </c>
      <c r="AS92">
        <v>1</v>
      </c>
      <c r="AT92">
        <v>0</v>
      </c>
      <c r="AU92">
        <v>0</v>
      </c>
      <c r="AV92">
        <v>0</v>
      </c>
      <c r="AW92">
        <v>0</v>
      </c>
      <c r="AX92">
        <v>1</v>
      </c>
      <c r="BA92" t="s">
        <v>5361</v>
      </c>
      <c r="BB92" t="s">
        <v>5363</v>
      </c>
      <c r="BD92" t="s">
        <v>5370</v>
      </c>
    </row>
    <row r="93" spans="1:56" ht="120" x14ac:dyDescent="0.25">
      <c r="A93" s="173" t="s">
        <v>993</v>
      </c>
      <c r="B93" s="173" t="s">
        <v>1447</v>
      </c>
      <c r="C93" s="173"/>
      <c r="D93" s="173"/>
      <c r="E93" s="173"/>
      <c r="F93" s="173"/>
      <c r="G93" s="173" t="s">
        <v>5371</v>
      </c>
      <c r="H93" s="173"/>
      <c r="I93" s="173"/>
      <c r="J93" s="173" t="s">
        <v>1445</v>
      </c>
      <c r="K93" s="173"/>
      <c r="L93" s="173"/>
      <c r="M93" s="173"/>
      <c r="N93" s="173"/>
      <c r="O93" s="173"/>
      <c r="P93" s="173"/>
      <c r="Q93" s="173"/>
      <c r="R93" s="173" t="s">
        <v>302</v>
      </c>
      <c r="S93" s="173"/>
      <c r="T93" s="173"/>
      <c r="U93" s="173"/>
      <c r="V93" s="173">
        <v>27</v>
      </c>
      <c r="W93" s="173">
        <v>10</v>
      </c>
      <c r="X93" s="173"/>
      <c r="Y93" s="173"/>
      <c r="Z93" s="173">
        <v>1445</v>
      </c>
      <c r="AA93" s="173">
        <v>1458</v>
      </c>
      <c r="AB93" s="173"/>
      <c r="AC93" s="173" t="s">
        <v>3220</v>
      </c>
      <c r="AD93" s="173"/>
      <c r="AE93" s="173"/>
      <c r="AF93" s="173"/>
      <c r="AG93" s="173"/>
      <c r="AH93" s="173" t="s">
        <v>3219</v>
      </c>
      <c r="AI93" s="173">
        <v>2009</v>
      </c>
      <c r="AJ93" s="32" t="s">
        <v>1446</v>
      </c>
      <c r="AS93">
        <v>15</v>
      </c>
      <c r="AT93">
        <v>2</v>
      </c>
      <c r="AU93">
        <v>0</v>
      </c>
      <c r="AV93">
        <v>0</v>
      </c>
      <c r="AW93">
        <v>0</v>
      </c>
      <c r="AX93">
        <v>17</v>
      </c>
      <c r="BA93" t="s">
        <v>5361</v>
      </c>
      <c r="BD93" t="s">
        <v>5372</v>
      </c>
    </row>
    <row r="94" spans="1:56" ht="90" x14ac:dyDescent="0.25">
      <c r="A94" s="173" t="s">
        <v>993</v>
      </c>
      <c r="B94" s="173" t="s">
        <v>1450</v>
      </c>
      <c r="C94" s="173"/>
      <c r="D94" s="173"/>
      <c r="E94" s="173"/>
      <c r="F94" s="173"/>
      <c r="G94" s="173"/>
      <c r="H94" s="173"/>
      <c r="I94" s="173"/>
      <c r="J94" s="173" t="s">
        <v>1448</v>
      </c>
      <c r="K94" s="173"/>
      <c r="L94" s="173"/>
      <c r="M94" s="173"/>
      <c r="N94" s="173"/>
      <c r="O94" s="173"/>
      <c r="P94" s="173"/>
      <c r="Q94" s="173"/>
      <c r="R94" s="173" t="s">
        <v>302</v>
      </c>
      <c r="S94" s="173"/>
      <c r="T94" s="173"/>
      <c r="U94" s="173"/>
      <c r="V94" s="173">
        <v>26</v>
      </c>
      <c r="W94" s="173">
        <v>1</v>
      </c>
      <c r="X94" s="173" t="s">
        <v>1948</v>
      </c>
      <c r="Y94" s="173"/>
      <c r="Z94" s="173">
        <v>102</v>
      </c>
      <c r="AA94" s="173">
        <v>113</v>
      </c>
      <c r="AB94" s="173"/>
      <c r="AC94" s="173" t="s">
        <v>2710</v>
      </c>
      <c r="AD94" s="173"/>
      <c r="AE94" s="173"/>
      <c r="AF94" s="173"/>
      <c r="AG94" s="173"/>
      <c r="AH94" s="173" t="s">
        <v>2709</v>
      </c>
      <c r="AI94" s="173">
        <v>2008</v>
      </c>
      <c r="AJ94" s="32" t="s">
        <v>1449</v>
      </c>
      <c r="AS94">
        <v>50</v>
      </c>
      <c r="AT94">
        <v>0</v>
      </c>
      <c r="AU94">
        <v>0</v>
      </c>
      <c r="AV94">
        <v>3</v>
      </c>
      <c r="AW94">
        <v>0</v>
      </c>
      <c r="AX94">
        <v>50</v>
      </c>
      <c r="BA94" t="s">
        <v>5361</v>
      </c>
      <c r="BD94" t="s">
        <v>5373</v>
      </c>
    </row>
    <row r="95" spans="1:56" ht="135" x14ac:dyDescent="0.25">
      <c r="A95" s="173" t="s">
        <v>993</v>
      </c>
      <c r="B95" s="173" t="s">
        <v>1453</v>
      </c>
      <c r="C95" s="173"/>
      <c r="D95" s="173"/>
      <c r="E95" s="173"/>
      <c r="F95" s="173"/>
      <c r="G95" s="173"/>
      <c r="H95" s="173"/>
      <c r="I95" s="173"/>
      <c r="J95" s="173" t="s">
        <v>1451</v>
      </c>
      <c r="K95" s="173"/>
      <c r="L95" s="173"/>
      <c r="M95" s="173"/>
      <c r="N95" s="173"/>
      <c r="O95" s="173"/>
      <c r="P95" s="173"/>
      <c r="Q95" s="173"/>
      <c r="R95" s="173" t="s">
        <v>302</v>
      </c>
      <c r="S95" s="173"/>
      <c r="T95" s="173"/>
      <c r="U95" s="173"/>
      <c r="V95" s="173">
        <v>70</v>
      </c>
      <c r="W95" s="173"/>
      <c r="X95" s="173"/>
      <c r="Y95" s="173"/>
      <c r="Z95" s="173">
        <v>32</v>
      </c>
      <c r="AA95" s="173">
        <v>45</v>
      </c>
      <c r="AB95" s="173"/>
      <c r="AC95" s="173" t="s">
        <v>4494</v>
      </c>
      <c r="AD95" s="173"/>
      <c r="AE95" s="173"/>
      <c r="AF95" s="173"/>
      <c r="AG95" s="173"/>
      <c r="AH95" s="173">
        <v>43132</v>
      </c>
      <c r="AI95" s="173">
        <v>2018</v>
      </c>
      <c r="AJ95" s="32" t="s">
        <v>1452</v>
      </c>
      <c r="AS95">
        <v>1</v>
      </c>
      <c r="AT95">
        <v>0</v>
      </c>
      <c r="AU95">
        <v>0</v>
      </c>
      <c r="AV95">
        <v>0</v>
      </c>
      <c r="AW95">
        <v>0</v>
      </c>
      <c r="AX95">
        <v>1</v>
      </c>
      <c r="BA95" t="s">
        <v>5361</v>
      </c>
      <c r="BB95" t="s">
        <v>5363</v>
      </c>
      <c r="BD95" t="s">
        <v>5374</v>
      </c>
    </row>
    <row r="96" spans="1:56" ht="135" x14ac:dyDescent="0.25">
      <c r="A96" s="173" t="s">
        <v>993</v>
      </c>
      <c r="B96" s="173" t="s">
        <v>1456</v>
      </c>
      <c r="C96" s="173"/>
      <c r="D96" s="173"/>
      <c r="E96" s="173"/>
      <c r="F96" s="173"/>
      <c r="G96" s="173"/>
      <c r="H96" s="173"/>
      <c r="I96" s="173"/>
      <c r="J96" s="173" t="s">
        <v>1454</v>
      </c>
      <c r="K96" s="173"/>
      <c r="L96" s="173"/>
      <c r="M96" s="173"/>
      <c r="N96" s="173"/>
      <c r="O96" s="173"/>
      <c r="P96" s="173"/>
      <c r="Q96" s="173"/>
      <c r="R96" s="173" t="s">
        <v>302</v>
      </c>
      <c r="S96" s="173"/>
      <c r="T96" s="173"/>
      <c r="U96" s="173"/>
      <c r="V96" s="173">
        <v>79</v>
      </c>
      <c r="W96" s="173"/>
      <c r="X96" s="173"/>
      <c r="Y96" s="173"/>
      <c r="Z96" s="173">
        <v>109</v>
      </c>
      <c r="AA96" s="173">
        <v>122</v>
      </c>
      <c r="AB96" s="173"/>
      <c r="AC96" s="173" t="s">
        <v>4049</v>
      </c>
      <c r="AD96" s="173"/>
      <c r="AE96" s="173"/>
      <c r="AF96" s="173"/>
      <c r="AG96" s="173"/>
      <c r="AH96" s="173">
        <v>43405</v>
      </c>
      <c r="AI96" s="173">
        <v>2018</v>
      </c>
      <c r="AJ96" s="32" t="s">
        <v>1455</v>
      </c>
      <c r="AS96">
        <v>0</v>
      </c>
      <c r="AT96">
        <v>0</v>
      </c>
      <c r="AU96">
        <v>0</v>
      </c>
      <c r="AV96">
        <v>0</v>
      </c>
      <c r="AW96">
        <v>0</v>
      </c>
      <c r="AX96">
        <v>0</v>
      </c>
      <c r="BA96" t="s">
        <v>5361</v>
      </c>
      <c r="BB96" t="s">
        <v>5363</v>
      </c>
      <c r="BD96" t="s">
        <v>5375</v>
      </c>
    </row>
    <row r="97" spans="1:56" ht="105" x14ac:dyDescent="0.25">
      <c r="A97" s="173" t="s">
        <v>993</v>
      </c>
      <c r="B97" s="173" t="s">
        <v>1459</v>
      </c>
      <c r="C97" s="173"/>
      <c r="D97" s="173"/>
      <c r="E97" s="173"/>
      <c r="F97" s="173" t="s">
        <v>5376</v>
      </c>
      <c r="G97" s="173" t="s">
        <v>5377</v>
      </c>
      <c r="H97" s="173"/>
      <c r="I97" s="173"/>
      <c r="J97" s="173" t="s">
        <v>1457</v>
      </c>
      <c r="K97" s="173"/>
      <c r="L97" s="173"/>
      <c r="M97" s="173"/>
      <c r="N97" s="173"/>
      <c r="O97" s="173"/>
      <c r="P97" s="173"/>
      <c r="Q97" s="173"/>
      <c r="R97" s="173" t="s">
        <v>302</v>
      </c>
      <c r="S97" s="173"/>
      <c r="T97" s="173"/>
      <c r="U97" s="173"/>
      <c r="V97" s="173">
        <v>25</v>
      </c>
      <c r="W97" s="173">
        <v>5</v>
      </c>
      <c r="X97" s="173"/>
      <c r="Y97" s="173"/>
      <c r="Z97" s="173">
        <v>578</v>
      </c>
      <c r="AA97" s="173">
        <v>596</v>
      </c>
      <c r="AB97" s="173"/>
      <c r="AC97" s="173" t="s">
        <v>2468</v>
      </c>
      <c r="AD97" s="173"/>
      <c r="AE97" s="173"/>
      <c r="AF97" s="173"/>
      <c r="AG97" s="173"/>
      <c r="AH97" s="173" t="s">
        <v>2467</v>
      </c>
      <c r="AI97" s="173">
        <v>2007</v>
      </c>
      <c r="AJ97" s="32" t="s">
        <v>1458</v>
      </c>
      <c r="AS97">
        <v>321</v>
      </c>
      <c r="AT97">
        <v>31</v>
      </c>
      <c r="AU97">
        <v>0</v>
      </c>
      <c r="AV97">
        <v>20</v>
      </c>
      <c r="AW97">
        <v>3</v>
      </c>
      <c r="AX97">
        <v>354</v>
      </c>
      <c r="BA97" t="s">
        <v>5361</v>
      </c>
      <c r="BB97" t="s">
        <v>5363</v>
      </c>
      <c r="BD97" t="s">
        <v>5378</v>
      </c>
    </row>
    <row r="98" spans="1:56" ht="165" x14ac:dyDescent="0.25">
      <c r="A98" s="173" t="s">
        <v>993</v>
      </c>
      <c r="B98" s="173" t="s">
        <v>1462</v>
      </c>
      <c r="C98" s="173"/>
      <c r="D98" s="173"/>
      <c r="E98" s="173"/>
      <c r="F98" s="173" t="s">
        <v>5379</v>
      </c>
      <c r="G98" s="173"/>
      <c r="H98" s="173"/>
      <c r="I98" s="173"/>
      <c r="J98" s="173" t="s">
        <v>1460</v>
      </c>
      <c r="K98" s="173"/>
      <c r="L98" s="173"/>
      <c r="M98" s="173"/>
      <c r="N98" s="173"/>
      <c r="O98" s="173"/>
      <c r="P98" s="173"/>
      <c r="Q98" s="173"/>
      <c r="R98" s="173" t="s">
        <v>302</v>
      </c>
      <c r="S98" s="173"/>
      <c r="T98" s="173"/>
      <c r="U98" s="173"/>
      <c r="V98" s="173">
        <v>58</v>
      </c>
      <c r="W98" s="173"/>
      <c r="X98" s="173"/>
      <c r="Y98" s="173"/>
      <c r="Z98" s="173">
        <v>76</v>
      </c>
      <c r="AA98" s="173">
        <v>85</v>
      </c>
      <c r="AB98" s="173"/>
      <c r="AC98" s="173" t="s">
        <v>3895</v>
      </c>
      <c r="AD98" s="173"/>
      <c r="AE98" s="173"/>
      <c r="AF98" s="173"/>
      <c r="AG98" s="173"/>
      <c r="AH98" s="173">
        <v>42767</v>
      </c>
      <c r="AI98" s="173">
        <v>2017</v>
      </c>
      <c r="AJ98" s="32" t="s">
        <v>1461</v>
      </c>
      <c r="AS98">
        <v>4</v>
      </c>
      <c r="AT98">
        <v>0</v>
      </c>
      <c r="AU98">
        <v>0</v>
      </c>
      <c r="AV98">
        <v>0</v>
      </c>
      <c r="AW98">
        <v>0</v>
      </c>
      <c r="AX98">
        <v>4</v>
      </c>
      <c r="BA98" t="s">
        <v>5361</v>
      </c>
      <c r="BB98" t="s">
        <v>5363</v>
      </c>
      <c r="BD98" t="s">
        <v>5380</v>
      </c>
    </row>
    <row r="99" spans="1:56" ht="135" x14ac:dyDescent="0.25">
      <c r="A99" s="173" t="s">
        <v>993</v>
      </c>
      <c r="B99" s="173" t="s">
        <v>1147</v>
      </c>
      <c r="C99" s="173"/>
      <c r="D99" s="173"/>
      <c r="E99" s="173"/>
      <c r="F99" s="173" t="s">
        <v>5381</v>
      </c>
      <c r="G99" s="173" t="s">
        <v>5382</v>
      </c>
      <c r="H99" s="173"/>
      <c r="I99" s="173"/>
      <c r="J99" s="173" t="s">
        <v>1145</v>
      </c>
      <c r="K99" s="173"/>
      <c r="L99" s="173"/>
      <c r="M99" s="173"/>
      <c r="N99" s="173"/>
      <c r="O99" s="173"/>
      <c r="P99" s="173"/>
      <c r="Q99" s="173"/>
      <c r="R99" s="173" t="s">
        <v>302</v>
      </c>
      <c r="S99" s="173"/>
      <c r="T99" s="173"/>
      <c r="U99" s="173"/>
      <c r="V99" s="173">
        <v>26</v>
      </c>
      <c r="W99" s="173">
        <v>10</v>
      </c>
      <c r="X99" s="173"/>
      <c r="Y99" s="173"/>
      <c r="Z99" s="173">
        <v>1384</v>
      </c>
      <c r="AA99" s="173">
        <v>1396</v>
      </c>
      <c r="AB99" s="173"/>
      <c r="AC99" s="173" t="s">
        <v>3159</v>
      </c>
      <c r="AD99" s="173"/>
      <c r="AE99" s="173"/>
      <c r="AF99" s="173"/>
      <c r="AG99" s="173"/>
      <c r="AH99" s="173" t="s">
        <v>3158</v>
      </c>
      <c r="AI99" s="173">
        <v>2008</v>
      </c>
      <c r="AJ99" s="32" t="s">
        <v>1146</v>
      </c>
      <c r="AS99">
        <v>17</v>
      </c>
      <c r="AT99">
        <v>2</v>
      </c>
      <c r="AU99">
        <v>0</v>
      </c>
      <c r="AV99">
        <v>0</v>
      </c>
      <c r="AW99">
        <v>0</v>
      </c>
      <c r="AX99">
        <v>18</v>
      </c>
      <c r="BA99" t="s">
        <v>5361</v>
      </c>
      <c r="BD99" t="s">
        <v>5383</v>
      </c>
    </row>
    <row r="100" spans="1:56" ht="180" x14ac:dyDescent="0.25">
      <c r="A100" s="173" t="s">
        <v>993</v>
      </c>
      <c r="B100" s="173" t="s">
        <v>1465</v>
      </c>
      <c r="C100" s="173"/>
      <c r="D100" s="173"/>
      <c r="E100" s="173"/>
      <c r="F100" s="173" t="s">
        <v>5384</v>
      </c>
      <c r="G100" s="173" t="s">
        <v>5385</v>
      </c>
      <c r="H100" s="173"/>
      <c r="I100" s="173"/>
      <c r="J100" s="173" t="s">
        <v>1463</v>
      </c>
      <c r="K100" s="173"/>
      <c r="L100" s="173"/>
      <c r="M100" s="173"/>
      <c r="N100" s="173"/>
      <c r="O100" s="173"/>
      <c r="P100" s="173"/>
      <c r="Q100" s="173"/>
      <c r="R100" s="173" t="s">
        <v>302</v>
      </c>
      <c r="S100" s="173"/>
      <c r="T100" s="173"/>
      <c r="U100" s="173"/>
      <c r="V100" s="173">
        <v>65</v>
      </c>
      <c r="W100" s="173"/>
      <c r="X100" s="173" t="s">
        <v>1948</v>
      </c>
      <c r="Y100" s="173"/>
      <c r="Z100" s="173">
        <v>3</v>
      </c>
      <c r="AA100" s="173">
        <v>14</v>
      </c>
      <c r="AB100" s="173"/>
      <c r="AC100" s="173" t="s">
        <v>3569</v>
      </c>
      <c r="AD100" s="173"/>
      <c r="AE100" s="173"/>
      <c r="AF100" s="173"/>
      <c r="AG100" s="173"/>
      <c r="AH100" s="173">
        <v>42979</v>
      </c>
      <c r="AI100" s="173">
        <v>2017</v>
      </c>
      <c r="AJ100" s="32" t="s">
        <v>1464</v>
      </c>
      <c r="AS100">
        <v>7</v>
      </c>
      <c r="AT100">
        <v>0</v>
      </c>
      <c r="AU100">
        <v>0</v>
      </c>
      <c r="AV100">
        <v>0</v>
      </c>
      <c r="AW100">
        <v>0</v>
      </c>
      <c r="AX100">
        <v>7</v>
      </c>
      <c r="BA100" t="s">
        <v>5361</v>
      </c>
      <c r="BB100" t="s">
        <v>5363</v>
      </c>
      <c r="BD100" t="s">
        <v>5386</v>
      </c>
    </row>
    <row r="101" spans="1:56" ht="165" x14ac:dyDescent="0.25">
      <c r="A101" s="173" t="s">
        <v>993</v>
      </c>
      <c r="B101" s="173" t="s">
        <v>1468</v>
      </c>
      <c r="C101" s="173"/>
      <c r="D101" s="173"/>
      <c r="E101" s="173"/>
      <c r="F101" s="173"/>
      <c r="G101" s="173"/>
      <c r="H101" s="173"/>
      <c r="I101" s="173"/>
      <c r="J101" s="173" t="s">
        <v>1466</v>
      </c>
      <c r="K101" s="173"/>
      <c r="L101" s="173"/>
      <c r="M101" s="173"/>
      <c r="N101" s="173"/>
      <c r="O101" s="173"/>
      <c r="P101" s="173"/>
      <c r="Q101" s="173"/>
      <c r="R101" s="173" t="s">
        <v>302</v>
      </c>
      <c r="S101" s="173"/>
      <c r="T101" s="173"/>
      <c r="U101" s="173"/>
      <c r="V101" s="173">
        <v>25</v>
      </c>
      <c r="W101" s="173">
        <v>8</v>
      </c>
      <c r="X101" s="173"/>
      <c r="Y101" s="173"/>
      <c r="Z101" s="173">
        <v>1282</v>
      </c>
      <c r="AA101" s="173">
        <v>1290</v>
      </c>
      <c r="AB101" s="173"/>
      <c r="AC101" s="173" t="s">
        <v>3095</v>
      </c>
      <c r="AD101" s="173"/>
      <c r="AE101" s="173"/>
      <c r="AF101" s="173"/>
      <c r="AG101" s="173"/>
      <c r="AH101" s="173" t="s">
        <v>3094</v>
      </c>
      <c r="AI101" s="173">
        <v>2007</v>
      </c>
      <c r="AJ101" s="32" t="s">
        <v>1467</v>
      </c>
      <c r="AS101">
        <v>20</v>
      </c>
      <c r="AT101">
        <v>7</v>
      </c>
      <c r="AU101">
        <v>0</v>
      </c>
      <c r="AV101">
        <v>3</v>
      </c>
      <c r="AW101">
        <v>0</v>
      </c>
      <c r="AX101">
        <v>26</v>
      </c>
      <c r="BA101" t="s">
        <v>5361</v>
      </c>
      <c r="BB101" t="s">
        <v>5363</v>
      </c>
      <c r="BD101" t="s">
        <v>5387</v>
      </c>
    </row>
    <row r="102" spans="1:56" ht="120" x14ac:dyDescent="0.25">
      <c r="A102" s="173" t="s">
        <v>993</v>
      </c>
      <c r="B102" s="173" t="s">
        <v>1471</v>
      </c>
      <c r="C102" s="173"/>
      <c r="D102" s="173"/>
      <c r="E102" s="173"/>
      <c r="F102" s="173"/>
      <c r="G102" s="173"/>
      <c r="H102" s="173"/>
      <c r="I102" s="173"/>
      <c r="J102" s="173" t="s">
        <v>1469</v>
      </c>
      <c r="K102" s="173"/>
      <c r="L102" s="173"/>
      <c r="M102" s="173"/>
      <c r="N102" s="173"/>
      <c r="O102" s="173"/>
      <c r="P102" s="173"/>
      <c r="Q102" s="173"/>
      <c r="R102" s="173" t="s">
        <v>302</v>
      </c>
      <c r="S102" s="173"/>
      <c r="T102" s="173"/>
      <c r="U102" s="173"/>
      <c r="V102" s="173">
        <v>19</v>
      </c>
      <c r="W102" s="173">
        <v>43747</v>
      </c>
      <c r="X102" s="173"/>
      <c r="Y102" s="173"/>
      <c r="Z102" s="173">
        <v>593</v>
      </c>
      <c r="AA102" s="173">
        <v>618</v>
      </c>
      <c r="AB102" s="173"/>
      <c r="AC102" s="173" t="s">
        <v>2957</v>
      </c>
      <c r="AD102" s="173"/>
      <c r="AE102" s="173"/>
      <c r="AF102" s="173"/>
      <c r="AG102" s="173"/>
      <c r="AH102" s="173" t="s">
        <v>2955</v>
      </c>
      <c r="AI102" s="173">
        <v>2001</v>
      </c>
      <c r="AJ102" s="32" t="s">
        <v>1470</v>
      </c>
      <c r="AS102">
        <v>26</v>
      </c>
      <c r="AT102">
        <v>7</v>
      </c>
      <c r="AU102">
        <v>0</v>
      </c>
      <c r="AV102">
        <v>2</v>
      </c>
      <c r="AW102">
        <v>0</v>
      </c>
      <c r="AX102">
        <v>33</v>
      </c>
      <c r="BA102" t="s">
        <v>5361</v>
      </c>
      <c r="BD102" t="s">
        <v>5388</v>
      </c>
    </row>
    <row r="103" spans="1:56" ht="150" x14ac:dyDescent="0.25">
      <c r="A103" s="173" t="s">
        <v>993</v>
      </c>
      <c r="B103" s="173" t="s">
        <v>1474</v>
      </c>
      <c r="C103" s="173"/>
      <c r="D103" s="173"/>
      <c r="E103" s="173"/>
      <c r="F103" s="173"/>
      <c r="G103" s="173"/>
      <c r="H103" s="173"/>
      <c r="I103" s="173"/>
      <c r="J103" s="173" t="s">
        <v>1472</v>
      </c>
      <c r="K103" s="173"/>
      <c r="L103" s="173"/>
      <c r="M103" s="173"/>
      <c r="N103" s="173"/>
      <c r="O103" s="173"/>
      <c r="P103" s="173"/>
      <c r="Q103" s="173"/>
      <c r="R103" s="173" t="s">
        <v>302</v>
      </c>
      <c r="S103" s="173"/>
      <c r="T103" s="173"/>
      <c r="U103" s="173"/>
      <c r="V103" s="173">
        <v>55</v>
      </c>
      <c r="W103" s="173"/>
      <c r="X103" s="173" t="s">
        <v>1948</v>
      </c>
      <c r="Y103" s="173"/>
      <c r="Z103" s="173">
        <v>77</v>
      </c>
      <c r="AA103" s="173">
        <v>85</v>
      </c>
      <c r="AB103" s="173"/>
      <c r="AC103" s="173" t="s">
        <v>4864</v>
      </c>
      <c r="AD103" s="173"/>
      <c r="AE103" s="173"/>
      <c r="AF103" s="173"/>
      <c r="AG103" s="173"/>
      <c r="AH103" s="173">
        <v>42675</v>
      </c>
      <c r="AI103" s="173">
        <v>2016</v>
      </c>
      <c r="AJ103" s="32" t="s">
        <v>1473</v>
      </c>
      <c r="AS103">
        <v>3</v>
      </c>
      <c r="AT103">
        <v>1</v>
      </c>
      <c r="AU103">
        <v>0</v>
      </c>
      <c r="AV103">
        <v>0</v>
      </c>
      <c r="AW103">
        <v>0</v>
      </c>
      <c r="AX103">
        <v>4</v>
      </c>
      <c r="BA103" t="s">
        <v>5361</v>
      </c>
      <c r="BB103" t="s">
        <v>5363</v>
      </c>
      <c r="BD103" t="s">
        <v>5389</v>
      </c>
    </row>
    <row r="104" spans="1:56" ht="195" x14ac:dyDescent="0.25">
      <c r="A104" s="173" t="s">
        <v>993</v>
      </c>
      <c r="B104" s="173" t="s">
        <v>1477</v>
      </c>
      <c r="C104" s="173"/>
      <c r="D104" s="173"/>
      <c r="E104" s="173"/>
      <c r="F104" s="173"/>
      <c r="G104" s="173"/>
      <c r="H104" s="173"/>
      <c r="I104" s="173"/>
      <c r="J104" s="173" t="s">
        <v>1475</v>
      </c>
      <c r="K104" s="173"/>
      <c r="L104" s="173"/>
      <c r="M104" s="173"/>
      <c r="N104" s="173"/>
      <c r="O104" s="173"/>
      <c r="P104" s="173"/>
      <c r="Q104" s="173"/>
      <c r="R104" s="173" t="s">
        <v>302</v>
      </c>
      <c r="S104" s="173"/>
      <c r="T104" s="173"/>
      <c r="U104" s="173"/>
      <c r="V104" s="173">
        <v>55</v>
      </c>
      <c r="W104" s="173"/>
      <c r="X104" s="173" t="s">
        <v>1948</v>
      </c>
      <c r="Y104" s="173"/>
      <c r="Z104" s="173">
        <v>42</v>
      </c>
      <c r="AA104" s="173">
        <v>52</v>
      </c>
      <c r="AB104" s="173"/>
      <c r="AC104" s="173" t="s">
        <v>3070</v>
      </c>
      <c r="AD104" s="173"/>
      <c r="AE104" s="173"/>
      <c r="AF104" s="173"/>
      <c r="AG104" s="173"/>
      <c r="AH104" s="173">
        <v>42675</v>
      </c>
      <c r="AI104" s="173">
        <v>2016</v>
      </c>
      <c r="AJ104" s="32" t="s">
        <v>1476</v>
      </c>
      <c r="AS104">
        <v>20</v>
      </c>
      <c r="AT104">
        <v>0</v>
      </c>
      <c r="AU104">
        <v>0</v>
      </c>
      <c r="AV104">
        <v>0</v>
      </c>
      <c r="AW104">
        <v>0</v>
      </c>
      <c r="AX104">
        <v>20</v>
      </c>
      <c r="BA104" t="s">
        <v>5361</v>
      </c>
      <c r="BB104" t="s">
        <v>5363</v>
      </c>
      <c r="BD104" t="s">
        <v>5390</v>
      </c>
    </row>
    <row r="105" spans="1:56" ht="105" x14ac:dyDescent="0.25">
      <c r="A105" s="173" t="s">
        <v>993</v>
      </c>
      <c r="B105" s="173" t="s">
        <v>1480</v>
      </c>
      <c r="C105" s="173"/>
      <c r="D105" s="173"/>
      <c r="E105" s="173"/>
      <c r="F105" s="173"/>
      <c r="G105" s="173"/>
      <c r="H105" s="173"/>
      <c r="I105" s="173"/>
      <c r="J105" s="173" t="s">
        <v>1478</v>
      </c>
      <c r="K105" s="173"/>
      <c r="L105" s="173"/>
      <c r="M105" s="173"/>
      <c r="N105" s="173"/>
      <c r="O105" s="173"/>
      <c r="P105" s="173"/>
      <c r="Q105" s="173"/>
      <c r="R105" s="173" t="s">
        <v>302</v>
      </c>
      <c r="S105" s="173"/>
      <c r="T105" s="173"/>
      <c r="U105" s="173"/>
      <c r="V105" s="173">
        <v>21</v>
      </c>
      <c r="W105" s="173">
        <v>1</v>
      </c>
      <c r="X105" s="173"/>
      <c r="Y105" s="173"/>
      <c r="Z105" s="173">
        <v>125</v>
      </c>
      <c r="AA105" s="173">
        <v>136</v>
      </c>
      <c r="AB105" s="173" t="s">
        <v>5391</v>
      </c>
      <c r="AC105" s="173" t="s">
        <v>5392</v>
      </c>
      <c r="AD105" s="173"/>
      <c r="AE105" s="173"/>
      <c r="AF105" s="173"/>
      <c r="AG105" s="173"/>
      <c r="AH105" s="173" t="s">
        <v>5393</v>
      </c>
      <c r="AI105" s="173">
        <v>2003</v>
      </c>
      <c r="AJ105" s="32" t="s">
        <v>1479</v>
      </c>
      <c r="AO105" t="s">
        <v>5394</v>
      </c>
      <c r="AP105" t="s">
        <v>5395</v>
      </c>
      <c r="AR105" t="s">
        <v>5396</v>
      </c>
      <c r="AS105">
        <v>86</v>
      </c>
      <c r="AT105">
        <v>0</v>
      </c>
      <c r="AU105">
        <v>0</v>
      </c>
      <c r="AV105">
        <v>2</v>
      </c>
      <c r="AW105">
        <v>0</v>
      </c>
      <c r="AX105">
        <v>86</v>
      </c>
      <c r="BA105" t="s">
        <v>5361</v>
      </c>
      <c r="BB105" t="s">
        <v>5363</v>
      </c>
      <c r="BD105" t="s">
        <v>5397</v>
      </c>
    </row>
    <row r="106" spans="1:56" ht="150" x14ac:dyDescent="0.25">
      <c r="A106" s="173" t="s">
        <v>993</v>
      </c>
      <c r="B106" s="173" t="s">
        <v>1490</v>
      </c>
      <c r="C106" s="173"/>
      <c r="D106" s="173"/>
      <c r="E106" s="173"/>
      <c r="F106" s="173"/>
      <c r="G106" s="173" t="s">
        <v>5398</v>
      </c>
      <c r="H106" s="173"/>
      <c r="I106" s="173"/>
      <c r="J106" s="173" t="s">
        <v>1488</v>
      </c>
      <c r="K106" s="173"/>
      <c r="L106" s="173"/>
      <c r="M106" s="173"/>
      <c r="N106" s="173"/>
      <c r="O106" s="173"/>
      <c r="P106" s="173"/>
      <c r="Q106" s="173"/>
      <c r="R106" s="173" t="s">
        <v>327</v>
      </c>
      <c r="S106" s="173"/>
      <c r="T106" s="173"/>
      <c r="U106" s="173"/>
      <c r="V106" s="173">
        <v>46</v>
      </c>
      <c r="W106" s="173"/>
      <c r="X106" s="173"/>
      <c r="Y106" s="173"/>
      <c r="Z106" s="173">
        <v>206</v>
      </c>
      <c r="AA106" s="173">
        <v>217</v>
      </c>
      <c r="AB106" s="173"/>
      <c r="AC106" s="173" t="s">
        <v>3966</v>
      </c>
      <c r="AD106" s="173"/>
      <c r="AE106" s="173"/>
      <c r="AF106" s="173"/>
      <c r="AG106" s="173"/>
      <c r="AH106" s="173">
        <v>43525</v>
      </c>
      <c r="AI106" s="173">
        <v>2019</v>
      </c>
      <c r="AJ106" s="32" t="s">
        <v>1489</v>
      </c>
      <c r="AS106">
        <v>0</v>
      </c>
      <c r="AT106">
        <v>0</v>
      </c>
      <c r="AU106">
        <v>0</v>
      </c>
      <c r="AV106">
        <v>0</v>
      </c>
      <c r="AW106">
        <v>0</v>
      </c>
      <c r="AX106">
        <v>0</v>
      </c>
      <c r="BA106" t="s">
        <v>5399</v>
      </c>
      <c r="BB106" t="s">
        <v>5400</v>
      </c>
      <c r="BD106" t="s">
        <v>5401</v>
      </c>
    </row>
    <row r="107" spans="1:56" ht="90" x14ac:dyDescent="0.25">
      <c r="A107" s="173" t="s">
        <v>993</v>
      </c>
      <c r="B107" s="173" t="s">
        <v>1493</v>
      </c>
      <c r="C107" s="173"/>
      <c r="D107" s="173"/>
      <c r="E107" s="173"/>
      <c r="F107" s="173"/>
      <c r="G107" s="173"/>
      <c r="H107" s="173"/>
      <c r="I107" s="173"/>
      <c r="J107" s="173" t="s">
        <v>1491</v>
      </c>
      <c r="K107" s="173"/>
      <c r="L107" s="173"/>
      <c r="M107" s="173"/>
      <c r="N107" s="173"/>
      <c r="O107" s="173"/>
      <c r="P107" s="173"/>
      <c r="Q107" s="173"/>
      <c r="R107" s="173" t="s">
        <v>329</v>
      </c>
      <c r="S107" s="173"/>
      <c r="T107" s="173"/>
      <c r="U107" s="173"/>
      <c r="V107" s="173">
        <v>20</v>
      </c>
      <c r="W107" s="173">
        <v>4</v>
      </c>
      <c r="X107" s="173"/>
      <c r="Y107" s="173"/>
      <c r="Z107" s="173">
        <v>515</v>
      </c>
      <c r="AA107" s="173">
        <v>523</v>
      </c>
      <c r="AB107" s="173"/>
      <c r="AC107" s="173" t="s">
        <v>4605</v>
      </c>
      <c r="AD107" s="173"/>
      <c r="AE107" s="173"/>
      <c r="AF107" s="173"/>
      <c r="AG107" s="173"/>
      <c r="AH107" s="173" t="s">
        <v>2831</v>
      </c>
      <c r="AI107" s="173">
        <v>2014</v>
      </c>
      <c r="AJ107" s="32" t="s">
        <v>1492</v>
      </c>
      <c r="AS107">
        <v>1</v>
      </c>
      <c r="AT107">
        <v>0</v>
      </c>
      <c r="AU107">
        <v>0</v>
      </c>
      <c r="AV107">
        <v>0</v>
      </c>
      <c r="AW107">
        <v>0</v>
      </c>
      <c r="AX107">
        <v>1</v>
      </c>
      <c r="BA107" t="s">
        <v>5402</v>
      </c>
      <c r="BB107" t="s">
        <v>5403</v>
      </c>
      <c r="BD107" t="s">
        <v>5404</v>
      </c>
    </row>
    <row r="108" spans="1:56" ht="210" x14ac:dyDescent="0.25">
      <c r="A108" s="173" t="s">
        <v>993</v>
      </c>
      <c r="B108" s="173" t="s">
        <v>1496</v>
      </c>
      <c r="C108" s="173"/>
      <c r="D108" s="173"/>
      <c r="E108" s="173"/>
      <c r="F108" s="173" t="s">
        <v>5405</v>
      </c>
      <c r="G108" s="173" t="s">
        <v>5406</v>
      </c>
      <c r="H108" s="173"/>
      <c r="I108" s="173"/>
      <c r="J108" s="173" t="s">
        <v>1494</v>
      </c>
      <c r="K108" s="173"/>
      <c r="L108" s="173"/>
      <c r="M108" s="173"/>
      <c r="N108" s="173"/>
      <c r="O108" s="173"/>
      <c r="P108" s="173"/>
      <c r="Q108" s="173"/>
      <c r="R108" s="173" t="s">
        <v>303</v>
      </c>
      <c r="S108" s="173"/>
      <c r="T108" s="173"/>
      <c r="U108" s="173"/>
      <c r="V108" s="173">
        <v>90</v>
      </c>
      <c r="W108" s="173">
        <v>1</v>
      </c>
      <c r="X108" s="173"/>
      <c r="Y108" s="173"/>
      <c r="Z108" s="173">
        <v>45</v>
      </c>
      <c r="AA108" s="173">
        <v>61</v>
      </c>
      <c r="AB108" s="173"/>
      <c r="AC108" s="173" t="s">
        <v>3723</v>
      </c>
      <c r="AD108" s="173"/>
      <c r="AE108" s="173"/>
      <c r="AF108" s="173"/>
      <c r="AG108" s="173"/>
      <c r="AH108" s="173">
        <v>40452</v>
      </c>
      <c r="AI108" s="173">
        <v>2010</v>
      </c>
      <c r="AJ108" s="32" t="s">
        <v>1495</v>
      </c>
      <c r="AS108">
        <v>6</v>
      </c>
      <c r="AT108">
        <v>0</v>
      </c>
      <c r="AU108">
        <v>0</v>
      </c>
      <c r="AV108">
        <v>1</v>
      </c>
      <c r="AW108">
        <v>0</v>
      </c>
      <c r="AX108">
        <v>6</v>
      </c>
      <c r="BA108" t="s">
        <v>5407</v>
      </c>
      <c r="BD108" t="s">
        <v>5408</v>
      </c>
    </row>
    <row r="109" spans="1:56" ht="150" x14ac:dyDescent="0.25">
      <c r="A109" s="173" t="s">
        <v>993</v>
      </c>
      <c r="B109" s="173" t="s">
        <v>1499</v>
      </c>
      <c r="C109" s="173"/>
      <c r="D109" s="173"/>
      <c r="E109" s="173"/>
      <c r="F109" s="173"/>
      <c r="G109" s="173"/>
      <c r="H109" s="173"/>
      <c r="I109" s="173"/>
      <c r="J109" s="173" t="s">
        <v>1497</v>
      </c>
      <c r="K109" s="173"/>
      <c r="L109" s="173"/>
      <c r="M109" s="173"/>
      <c r="N109" s="173"/>
      <c r="O109" s="173"/>
      <c r="P109" s="173"/>
      <c r="Q109" s="173"/>
      <c r="R109" s="173" t="s">
        <v>303</v>
      </c>
      <c r="S109" s="173"/>
      <c r="T109" s="173"/>
      <c r="U109" s="173"/>
      <c r="V109" s="173">
        <v>87</v>
      </c>
      <c r="W109" s="173">
        <v>43497</v>
      </c>
      <c r="X109" s="173" t="s">
        <v>1948</v>
      </c>
      <c r="Y109" s="173"/>
      <c r="Z109" s="173">
        <v>93</v>
      </c>
      <c r="AA109" s="173">
        <v>117</v>
      </c>
      <c r="AB109" s="173"/>
      <c r="AC109" s="173" t="s">
        <v>2642</v>
      </c>
      <c r="AD109" s="173"/>
      <c r="AE109" s="173"/>
      <c r="AF109" s="173"/>
      <c r="AG109" s="173"/>
      <c r="AH109" s="173">
        <v>40238</v>
      </c>
      <c r="AI109" s="173">
        <v>2010</v>
      </c>
      <c r="AJ109" s="32" t="s">
        <v>1498</v>
      </c>
      <c r="AS109">
        <v>65</v>
      </c>
      <c r="AT109">
        <v>2</v>
      </c>
      <c r="AU109">
        <v>0</v>
      </c>
      <c r="AV109">
        <v>1</v>
      </c>
      <c r="AW109">
        <v>0</v>
      </c>
      <c r="AX109">
        <v>67</v>
      </c>
      <c r="BA109" t="s">
        <v>5407</v>
      </c>
      <c r="BB109" t="s">
        <v>5409</v>
      </c>
      <c r="BD109" t="s">
        <v>5410</v>
      </c>
    </row>
    <row r="110" spans="1:56" ht="60" x14ac:dyDescent="0.25">
      <c r="A110" s="173" t="s">
        <v>993</v>
      </c>
      <c r="B110" s="173" t="s">
        <v>1502</v>
      </c>
      <c r="C110" s="173"/>
      <c r="D110" s="173"/>
      <c r="E110" s="173"/>
      <c r="F110" s="173"/>
      <c r="G110" s="173"/>
      <c r="H110" s="173"/>
      <c r="I110" s="173"/>
      <c r="J110" s="173" t="s">
        <v>1500</v>
      </c>
      <c r="K110" s="173"/>
      <c r="L110" s="173"/>
      <c r="M110" s="173"/>
      <c r="N110" s="173"/>
      <c r="O110" s="173"/>
      <c r="P110" s="173"/>
      <c r="Q110" s="173"/>
      <c r="R110" s="173" t="s">
        <v>303</v>
      </c>
      <c r="S110" s="173"/>
      <c r="T110" s="173"/>
      <c r="U110" s="173"/>
      <c r="V110" s="173">
        <v>43</v>
      </c>
      <c r="W110" s="173">
        <v>3</v>
      </c>
      <c r="X110" s="173"/>
      <c r="Y110" s="173"/>
      <c r="Z110" s="173">
        <v>189</v>
      </c>
      <c r="AA110" s="173">
        <v>204</v>
      </c>
      <c r="AB110" s="173"/>
      <c r="AC110" s="173" t="s">
        <v>3163</v>
      </c>
      <c r="AD110" s="173"/>
      <c r="AE110" s="173"/>
      <c r="AF110" s="173"/>
      <c r="AG110" s="173"/>
      <c r="AH110" s="173">
        <v>37073</v>
      </c>
      <c r="AI110" s="173">
        <v>2001</v>
      </c>
      <c r="AJ110" s="32" t="s">
        <v>1501</v>
      </c>
      <c r="AS110">
        <v>17</v>
      </c>
      <c r="AT110">
        <v>0</v>
      </c>
      <c r="AU110">
        <v>0</v>
      </c>
      <c r="AV110">
        <v>0</v>
      </c>
      <c r="AW110">
        <v>0</v>
      </c>
      <c r="AX110">
        <v>17</v>
      </c>
      <c r="BA110" t="s">
        <v>5407</v>
      </c>
      <c r="BD110" t="s">
        <v>5411</v>
      </c>
    </row>
    <row r="111" spans="1:56" ht="180" x14ac:dyDescent="0.25">
      <c r="A111" s="173" t="s">
        <v>993</v>
      </c>
      <c r="B111" s="173" t="s">
        <v>1505</v>
      </c>
      <c r="C111" s="173"/>
      <c r="D111" s="173"/>
      <c r="E111" s="173"/>
      <c r="F111" s="173" t="s">
        <v>5412</v>
      </c>
      <c r="G111" s="173" t="s">
        <v>5413</v>
      </c>
      <c r="H111" s="173"/>
      <c r="I111" s="173"/>
      <c r="J111" s="173" t="s">
        <v>1503</v>
      </c>
      <c r="K111" s="173"/>
      <c r="L111" s="173"/>
      <c r="M111" s="173"/>
      <c r="N111" s="173"/>
      <c r="O111" s="173"/>
      <c r="P111" s="173"/>
      <c r="Q111" s="173"/>
      <c r="R111" s="173" t="s">
        <v>303</v>
      </c>
      <c r="S111" s="173"/>
      <c r="T111" s="173"/>
      <c r="U111" s="173"/>
      <c r="V111" s="173">
        <v>59</v>
      </c>
      <c r="W111" s="173">
        <v>3</v>
      </c>
      <c r="X111" s="173"/>
      <c r="Y111" s="173"/>
      <c r="Z111" s="173">
        <v>259</v>
      </c>
      <c r="AA111" s="173">
        <v>284</v>
      </c>
      <c r="AB111" s="173"/>
      <c r="AC111" s="173" t="s">
        <v>2564</v>
      </c>
      <c r="AD111" s="173"/>
      <c r="AE111" s="173"/>
      <c r="AF111" s="173"/>
      <c r="AG111" s="173"/>
      <c r="AH111" s="173" t="s">
        <v>2563</v>
      </c>
      <c r="AI111" s="173">
        <v>2004</v>
      </c>
      <c r="AJ111" s="32" t="s">
        <v>1504</v>
      </c>
      <c r="AS111">
        <v>96</v>
      </c>
      <c r="AT111">
        <v>7</v>
      </c>
      <c r="AU111">
        <v>0</v>
      </c>
      <c r="AV111">
        <v>5</v>
      </c>
      <c r="AW111">
        <v>0</v>
      </c>
      <c r="AX111">
        <v>103</v>
      </c>
      <c r="BA111" t="s">
        <v>5407</v>
      </c>
      <c r="BD111" t="s">
        <v>5414</v>
      </c>
    </row>
    <row r="112" spans="1:56" ht="105" x14ac:dyDescent="0.25">
      <c r="A112" s="173" t="s">
        <v>993</v>
      </c>
      <c r="B112" s="173" t="s">
        <v>1508</v>
      </c>
      <c r="C112" s="173"/>
      <c r="D112" s="173"/>
      <c r="E112" s="173"/>
      <c r="F112" s="173"/>
      <c r="G112" s="173"/>
      <c r="H112" s="173"/>
      <c r="I112" s="173"/>
      <c r="J112" s="173" t="s">
        <v>1506</v>
      </c>
      <c r="K112" s="173"/>
      <c r="L112" s="173"/>
      <c r="M112" s="173"/>
      <c r="N112" s="173"/>
      <c r="O112" s="173"/>
      <c r="P112" s="173"/>
      <c r="Q112" s="173"/>
      <c r="R112" s="173" t="s">
        <v>303</v>
      </c>
      <c r="S112" s="173"/>
      <c r="T112" s="173"/>
      <c r="U112" s="173"/>
      <c r="V112" s="173">
        <v>83</v>
      </c>
      <c r="W112" s="173">
        <v>2</v>
      </c>
      <c r="X112" s="173"/>
      <c r="Y112" s="173"/>
      <c r="Z112" s="173">
        <v>164</v>
      </c>
      <c r="AA112" s="173">
        <v>177</v>
      </c>
      <c r="AB112" s="173"/>
      <c r="AC112" s="173" t="s">
        <v>3383</v>
      </c>
      <c r="AD112" s="173"/>
      <c r="AE112" s="173"/>
      <c r="AF112" s="173"/>
      <c r="AG112" s="173"/>
      <c r="AH112" s="173">
        <v>39965</v>
      </c>
      <c r="AI112" s="173">
        <v>2009</v>
      </c>
      <c r="AJ112" s="32" t="s">
        <v>1507</v>
      </c>
      <c r="AS112">
        <v>11</v>
      </c>
      <c r="AT112">
        <v>0</v>
      </c>
      <c r="AU112">
        <v>0</v>
      </c>
      <c r="AV112">
        <v>1</v>
      </c>
      <c r="AW112">
        <v>0</v>
      </c>
      <c r="AX112">
        <v>11</v>
      </c>
      <c r="BA112" t="s">
        <v>5407</v>
      </c>
      <c r="BB112" t="s">
        <v>5409</v>
      </c>
      <c r="BD112" t="s">
        <v>5415</v>
      </c>
    </row>
    <row r="113" spans="1:57" ht="105" x14ac:dyDescent="0.25">
      <c r="A113" s="173" t="s">
        <v>993</v>
      </c>
      <c r="B113" s="173" t="s">
        <v>1511</v>
      </c>
      <c r="C113" s="173"/>
      <c r="D113" s="173"/>
      <c r="E113" s="173"/>
      <c r="F113" s="173"/>
      <c r="G113" s="173"/>
      <c r="H113" s="173"/>
      <c r="I113" s="173"/>
      <c r="J113" s="173" t="s">
        <v>1509</v>
      </c>
      <c r="K113" s="173"/>
      <c r="L113" s="173"/>
      <c r="M113" s="173"/>
      <c r="N113" s="173"/>
      <c r="O113" s="173"/>
      <c r="P113" s="173"/>
      <c r="Q113" s="173"/>
      <c r="R113" s="173" t="s">
        <v>303</v>
      </c>
      <c r="S113" s="173"/>
      <c r="T113" s="173"/>
      <c r="U113" s="173"/>
      <c r="V113" s="173">
        <v>84</v>
      </c>
      <c r="W113" s="173">
        <v>1</v>
      </c>
      <c r="X113" s="173"/>
      <c r="Y113" s="173"/>
      <c r="Z113" s="173">
        <v>40</v>
      </c>
      <c r="AA113" s="173">
        <v>62</v>
      </c>
      <c r="AB113" s="173"/>
      <c r="AC113" s="173" t="s">
        <v>3222</v>
      </c>
      <c r="AD113" s="173"/>
      <c r="AE113" s="173"/>
      <c r="AF113" s="173"/>
      <c r="AG113" s="173"/>
      <c r="AH113" s="173" t="s">
        <v>3221</v>
      </c>
      <c r="AI113" s="173">
        <v>2009</v>
      </c>
      <c r="AJ113" s="32" t="s">
        <v>1510</v>
      </c>
      <c r="AS113">
        <v>15</v>
      </c>
      <c r="AT113">
        <v>0</v>
      </c>
      <c r="AU113">
        <v>0</v>
      </c>
      <c r="AV113">
        <v>1</v>
      </c>
      <c r="AW113">
        <v>0</v>
      </c>
      <c r="AX113">
        <v>15</v>
      </c>
      <c r="BA113" t="s">
        <v>5407</v>
      </c>
      <c r="BD113" t="s">
        <v>5416</v>
      </c>
    </row>
    <row r="114" spans="1:57" ht="165" x14ac:dyDescent="0.25">
      <c r="A114" s="173" t="s">
        <v>993</v>
      </c>
      <c r="B114" s="173" t="s">
        <v>1514</v>
      </c>
      <c r="C114" s="173"/>
      <c r="D114" s="173"/>
      <c r="E114" s="173"/>
      <c r="F114" s="173"/>
      <c r="G114" s="173"/>
      <c r="H114" s="173"/>
      <c r="I114" s="173"/>
      <c r="J114" s="173" t="s">
        <v>1512</v>
      </c>
      <c r="K114" s="173"/>
      <c r="L114" s="173"/>
      <c r="M114" s="173"/>
      <c r="N114" s="173"/>
      <c r="O114" s="173"/>
      <c r="P114" s="173"/>
      <c r="Q114" s="173"/>
      <c r="R114" s="173" t="s">
        <v>303</v>
      </c>
      <c r="S114" s="173"/>
      <c r="T114" s="173"/>
      <c r="U114" s="173"/>
      <c r="V114" s="173">
        <v>76</v>
      </c>
      <c r="W114" s="173">
        <v>1</v>
      </c>
      <c r="X114" s="173"/>
      <c r="Y114" s="173"/>
      <c r="Z114" s="173">
        <v>93</v>
      </c>
      <c r="AA114" s="173">
        <v>104</v>
      </c>
      <c r="AB114" s="173"/>
      <c r="AC114" s="173" t="s">
        <v>2584</v>
      </c>
      <c r="AD114" s="173"/>
      <c r="AE114" s="173"/>
      <c r="AF114" s="173"/>
      <c r="AG114" s="173"/>
      <c r="AH114" s="173" t="s">
        <v>2463</v>
      </c>
      <c r="AI114" s="173">
        <v>2008</v>
      </c>
      <c r="AJ114" s="32" t="s">
        <v>1513</v>
      </c>
      <c r="AS114">
        <v>84</v>
      </c>
      <c r="AT114">
        <v>4</v>
      </c>
      <c r="AU114">
        <v>1</v>
      </c>
      <c r="AV114">
        <v>5</v>
      </c>
      <c r="AW114">
        <v>0</v>
      </c>
      <c r="AX114">
        <v>89</v>
      </c>
      <c r="BA114" t="s">
        <v>5407</v>
      </c>
      <c r="BD114" t="s">
        <v>5417</v>
      </c>
    </row>
    <row r="115" spans="1:57" ht="135" x14ac:dyDescent="0.25">
      <c r="A115" s="173" t="s">
        <v>993</v>
      </c>
      <c r="B115" s="173" t="s">
        <v>1517</v>
      </c>
      <c r="C115" s="173"/>
      <c r="D115" s="173"/>
      <c r="E115" s="173"/>
      <c r="F115" s="173"/>
      <c r="G115" s="173"/>
      <c r="H115" s="173"/>
      <c r="I115" s="173"/>
      <c r="J115" s="173" t="s">
        <v>1515</v>
      </c>
      <c r="K115" s="173"/>
      <c r="L115" s="173"/>
      <c r="M115" s="173"/>
      <c r="N115" s="173"/>
      <c r="O115" s="173"/>
      <c r="P115" s="173"/>
      <c r="Q115" s="173"/>
      <c r="R115" s="173" t="s">
        <v>303</v>
      </c>
      <c r="S115" s="173"/>
      <c r="T115" s="173"/>
      <c r="U115" s="173"/>
      <c r="V115" s="173">
        <v>70</v>
      </c>
      <c r="W115" s="173">
        <v>1</v>
      </c>
      <c r="X115" s="173"/>
      <c r="Y115" s="173"/>
      <c r="Z115" s="173">
        <v>7</v>
      </c>
      <c r="AA115" s="173">
        <v>22</v>
      </c>
      <c r="AB115" s="173"/>
      <c r="AC115" s="173" t="s">
        <v>2837</v>
      </c>
      <c r="AD115" s="173"/>
      <c r="AE115" s="173"/>
      <c r="AF115" s="173"/>
      <c r="AG115" s="173"/>
      <c r="AH115" s="173">
        <v>38991</v>
      </c>
      <c r="AI115" s="173">
        <v>2006</v>
      </c>
      <c r="AJ115" s="32" t="s">
        <v>1516</v>
      </c>
      <c r="AO115" t="s">
        <v>5418</v>
      </c>
      <c r="AP115" t="s">
        <v>5419</v>
      </c>
      <c r="AQ115" t="s">
        <v>5420</v>
      </c>
      <c r="AR115" t="s">
        <v>5421</v>
      </c>
      <c r="AS115">
        <v>34</v>
      </c>
      <c r="AT115">
        <v>1</v>
      </c>
      <c r="AU115">
        <v>0</v>
      </c>
      <c r="AV115">
        <v>0</v>
      </c>
      <c r="AW115">
        <v>0</v>
      </c>
      <c r="AX115">
        <v>35</v>
      </c>
      <c r="BA115" t="s">
        <v>5407</v>
      </c>
      <c r="BB115" t="s">
        <v>5409</v>
      </c>
      <c r="BD115" t="s">
        <v>5422</v>
      </c>
    </row>
    <row r="116" spans="1:57" ht="135" x14ac:dyDescent="0.25">
      <c r="A116" s="173" t="s">
        <v>993</v>
      </c>
      <c r="B116" s="173" t="s">
        <v>1520</v>
      </c>
      <c r="C116" s="173"/>
      <c r="D116" s="173"/>
      <c r="E116" s="173"/>
      <c r="F116" s="173" t="s">
        <v>5423</v>
      </c>
      <c r="G116" s="173" t="s">
        <v>5424</v>
      </c>
      <c r="H116" s="173"/>
      <c r="I116" s="173"/>
      <c r="J116" s="173" t="s">
        <v>1518</v>
      </c>
      <c r="K116" s="173"/>
      <c r="L116" s="173"/>
      <c r="M116" s="173"/>
      <c r="N116" s="173"/>
      <c r="O116" s="173"/>
      <c r="P116" s="173"/>
      <c r="Q116" s="173"/>
      <c r="R116" s="173" t="s">
        <v>303</v>
      </c>
      <c r="S116" s="173"/>
      <c r="T116" s="173"/>
      <c r="U116" s="173"/>
      <c r="V116" s="173">
        <v>120</v>
      </c>
      <c r="W116" s="173">
        <v>1</v>
      </c>
      <c r="X116" s="173"/>
      <c r="Y116" s="173"/>
      <c r="Z116" s="173">
        <v>14</v>
      </c>
      <c r="AA116" s="173">
        <v>27</v>
      </c>
      <c r="AB116" s="173"/>
      <c r="AC116" s="173" t="s">
        <v>3237</v>
      </c>
      <c r="AD116" s="173"/>
      <c r="AE116" s="173"/>
      <c r="AF116" s="173"/>
      <c r="AG116" s="173"/>
      <c r="AH116" s="173">
        <v>42644</v>
      </c>
      <c r="AI116" s="173">
        <v>2016</v>
      </c>
      <c r="AJ116" s="32" t="s">
        <v>1519</v>
      </c>
      <c r="AS116">
        <v>14</v>
      </c>
      <c r="AT116">
        <v>2</v>
      </c>
      <c r="AU116">
        <v>0</v>
      </c>
      <c r="AV116">
        <v>0</v>
      </c>
      <c r="AW116">
        <v>0</v>
      </c>
      <c r="AX116">
        <v>15</v>
      </c>
      <c r="BA116" t="s">
        <v>5407</v>
      </c>
      <c r="BB116" t="s">
        <v>5409</v>
      </c>
      <c r="BD116" t="s">
        <v>5425</v>
      </c>
    </row>
    <row r="117" spans="1:57" ht="210" x14ac:dyDescent="0.25">
      <c r="A117" s="173" t="s">
        <v>993</v>
      </c>
      <c r="B117" s="173" t="s">
        <v>1523</v>
      </c>
      <c r="C117" s="173"/>
      <c r="D117" s="173"/>
      <c r="E117" s="173"/>
      <c r="F117" s="173"/>
      <c r="G117" s="173" t="s">
        <v>5426</v>
      </c>
      <c r="H117" s="173"/>
      <c r="I117" s="173"/>
      <c r="J117" s="173" t="s">
        <v>1521</v>
      </c>
      <c r="K117" s="173"/>
      <c r="L117" s="173"/>
      <c r="M117" s="173"/>
      <c r="N117" s="173"/>
      <c r="O117" s="173"/>
      <c r="P117" s="173"/>
      <c r="Q117" s="173"/>
      <c r="R117" s="173" t="s">
        <v>303</v>
      </c>
      <c r="S117" s="173"/>
      <c r="T117" s="173"/>
      <c r="U117" s="173"/>
      <c r="V117" s="173">
        <v>101</v>
      </c>
      <c r="W117" s="173">
        <v>3</v>
      </c>
      <c r="X117" s="173" t="s">
        <v>1948</v>
      </c>
      <c r="Y117" s="173"/>
      <c r="Z117" s="173">
        <v>403</v>
      </c>
      <c r="AA117" s="173">
        <v>419</v>
      </c>
      <c r="AB117" s="173"/>
      <c r="AC117" s="173" t="s">
        <v>2815</v>
      </c>
      <c r="AD117" s="173"/>
      <c r="AE117" s="173"/>
      <c r="AF117" s="173"/>
      <c r="AG117" s="173"/>
      <c r="AH117" s="173">
        <v>41306</v>
      </c>
      <c r="AI117" s="173">
        <v>2013</v>
      </c>
      <c r="AJ117" s="32" t="s">
        <v>1522</v>
      </c>
      <c r="AS117">
        <v>36</v>
      </c>
      <c r="AT117">
        <v>1</v>
      </c>
      <c r="AU117">
        <v>0</v>
      </c>
      <c r="AV117">
        <v>1</v>
      </c>
      <c r="AW117">
        <v>0</v>
      </c>
      <c r="AX117">
        <v>37</v>
      </c>
      <c r="BA117" t="s">
        <v>5407</v>
      </c>
      <c r="BB117" t="s">
        <v>5409</v>
      </c>
      <c r="BD117" t="s">
        <v>5427</v>
      </c>
    </row>
    <row r="118" spans="1:57" ht="105" x14ac:dyDescent="0.25">
      <c r="A118" s="173" t="s">
        <v>993</v>
      </c>
      <c r="B118" s="173" t="s">
        <v>1526</v>
      </c>
      <c r="C118" s="173"/>
      <c r="D118" s="173"/>
      <c r="E118" s="173"/>
      <c r="F118" s="173"/>
      <c r="G118" s="173"/>
      <c r="H118" s="173"/>
      <c r="I118" s="173"/>
      <c r="J118" s="173" t="s">
        <v>1524</v>
      </c>
      <c r="K118" s="173"/>
      <c r="L118" s="173"/>
      <c r="M118" s="173"/>
      <c r="N118" s="173"/>
      <c r="O118" s="173"/>
      <c r="P118" s="173"/>
      <c r="Q118" s="173"/>
      <c r="R118" s="173" t="s">
        <v>303</v>
      </c>
      <c r="S118" s="173"/>
      <c r="T118" s="173"/>
      <c r="U118" s="173"/>
      <c r="V118" s="173">
        <v>115</v>
      </c>
      <c r="W118" s="173">
        <v>3</v>
      </c>
      <c r="X118" s="173"/>
      <c r="Y118" s="173"/>
      <c r="Z118" s="173">
        <v>211</v>
      </c>
      <c r="AA118" s="173">
        <v>252</v>
      </c>
      <c r="AB118" s="173"/>
      <c r="AC118" s="173" t="s">
        <v>2394</v>
      </c>
      <c r="AD118" s="173"/>
      <c r="AE118" s="173"/>
      <c r="AF118" s="173"/>
      <c r="AG118" s="173"/>
      <c r="AH118" s="173" t="s">
        <v>2393</v>
      </c>
      <c r="AI118" s="173">
        <v>2015</v>
      </c>
      <c r="AJ118" s="32" t="s">
        <v>1525</v>
      </c>
      <c r="AS118">
        <v>2374</v>
      </c>
      <c r="AT118">
        <v>28</v>
      </c>
      <c r="AU118">
        <v>4</v>
      </c>
      <c r="AV118">
        <v>172</v>
      </c>
      <c r="AW118">
        <v>1</v>
      </c>
      <c r="AX118">
        <v>2387</v>
      </c>
      <c r="BA118" t="s">
        <v>5407</v>
      </c>
      <c r="BB118" t="s">
        <v>5409</v>
      </c>
      <c r="BD118" t="s">
        <v>5428</v>
      </c>
    </row>
    <row r="119" spans="1:57" ht="180" x14ac:dyDescent="0.25">
      <c r="A119" s="173" t="s">
        <v>993</v>
      </c>
      <c r="B119" s="173" t="s">
        <v>1529</v>
      </c>
      <c r="C119" s="173"/>
      <c r="D119" s="173"/>
      <c r="E119" s="173"/>
      <c r="F119" s="173"/>
      <c r="G119" s="173"/>
      <c r="H119" s="173"/>
      <c r="I119" s="173"/>
      <c r="J119" s="173" t="s">
        <v>1527</v>
      </c>
      <c r="K119" s="173"/>
      <c r="L119" s="173"/>
      <c r="M119" s="173"/>
      <c r="N119" s="173"/>
      <c r="O119" s="173"/>
      <c r="P119" s="173"/>
      <c r="Q119" s="173"/>
      <c r="R119" s="173" t="s">
        <v>303</v>
      </c>
      <c r="S119" s="173"/>
      <c r="T119" s="173"/>
      <c r="U119" s="173"/>
      <c r="V119" s="173">
        <v>82</v>
      </c>
      <c r="W119" s="173">
        <v>1</v>
      </c>
      <c r="X119" s="173"/>
      <c r="Y119" s="173"/>
      <c r="Z119" s="173">
        <v>1</v>
      </c>
      <c r="AA119" s="173">
        <v>24</v>
      </c>
      <c r="AB119" s="173"/>
      <c r="AC119" s="173" t="s">
        <v>2609</v>
      </c>
      <c r="AD119" s="173"/>
      <c r="AE119" s="173"/>
      <c r="AF119" s="173"/>
      <c r="AG119" s="173"/>
      <c r="AH119" s="173" t="s">
        <v>2608</v>
      </c>
      <c r="AI119" s="173">
        <v>2009</v>
      </c>
      <c r="AJ119" s="32" t="s">
        <v>1528</v>
      </c>
      <c r="AS119">
        <v>71</v>
      </c>
      <c r="AT119">
        <v>4</v>
      </c>
      <c r="AU119">
        <v>0</v>
      </c>
      <c r="AV119">
        <v>5</v>
      </c>
      <c r="AW119">
        <v>0</v>
      </c>
      <c r="AX119">
        <v>75</v>
      </c>
      <c r="BA119" t="s">
        <v>5407</v>
      </c>
      <c r="BB119" t="s">
        <v>5409</v>
      </c>
      <c r="BD119" t="s">
        <v>5429</v>
      </c>
    </row>
    <row r="120" spans="1:57" ht="195" x14ac:dyDescent="0.25">
      <c r="A120" s="173" t="s">
        <v>993</v>
      </c>
      <c r="B120" s="173" t="s">
        <v>1532</v>
      </c>
      <c r="C120" s="173"/>
      <c r="D120" s="173"/>
      <c r="E120" s="173"/>
      <c r="F120" s="173"/>
      <c r="G120" s="173"/>
      <c r="H120" s="173"/>
      <c r="I120" s="173"/>
      <c r="J120" s="173" t="s">
        <v>1530</v>
      </c>
      <c r="K120" s="173"/>
      <c r="L120" s="173"/>
      <c r="M120" s="173"/>
      <c r="N120" s="173"/>
      <c r="O120" s="173"/>
      <c r="P120" s="173"/>
      <c r="Q120" s="173"/>
      <c r="R120" s="173" t="s">
        <v>303</v>
      </c>
      <c r="S120" s="173"/>
      <c r="T120" s="173"/>
      <c r="U120" s="173"/>
      <c r="V120" s="173">
        <v>56</v>
      </c>
      <c r="W120" s="173">
        <v>3</v>
      </c>
      <c r="X120" s="173"/>
      <c r="Y120" s="173"/>
      <c r="Z120" s="173">
        <v>151</v>
      </c>
      <c r="AA120" s="173">
        <v>177</v>
      </c>
      <c r="AB120" s="173"/>
      <c r="AC120" s="173" t="s">
        <v>2520</v>
      </c>
      <c r="AD120" s="173"/>
      <c r="AE120" s="173"/>
      <c r="AF120" s="173"/>
      <c r="AG120" s="173"/>
      <c r="AH120" s="173" t="s">
        <v>2519</v>
      </c>
      <c r="AI120" s="173">
        <v>2004</v>
      </c>
      <c r="AJ120" s="32" t="s">
        <v>1531</v>
      </c>
      <c r="AS120">
        <v>149</v>
      </c>
      <c r="AT120">
        <v>4</v>
      </c>
      <c r="AU120">
        <v>1</v>
      </c>
      <c r="AV120">
        <v>3</v>
      </c>
      <c r="AW120">
        <v>0</v>
      </c>
      <c r="AX120">
        <v>154</v>
      </c>
      <c r="BA120" t="s">
        <v>5407</v>
      </c>
      <c r="BB120" t="s">
        <v>5409</v>
      </c>
      <c r="BD120" t="s">
        <v>5430</v>
      </c>
    </row>
    <row r="121" spans="1:57" ht="180" x14ac:dyDescent="0.25">
      <c r="A121" s="173" t="s">
        <v>993</v>
      </c>
      <c r="B121" s="173" t="s">
        <v>1535</v>
      </c>
      <c r="C121" s="173"/>
      <c r="D121" s="173"/>
      <c r="E121" s="173"/>
      <c r="F121" s="173"/>
      <c r="G121" s="173"/>
      <c r="H121" s="173"/>
      <c r="I121" s="173"/>
      <c r="J121" s="173" t="s">
        <v>1533</v>
      </c>
      <c r="K121" s="173"/>
      <c r="L121" s="173"/>
      <c r="M121" s="173"/>
      <c r="N121" s="173"/>
      <c r="O121" s="173"/>
      <c r="P121" s="173"/>
      <c r="Q121" s="173"/>
      <c r="R121" s="173" t="s">
        <v>303</v>
      </c>
      <c r="S121" s="173"/>
      <c r="T121" s="173"/>
      <c r="U121" s="173"/>
      <c r="V121" s="173">
        <v>81</v>
      </c>
      <c r="W121" s="173">
        <v>1</v>
      </c>
      <c r="X121" s="173"/>
      <c r="Y121" s="173"/>
      <c r="Z121" s="173">
        <v>2</v>
      </c>
      <c r="AA121" s="173">
        <v>23</v>
      </c>
      <c r="AB121" s="173"/>
      <c r="AC121" s="173" t="s">
        <v>2442</v>
      </c>
      <c r="AD121" s="173"/>
      <c r="AE121" s="173"/>
      <c r="AF121" s="173"/>
      <c r="AG121" s="173"/>
      <c r="AH121" s="173" t="s">
        <v>2441</v>
      </c>
      <c r="AI121" s="173">
        <v>2009</v>
      </c>
      <c r="AJ121" s="32" t="s">
        <v>1534</v>
      </c>
      <c r="AO121" t="s">
        <v>5431</v>
      </c>
      <c r="AP121" t="s">
        <v>5432</v>
      </c>
      <c r="AQ121" t="s">
        <v>5433</v>
      </c>
      <c r="AR121" t="s">
        <v>5434</v>
      </c>
      <c r="AS121">
        <v>410</v>
      </c>
      <c r="AT121">
        <v>31</v>
      </c>
      <c r="AU121">
        <v>1</v>
      </c>
      <c r="AV121">
        <v>19</v>
      </c>
      <c r="AW121">
        <v>0</v>
      </c>
      <c r="AX121">
        <v>440</v>
      </c>
      <c r="BA121" t="s">
        <v>5407</v>
      </c>
      <c r="BB121" t="s">
        <v>5409</v>
      </c>
      <c r="BD121" t="s">
        <v>5435</v>
      </c>
    </row>
    <row r="122" spans="1:57" ht="240" x14ac:dyDescent="0.25">
      <c r="A122" s="173" t="s">
        <v>993</v>
      </c>
      <c r="B122" s="173" t="s">
        <v>1538</v>
      </c>
      <c r="C122" s="173"/>
      <c r="D122" s="173"/>
      <c r="E122" s="173"/>
      <c r="F122" s="173"/>
      <c r="G122" s="173"/>
      <c r="H122" s="173"/>
      <c r="I122" s="173"/>
      <c r="J122" s="173" t="s">
        <v>1536</v>
      </c>
      <c r="K122" s="173"/>
      <c r="L122" s="173"/>
      <c r="M122" s="173"/>
      <c r="N122" s="173"/>
      <c r="O122" s="173"/>
      <c r="P122" s="173"/>
      <c r="Q122" s="173"/>
      <c r="R122" s="173" t="s">
        <v>303</v>
      </c>
      <c r="S122" s="173"/>
      <c r="T122" s="173"/>
      <c r="U122" s="173"/>
      <c r="V122" s="173">
        <v>76</v>
      </c>
      <c r="W122" s="173">
        <v>3</v>
      </c>
      <c r="X122" s="173"/>
      <c r="Y122" s="173"/>
      <c r="Z122" s="173">
        <v>217</v>
      </c>
      <c r="AA122" s="173">
        <v>229</v>
      </c>
      <c r="AB122" s="173"/>
      <c r="AC122" s="173" t="s">
        <v>2791</v>
      </c>
      <c r="AD122" s="173"/>
      <c r="AE122" s="173"/>
      <c r="AF122" s="173"/>
      <c r="AG122" s="173"/>
      <c r="AH122" s="173">
        <v>39508</v>
      </c>
      <c r="AI122" s="173">
        <v>2008</v>
      </c>
      <c r="AJ122" s="32" t="s">
        <v>1537</v>
      </c>
      <c r="AS122">
        <v>39</v>
      </c>
      <c r="AT122">
        <v>11</v>
      </c>
      <c r="AU122">
        <v>1</v>
      </c>
      <c r="AV122">
        <v>3</v>
      </c>
      <c r="AW122">
        <v>0</v>
      </c>
      <c r="AX122">
        <v>51</v>
      </c>
      <c r="BA122" t="s">
        <v>5407</v>
      </c>
      <c r="BD122" t="s">
        <v>5436</v>
      </c>
    </row>
    <row r="123" spans="1:57" ht="105" x14ac:dyDescent="0.25">
      <c r="A123" s="173" t="s">
        <v>993</v>
      </c>
      <c r="B123" s="173" t="s">
        <v>1541</v>
      </c>
      <c r="C123" s="173"/>
      <c r="D123" s="173"/>
      <c r="E123" s="173"/>
      <c r="F123" s="173"/>
      <c r="G123" s="173"/>
      <c r="H123" s="173"/>
      <c r="I123" s="173"/>
      <c r="J123" s="173" t="s">
        <v>1539</v>
      </c>
      <c r="K123" s="173"/>
      <c r="L123" s="173"/>
      <c r="M123" s="173"/>
      <c r="N123" s="173"/>
      <c r="O123" s="173"/>
      <c r="P123" s="173"/>
      <c r="Q123" s="173"/>
      <c r="R123" s="173" t="s">
        <v>330</v>
      </c>
      <c r="S123" s="173"/>
      <c r="T123" s="173"/>
      <c r="U123" s="173"/>
      <c r="V123" s="173">
        <v>5</v>
      </c>
      <c r="W123" s="173">
        <v>3</v>
      </c>
      <c r="X123" s="173" t="s">
        <v>1948</v>
      </c>
      <c r="Y123" s="173"/>
      <c r="Z123" s="173">
        <v>785</v>
      </c>
      <c r="AA123" s="173">
        <v>800</v>
      </c>
      <c r="AB123" s="173"/>
      <c r="AC123" s="173"/>
      <c r="AD123" s="173"/>
      <c r="AE123" s="173"/>
      <c r="AF123" s="173"/>
      <c r="AG123" s="173"/>
      <c r="AH123" s="173">
        <v>39873</v>
      </c>
      <c r="AI123" s="173">
        <v>2009</v>
      </c>
      <c r="AJ123" s="32" t="s">
        <v>1540</v>
      </c>
      <c r="AS123">
        <v>5</v>
      </c>
      <c r="AT123">
        <v>0</v>
      </c>
      <c r="AU123">
        <v>0</v>
      </c>
      <c r="AV123">
        <v>0</v>
      </c>
      <c r="AW123">
        <v>0</v>
      </c>
      <c r="AX123">
        <v>5</v>
      </c>
      <c r="BA123" t="s">
        <v>5437</v>
      </c>
      <c r="BB123" t="s">
        <v>5438</v>
      </c>
      <c r="BD123" t="s">
        <v>5439</v>
      </c>
    </row>
    <row r="124" spans="1:57" ht="120" x14ac:dyDescent="0.25">
      <c r="A124" s="173" t="s">
        <v>993</v>
      </c>
      <c r="B124" s="173" t="s">
        <v>1544</v>
      </c>
      <c r="C124" s="173"/>
      <c r="D124" s="173"/>
      <c r="E124" s="173"/>
      <c r="F124" s="173"/>
      <c r="G124" s="173"/>
      <c r="H124" s="173"/>
      <c r="I124" s="173"/>
      <c r="J124" s="173" t="s">
        <v>1542</v>
      </c>
      <c r="K124" s="173"/>
      <c r="L124" s="173"/>
      <c r="M124" s="173"/>
      <c r="N124" s="173"/>
      <c r="O124" s="173"/>
      <c r="P124" s="173"/>
      <c r="Q124" s="173"/>
      <c r="R124" s="173" t="s">
        <v>331</v>
      </c>
      <c r="S124" s="173"/>
      <c r="T124" s="173"/>
      <c r="U124" s="173"/>
      <c r="V124" s="173">
        <v>2</v>
      </c>
      <c r="W124" s="173">
        <v>2</v>
      </c>
      <c r="X124" s="173"/>
      <c r="Y124" s="173"/>
      <c r="Z124" s="173">
        <v>89</v>
      </c>
      <c r="AA124" s="173">
        <v>98</v>
      </c>
      <c r="AB124" s="173"/>
      <c r="AC124" s="173" t="s">
        <v>2994</v>
      </c>
      <c r="AD124" s="173"/>
      <c r="AE124" s="173"/>
      <c r="AF124" s="173"/>
      <c r="AG124" s="173"/>
      <c r="AH124" s="173">
        <v>40695</v>
      </c>
      <c r="AI124" s="173">
        <v>2011</v>
      </c>
      <c r="AJ124" s="32" t="s">
        <v>1543</v>
      </c>
      <c r="AS124">
        <v>24</v>
      </c>
      <c r="AT124">
        <v>0</v>
      </c>
      <c r="AU124">
        <v>0</v>
      </c>
      <c r="AV124">
        <v>0</v>
      </c>
      <c r="AW124">
        <v>0</v>
      </c>
      <c r="AX124">
        <v>24</v>
      </c>
      <c r="BA124" t="s">
        <v>5440</v>
      </c>
      <c r="BB124" t="s">
        <v>5441</v>
      </c>
      <c r="BD124" t="s">
        <v>5442</v>
      </c>
    </row>
    <row r="125" spans="1:57" ht="120" x14ac:dyDescent="0.25">
      <c r="A125" s="173" t="s">
        <v>993</v>
      </c>
      <c r="B125" s="173" t="s">
        <v>1547</v>
      </c>
      <c r="C125" s="173"/>
      <c r="D125" s="173"/>
      <c r="E125" s="173"/>
      <c r="F125" s="173" t="s">
        <v>5443</v>
      </c>
      <c r="G125" s="173" t="s">
        <v>5444</v>
      </c>
      <c r="H125" s="173"/>
      <c r="I125" s="173"/>
      <c r="J125" s="173" t="s">
        <v>1545</v>
      </c>
      <c r="K125" s="173"/>
      <c r="L125" s="173"/>
      <c r="M125" s="173"/>
      <c r="N125" s="173"/>
      <c r="O125" s="173"/>
      <c r="P125" s="173"/>
      <c r="Q125" s="173"/>
      <c r="R125" s="173" t="s">
        <v>332</v>
      </c>
      <c r="S125" s="173"/>
      <c r="T125" s="173"/>
      <c r="U125" s="173"/>
      <c r="V125" s="173">
        <v>21</v>
      </c>
      <c r="W125" s="173">
        <v>3</v>
      </c>
      <c r="X125" s="173"/>
      <c r="Y125" s="173"/>
      <c r="Z125" s="173">
        <v>225</v>
      </c>
      <c r="AA125" s="173">
        <v>246</v>
      </c>
      <c r="AB125" s="173"/>
      <c r="AC125" s="173" t="s">
        <v>2729</v>
      </c>
      <c r="AD125" s="173"/>
      <c r="AE125" s="173"/>
      <c r="AF125" s="173"/>
      <c r="AG125" s="173"/>
      <c r="AH125" s="173">
        <v>40695</v>
      </c>
      <c r="AI125" s="173">
        <v>2011</v>
      </c>
      <c r="AJ125" s="32" t="s">
        <v>1546</v>
      </c>
      <c r="AS125">
        <v>45</v>
      </c>
      <c r="AT125">
        <v>0</v>
      </c>
      <c r="AU125">
        <v>0</v>
      </c>
      <c r="AV125">
        <v>3</v>
      </c>
      <c r="AW125">
        <v>0</v>
      </c>
      <c r="AX125">
        <v>45</v>
      </c>
      <c r="BA125" t="s">
        <v>5445</v>
      </c>
      <c r="BB125" t="s">
        <v>5446</v>
      </c>
      <c r="BD125" t="s">
        <v>5447</v>
      </c>
      <c r="BE125">
        <v>21656925</v>
      </c>
    </row>
    <row r="126" spans="1:57" ht="60" x14ac:dyDescent="0.25">
      <c r="A126" s="173" t="s">
        <v>993</v>
      </c>
      <c r="B126" s="173" t="s">
        <v>1550</v>
      </c>
      <c r="C126" s="173"/>
      <c r="D126" s="173"/>
      <c r="E126" s="173"/>
      <c r="F126" s="173"/>
      <c r="G126" s="173" t="s">
        <v>5448</v>
      </c>
      <c r="H126" s="173"/>
      <c r="I126" s="173"/>
      <c r="J126" s="173" t="s">
        <v>1548</v>
      </c>
      <c r="K126" s="173"/>
      <c r="L126" s="173"/>
      <c r="M126" s="173"/>
      <c r="N126" s="173"/>
      <c r="O126" s="173"/>
      <c r="P126" s="173"/>
      <c r="Q126" s="173"/>
      <c r="R126" s="173" t="s">
        <v>333</v>
      </c>
      <c r="S126" s="173"/>
      <c r="T126" s="173"/>
      <c r="U126" s="173"/>
      <c r="V126" s="173">
        <v>28</v>
      </c>
      <c r="W126" s="173">
        <v>1</v>
      </c>
      <c r="X126" s="173"/>
      <c r="Y126" s="173"/>
      <c r="Z126" s="173"/>
      <c r="AA126" s="173"/>
      <c r="AB126" s="173">
        <v>1450001</v>
      </c>
      <c r="AC126" s="173" t="s">
        <v>2556</v>
      </c>
      <c r="AD126" s="173"/>
      <c r="AE126" s="173"/>
      <c r="AF126" s="173"/>
      <c r="AG126" s="173"/>
      <c r="AH126" s="173">
        <v>41671</v>
      </c>
      <c r="AI126" s="173">
        <v>2014</v>
      </c>
      <c r="AJ126" s="32" t="s">
        <v>1549</v>
      </c>
      <c r="AS126">
        <v>98</v>
      </c>
      <c r="AT126">
        <v>1</v>
      </c>
      <c r="AU126">
        <v>0</v>
      </c>
      <c r="AV126">
        <v>8</v>
      </c>
      <c r="AW126">
        <v>0</v>
      </c>
      <c r="AX126">
        <v>99</v>
      </c>
      <c r="BA126" t="s">
        <v>5449</v>
      </c>
      <c r="BB126" t="s">
        <v>5450</v>
      </c>
      <c r="BD126" t="s">
        <v>5451</v>
      </c>
    </row>
    <row r="127" spans="1:57" ht="135" x14ac:dyDescent="0.25">
      <c r="A127" s="173" t="s">
        <v>993</v>
      </c>
      <c r="B127" s="173" t="s">
        <v>1553</v>
      </c>
      <c r="C127" s="173"/>
      <c r="D127" s="173"/>
      <c r="E127" s="173"/>
      <c r="F127" s="173" t="s">
        <v>5452</v>
      </c>
      <c r="G127" s="173" t="s">
        <v>5453</v>
      </c>
      <c r="H127" s="173"/>
      <c r="I127" s="173"/>
      <c r="J127" s="173" t="s">
        <v>1551</v>
      </c>
      <c r="K127" s="173"/>
      <c r="L127" s="173"/>
      <c r="M127" s="173"/>
      <c r="N127" s="173"/>
      <c r="O127" s="173"/>
      <c r="P127" s="173"/>
      <c r="Q127" s="173"/>
      <c r="R127" s="173" t="s">
        <v>334</v>
      </c>
      <c r="S127" s="173"/>
      <c r="T127" s="173"/>
      <c r="U127" s="173"/>
      <c r="V127" s="173">
        <v>10</v>
      </c>
      <c r="W127" s="173">
        <v>3</v>
      </c>
      <c r="X127" s="173" t="s">
        <v>1948</v>
      </c>
      <c r="Y127" s="173"/>
      <c r="Z127" s="173">
        <v>379</v>
      </c>
      <c r="AA127" s="173">
        <v>397</v>
      </c>
      <c r="AB127" s="173"/>
      <c r="AC127" s="173" t="s">
        <v>4737</v>
      </c>
      <c r="AD127" s="173"/>
      <c r="AE127" s="173"/>
      <c r="AF127" s="173"/>
      <c r="AG127" s="173"/>
      <c r="AH127" s="173">
        <v>42614</v>
      </c>
      <c r="AI127" s="173">
        <v>2016</v>
      </c>
      <c r="AJ127" s="32" t="s">
        <v>1552</v>
      </c>
      <c r="AS127">
        <v>2</v>
      </c>
      <c r="AT127">
        <v>0</v>
      </c>
      <c r="AU127">
        <v>0</v>
      </c>
      <c r="AV127">
        <v>0</v>
      </c>
      <c r="AW127">
        <v>0</v>
      </c>
      <c r="AX127">
        <v>2</v>
      </c>
      <c r="BA127" t="s">
        <v>5454</v>
      </c>
      <c r="BB127" t="s">
        <v>5455</v>
      </c>
      <c r="BD127" t="s">
        <v>5456</v>
      </c>
    </row>
    <row r="128" spans="1:57" ht="150" x14ac:dyDescent="0.25">
      <c r="A128" s="173" t="s">
        <v>993</v>
      </c>
      <c r="B128" s="173" t="s">
        <v>1151</v>
      </c>
      <c r="C128" s="173"/>
      <c r="D128" s="173"/>
      <c r="E128" s="173"/>
      <c r="F128" s="173"/>
      <c r="G128" s="173"/>
      <c r="H128" s="173"/>
      <c r="I128" s="173"/>
      <c r="J128" s="173" t="s">
        <v>1149</v>
      </c>
      <c r="K128" s="173"/>
      <c r="L128" s="173"/>
      <c r="M128" s="173"/>
      <c r="N128" s="173"/>
      <c r="O128" s="173"/>
      <c r="P128" s="173"/>
      <c r="Q128" s="173"/>
      <c r="R128" s="173" t="s">
        <v>318</v>
      </c>
      <c r="S128" s="173"/>
      <c r="T128" s="173"/>
      <c r="U128" s="173"/>
      <c r="V128" s="173">
        <v>27</v>
      </c>
      <c r="W128" s="173">
        <v>2</v>
      </c>
      <c r="X128" s="173"/>
      <c r="Y128" s="173"/>
      <c r="Z128" s="173"/>
      <c r="AA128" s="173"/>
      <c r="AB128" s="173">
        <v>1830001</v>
      </c>
      <c r="AC128" s="173" t="s">
        <v>4493</v>
      </c>
      <c r="AD128" s="173"/>
      <c r="AE128" s="173"/>
      <c r="AF128" s="173"/>
      <c r="AG128" s="173"/>
      <c r="AH128" s="173">
        <v>43160</v>
      </c>
      <c r="AI128" s="173">
        <v>2018</v>
      </c>
      <c r="AJ128" s="32" t="s">
        <v>1150</v>
      </c>
      <c r="AS128">
        <v>1</v>
      </c>
      <c r="AT128">
        <v>0</v>
      </c>
      <c r="AU128">
        <v>0</v>
      </c>
      <c r="AV128">
        <v>0</v>
      </c>
      <c r="AW128">
        <v>0</v>
      </c>
      <c r="AX128">
        <v>1</v>
      </c>
      <c r="BA128" t="s">
        <v>5457</v>
      </c>
      <c r="BB128" t="s">
        <v>5458</v>
      </c>
      <c r="BD128" t="s">
        <v>5459</v>
      </c>
    </row>
    <row r="129" spans="1:56" ht="195" x14ac:dyDescent="0.25">
      <c r="A129" s="173" t="s">
        <v>993</v>
      </c>
      <c r="B129" s="173" t="s">
        <v>1556</v>
      </c>
      <c r="C129" s="173"/>
      <c r="D129" s="173"/>
      <c r="E129" s="173"/>
      <c r="F129" s="173"/>
      <c r="G129" s="173"/>
      <c r="H129" s="173"/>
      <c r="I129" s="173"/>
      <c r="J129" s="173" t="s">
        <v>1554</v>
      </c>
      <c r="K129" s="173"/>
      <c r="L129" s="173"/>
      <c r="M129" s="173"/>
      <c r="N129" s="173"/>
      <c r="O129" s="173"/>
      <c r="P129" s="173"/>
      <c r="Q129" s="173"/>
      <c r="R129" s="173" t="s">
        <v>318</v>
      </c>
      <c r="S129" s="173"/>
      <c r="T129" s="173"/>
      <c r="U129" s="173"/>
      <c r="V129" s="173">
        <v>22</v>
      </c>
      <c r="W129" s="173">
        <v>6</v>
      </c>
      <c r="X129" s="173" t="s">
        <v>1948</v>
      </c>
      <c r="Y129" s="173"/>
      <c r="Z129" s="173"/>
      <c r="AA129" s="173"/>
      <c r="AB129" s="173">
        <v>1350030</v>
      </c>
      <c r="AC129" s="173" t="s">
        <v>4765</v>
      </c>
      <c r="AD129" s="173"/>
      <c r="AE129" s="173"/>
      <c r="AF129" s="173"/>
      <c r="AG129" s="173"/>
      <c r="AH129" s="173" t="s">
        <v>2720</v>
      </c>
      <c r="AI129" s="173">
        <v>2013</v>
      </c>
      <c r="AJ129" s="32" t="s">
        <v>1555</v>
      </c>
      <c r="AS129">
        <v>2</v>
      </c>
      <c r="AT129">
        <v>0</v>
      </c>
      <c r="AU129">
        <v>0</v>
      </c>
      <c r="AV129">
        <v>0</v>
      </c>
      <c r="AW129">
        <v>0</v>
      </c>
      <c r="AX129">
        <v>2</v>
      </c>
      <c r="BA129" t="s">
        <v>5457</v>
      </c>
      <c r="BB129" t="s">
        <v>5458</v>
      </c>
      <c r="BD129" t="s">
        <v>5460</v>
      </c>
    </row>
    <row r="130" spans="1:56" ht="150" x14ac:dyDescent="0.25">
      <c r="A130" s="173" t="s">
        <v>993</v>
      </c>
      <c r="B130" s="173" t="s">
        <v>1559</v>
      </c>
      <c r="C130" s="173"/>
      <c r="D130" s="173"/>
      <c r="E130" s="173"/>
      <c r="F130" s="173"/>
      <c r="G130" s="173"/>
      <c r="H130" s="173"/>
      <c r="I130" s="173"/>
      <c r="J130" s="173" t="s">
        <v>1557</v>
      </c>
      <c r="K130" s="173"/>
      <c r="L130" s="173"/>
      <c r="M130" s="173"/>
      <c r="N130" s="173"/>
      <c r="O130" s="173"/>
      <c r="P130" s="173"/>
      <c r="Q130" s="173"/>
      <c r="R130" s="173" t="s">
        <v>318</v>
      </c>
      <c r="S130" s="173"/>
      <c r="T130" s="173"/>
      <c r="U130" s="173"/>
      <c r="V130" s="173">
        <v>27</v>
      </c>
      <c r="W130" s="173">
        <v>6</v>
      </c>
      <c r="X130" s="173"/>
      <c r="Y130" s="173"/>
      <c r="Z130" s="173"/>
      <c r="AA130" s="173"/>
      <c r="AB130" s="173">
        <v>1850023</v>
      </c>
      <c r="AC130" s="173" t="s">
        <v>5461</v>
      </c>
      <c r="AD130" s="173"/>
      <c r="AE130" s="173"/>
      <c r="AF130" s="173"/>
      <c r="AG130" s="173"/>
      <c r="AH130" s="173">
        <v>43344</v>
      </c>
      <c r="AI130" s="173">
        <v>2018</v>
      </c>
      <c r="AJ130" s="32" t="s">
        <v>1558</v>
      </c>
      <c r="AS130">
        <v>0</v>
      </c>
      <c r="AT130">
        <v>0</v>
      </c>
      <c r="AU130">
        <v>0</v>
      </c>
      <c r="AV130">
        <v>0</v>
      </c>
      <c r="AW130">
        <v>0</v>
      </c>
      <c r="AX130">
        <v>0</v>
      </c>
      <c r="BA130" t="s">
        <v>5457</v>
      </c>
      <c r="BB130" t="s">
        <v>5458</v>
      </c>
      <c r="BD130" t="s">
        <v>5462</v>
      </c>
    </row>
    <row r="131" spans="1:56" ht="165" x14ac:dyDescent="0.25">
      <c r="A131" s="173" t="s">
        <v>993</v>
      </c>
      <c r="B131" s="173" t="s">
        <v>1562</v>
      </c>
      <c r="C131" s="173"/>
      <c r="D131" s="173"/>
      <c r="E131" s="173"/>
      <c r="F131" s="173"/>
      <c r="G131" s="173"/>
      <c r="H131" s="173"/>
      <c r="I131" s="173"/>
      <c r="J131" s="173" t="s">
        <v>1560</v>
      </c>
      <c r="K131" s="173"/>
      <c r="L131" s="173"/>
      <c r="M131" s="173"/>
      <c r="N131" s="173"/>
      <c r="O131" s="173"/>
      <c r="P131" s="173"/>
      <c r="Q131" s="173"/>
      <c r="R131" s="173" t="s">
        <v>335</v>
      </c>
      <c r="S131" s="173"/>
      <c r="T131" s="173"/>
      <c r="U131" s="173"/>
      <c r="V131" s="173">
        <v>8</v>
      </c>
      <c r="W131" s="173">
        <v>4</v>
      </c>
      <c r="X131" s="173"/>
      <c r="Y131" s="173"/>
      <c r="Z131" s="173">
        <v>280</v>
      </c>
      <c r="AA131" s="173">
        <v>296</v>
      </c>
      <c r="AB131" s="173"/>
      <c r="AC131" s="173" t="s">
        <v>2523</v>
      </c>
      <c r="AD131" s="173"/>
      <c r="AE131" s="173"/>
      <c r="AF131" s="173"/>
      <c r="AG131" s="173"/>
      <c r="AH131" s="173">
        <v>38961</v>
      </c>
      <c r="AI131" s="173">
        <v>2006</v>
      </c>
      <c r="AJ131" s="32" t="s">
        <v>1561</v>
      </c>
      <c r="AS131">
        <v>146</v>
      </c>
      <c r="AT131">
        <v>6</v>
      </c>
      <c r="AU131">
        <v>0</v>
      </c>
      <c r="AV131">
        <v>6</v>
      </c>
      <c r="AW131">
        <v>0</v>
      </c>
      <c r="AX131">
        <v>151</v>
      </c>
      <c r="BA131" t="s">
        <v>5463</v>
      </c>
      <c r="BD131" t="s">
        <v>5464</v>
      </c>
    </row>
    <row r="132" spans="1:56" ht="75" x14ac:dyDescent="0.25">
      <c r="A132" s="173" t="s">
        <v>993</v>
      </c>
      <c r="B132" s="173" t="s">
        <v>1565</v>
      </c>
      <c r="C132" s="173"/>
      <c r="D132" s="173"/>
      <c r="E132" s="173"/>
      <c r="F132" s="173"/>
      <c r="G132" s="173"/>
      <c r="H132" s="173"/>
      <c r="I132" s="173"/>
      <c r="J132" s="173" t="s">
        <v>1563</v>
      </c>
      <c r="K132" s="173"/>
      <c r="L132" s="173"/>
      <c r="M132" s="173"/>
      <c r="N132" s="173"/>
      <c r="O132" s="173"/>
      <c r="P132" s="173"/>
      <c r="Q132" s="173"/>
      <c r="R132" s="173" t="s">
        <v>336</v>
      </c>
      <c r="S132" s="173"/>
      <c r="T132" s="173"/>
      <c r="U132" s="173"/>
      <c r="V132" s="173">
        <v>21</v>
      </c>
      <c r="W132" s="173">
        <v>2</v>
      </c>
      <c r="X132" s="173"/>
      <c r="Y132" s="173"/>
      <c r="Z132" s="173">
        <v>235</v>
      </c>
      <c r="AA132" s="173">
        <v>246</v>
      </c>
      <c r="AB132" s="173"/>
      <c r="AC132" s="173" t="s">
        <v>4860</v>
      </c>
      <c r="AD132" s="173"/>
      <c r="AE132" s="173"/>
      <c r="AF132" s="173"/>
      <c r="AG132" s="173"/>
      <c r="AH132" s="173">
        <v>42795</v>
      </c>
      <c r="AI132" s="173">
        <v>2017</v>
      </c>
      <c r="AJ132" s="32" t="s">
        <v>1564</v>
      </c>
      <c r="AS132">
        <v>3</v>
      </c>
      <c r="AT132">
        <v>0</v>
      </c>
      <c r="AU132">
        <v>0</v>
      </c>
      <c r="AV132">
        <v>0</v>
      </c>
      <c r="AW132">
        <v>0</v>
      </c>
      <c r="AX132">
        <v>3</v>
      </c>
      <c r="BA132" t="s">
        <v>5465</v>
      </c>
      <c r="BB132" t="s">
        <v>5466</v>
      </c>
      <c r="BD132" t="s">
        <v>5467</v>
      </c>
    </row>
    <row r="133" spans="1:56" ht="90" x14ac:dyDescent="0.25">
      <c r="A133" s="173" t="s">
        <v>993</v>
      </c>
      <c r="B133" s="173" t="s">
        <v>1568</v>
      </c>
      <c r="C133" s="173"/>
      <c r="D133" s="173"/>
      <c r="E133" s="173"/>
      <c r="F133" s="173"/>
      <c r="G133" s="173"/>
      <c r="H133" s="173"/>
      <c r="I133" s="173"/>
      <c r="J133" s="173" t="s">
        <v>1566</v>
      </c>
      <c r="K133" s="173"/>
      <c r="L133" s="173"/>
      <c r="M133" s="173"/>
      <c r="N133" s="173"/>
      <c r="O133" s="173"/>
      <c r="P133" s="173"/>
      <c r="Q133" s="173"/>
      <c r="R133" s="173" t="s">
        <v>337</v>
      </c>
      <c r="S133" s="173"/>
      <c r="T133" s="173"/>
      <c r="U133" s="173"/>
      <c r="V133" s="173">
        <v>8</v>
      </c>
      <c r="W133" s="173">
        <v>1</v>
      </c>
      <c r="X133" s="173" t="s">
        <v>1948</v>
      </c>
      <c r="Y133" s="173"/>
      <c r="Z133" s="173">
        <v>79</v>
      </c>
      <c r="AA133" s="173">
        <v>85</v>
      </c>
      <c r="AB133" s="173"/>
      <c r="AC133" s="173" t="s">
        <v>4552</v>
      </c>
      <c r="AD133" s="173"/>
      <c r="AE133" s="173"/>
      <c r="AF133" s="173"/>
      <c r="AG133" s="173"/>
      <c r="AH133" s="173">
        <v>42767</v>
      </c>
      <c r="AI133" s="173">
        <v>2017</v>
      </c>
      <c r="AJ133" s="32" t="s">
        <v>1567</v>
      </c>
      <c r="AO133" t="s">
        <v>5468</v>
      </c>
      <c r="AP133" t="s">
        <v>5469</v>
      </c>
      <c r="AR133" t="s">
        <v>5470</v>
      </c>
      <c r="AS133">
        <v>1</v>
      </c>
      <c r="AT133">
        <v>0</v>
      </c>
      <c r="AU133">
        <v>0</v>
      </c>
      <c r="AV133">
        <v>0</v>
      </c>
      <c r="AW133">
        <v>0</v>
      </c>
      <c r="AX133">
        <v>1</v>
      </c>
      <c r="BA133" t="s">
        <v>5471</v>
      </c>
      <c r="BB133" t="s">
        <v>5472</v>
      </c>
      <c r="BD133" t="s">
        <v>5473</v>
      </c>
    </row>
    <row r="134" spans="1:56" ht="60" x14ac:dyDescent="0.25">
      <c r="A134" s="173" t="s">
        <v>993</v>
      </c>
      <c r="B134" s="173" t="s">
        <v>1571</v>
      </c>
      <c r="C134" s="173"/>
      <c r="D134" s="173"/>
      <c r="E134" s="173"/>
      <c r="F134" s="173" t="s">
        <v>5474</v>
      </c>
      <c r="G134" s="173" t="s">
        <v>5475</v>
      </c>
      <c r="H134" s="173"/>
      <c r="I134" s="173"/>
      <c r="J134" s="173" t="s">
        <v>1569</v>
      </c>
      <c r="K134" s="173"/>
      <c r="L134" s="173"/>
      <c r="M134" s="173"/>
      <c r="N134" s="173"/>
      <c r="O134" s="173"/>
      <c r="P134" s="173"/>
      <c r="Q134" s="173"/>
      <c r="R134" s="173" t="s">
        <v>338</v>
      </c>
      <c r="S134" s="173"/>
      <c r="T134" s="173"/>
      <c r="U134" s="173"/>
      <c r="V134" s="173">
        <v>3</v>
      </c>
      <c r="W134" s="173">
        <v>3</v>
      </c>
      <c r="X134" s="173"/>
      <c r="Y134" s="173"/>
      <c r="Z134" s="173">
        <v>187</v>
      </c>
      <c r="AA134" s="173">
        <v>191</v>
      </c>
      <c r="AB134" s="173"/>
      <c r="AC134" s="173" t="s">
        <v>3954</v>
      </c>
      <c r="AD134" s="173"/>
      <c r="AE134" s="173"/>
      <c r="AF134" s="173"/>
      <c r="AG134" s="173"/>
      <c r="AH134" s="173">
        <v>2011</v>
      </c>
      <c r="AI134" s="173">
        <v>2011</v>
      </c>
      <c r="AJ134" s="32" t="s">
        <v>1570</v>
      </c>
      <c r="AS134">
        <v>4</v>
      </c>
      <c r="AT134">
        <v>1</v>
      </c>
      <c r="AU134">
        <v>0</v>
      </c>
      <c r="AV134">
        <v>0</v>
      </c>
      <c r="AW134">
        <v>0</v>
      </c>
      <c r="AX134">
        <v>5</v>
      </c>
      <c r="BA134" t="s">
        <v>5476</v>
      </c>
      <c r="BB134" t="s">
        <v>5477</v>
      </c>
      <c r="BD134" t="s">
        <v>5478</v>
      </c>
    </row>
    <row r="135" spans="1:56" ht="150" x14ac:dyDescent="0.25">
      <c r="A135" s="173" t="s">
        <v>993</v>
      </c>
      <c r="B135" s="173" t="s">
        <v>1574</v>
      </c>
      <c r="C135" s="173"/>
      <c r="D135" s="173"/>
      <c r="E135" s="173"/>
      <c r="F135" s="173"/>
      <c r="G135" s="173"/>
      <c r="H135" s="173"/>
      <c r="I135" s="173"/>
      <c r="J135" s="173" t="s">
        <v>1572</v>
      </c>
      <c r="K135" s="173"/>
      <c r="L135" s="173"/>
      <c r="M135" s="173"/>
      <c r="N135" s="173"/>
      <c r="O135" s="173"/>
      <c r="P135" s="173"/>
      <c r="Q135" s="173"/>
      <c r="R135" s="173" t="s">
        <v>319</v>
      </c>
      <c r="S135" s="173"/>
      <c r="T135" s="173"/>
      <c r="U135" s="173"/>
      <c r="V135" s="173">
        <v>41</v>
      </c>
      <c r="W135" s="173">
        <v>4</v>
      </c>
      <c r="X135" s="173"/>
      <c r="Y135" s="173"/>
      <c r="Z135" s="173">
        <v>245</v>
      </c>
      <c r="AA135" s="173">
        <v>262</v>
      </c>
      <c r="AB135" s="173"/>
      <c r="AC135" s="173" t="s">
        <v>4394</v>
      </c>
      <c r="AD135" s="173"/>
      <c r="AE135" s="173"/>
      <c r="AF135" s="173"/>
      <c r="AG135" s="173"/>
      <c r="AH135" s="173" t="s">
        <v>4393</v>
      </c>
      <c r="AI135" s="173">
        <v>2005</v>
      </c>
      <c r="AJ135" s="32" t="s">
        <v>1573</v>
      </c>
      <c r="AS135">
        <v>0</v>
      </c>
      <c r="AT135">
        <v>0</v>
      </c>
      <c r="AU135">
        <v>0</v>
      </c>
      <c r="AV135">
        <v>0</v>
      </c>
      <c r="AW135">
        <v>0</v>
      </c>
      <c r="AX135">
        <v>0</v>
      </c>
      <c r="BA135" t="s">
        <v>5479</v>
      </c>
      <c r="BD135" t="s">
        <v>5480</v>
      </c>
    </row>
    <row r="136" spans="1:56" ht="75" x14ac:dyDescent="0.25">
      <c r="A136" s="173" t="s">
        <v>993</v>
      </c>
      <c r="B136" s="173" t="s">
        <v>1577</v>
      </c>
      <c r="C136" s="173"/>
      <c r="D136" s="173"/>
      <c r="E136" s="173"/>
      <c r="F136" s="173" t="s">
        <v>5481</v>
      </c>
      <c r="G136" s="173" t="s">
        <v>5482</v>
      </c>
      <c r="H136" s="173"/>
      <c r="I136" s="173"/>
      <c r="J136" s="173" t="s">
        <v>1575</v>
      </c>
      <c r="K136" s="173"/>
      <c r="L136" s="173"/>
      <c r="M136" s="173"/>
      <c r="N136" s="173"/>
      <c r="O136" s="173"/>
      <c r="P136" s="173"/>
      <c r="Q136" s="173"/>
      <c r="R136" s="173" t="s">
        <v>319</v>
      </c>
      <c r="S136" s="173"/>
      <c r="T136" s="173"/>
      <c r="U136" s="173"/>
      <c r="V136" s="173">
        <v>59</v>
      </c>
      <c r="W136" s="173">
        <v>2</v>
      </c>
      <c r="X136" s="173"/>
      <c r="Y136" s="173"/>
      <c r="Z136" s="173">
        <v>103</v>
      </c>
      <c r="AA136" s="173">
        <v>125</v>
      </c>
      <c r="AB136" s="173"/>
      <c r="AC136" s="173" t="s">
        <v>3139</v>
      </c>
      <c r="AD136" s="173"/>
      <c r="AE136" s="173"/>
      <c r="AF136" s="173"/>
      <c r="AG136" s="173"/>
      <c r="AH136" s="173" t="s">
        <v>3138</v>
      </c>
      <c r="AI136" s="173">
        <v>2010</v>
      </c>
      <c r="AJ136" s="32" t="s">
        <v>1576</v>
      </c>
      <c r="AS136">
        <v>18</v>
      </c>
      <c r="AT136">
        <v>0</v>
      </c>
      <c r="AU136">
        <v>0</v>
      </c>
      <c r="AV136">
        <v>0</v>
      </c>
      <c r="AW136">
        <v>0</v>
      </c>
      <c r="AX136">
        <v>18</v>
      </c>
      <c r="BA136" t="s">
        <v>5479</v>
      </c>
      <c r="BD136" t="s">
        <v>5483</v>
      </c>
    </row>
    <row r="137" spans="1:56" ht="150" x14ac:dyDescent="0.25">
      <c r="A137" s="173" t="s">
        <v>993</v>
      </c>
      <c r="B137" s="173" t="s">
        <v>1580</v>
      </c>
      <c r="C137" s="173"/>
      <c r="D137" s="173"/>
      <c r="E137" s="173"/>
      <c r="F137" s="173"/>
      <c r="G137" s="173"/>
      <c r="H137" s="173"/>
      <c r="I137" s="173"/>
      <c r="J137" s="173" t="s">
        <v>1578</v>
      </c>
      <c r="K137" s="173"/>
      <c r="L137" s="173"/>
      <c r="M137" s="173"/>
      <c r="N137" s="173"/>
      <c r="O137" s="173"/>
      <c r="P137" s="173"/>
      <c r="Q137" s="173"/>
      <c r="R137" s="173" t="s">
        <v>339</v>
      </c>
      <c r="S137" s="173"/>
      <c r="T137" s="173"/>
      <c r="U137" s="173"/>
      <c r="V137" s="173">
        <v>44</v>
      </c>
      <c r="W137" s="173">
        <v>3</v>
      </c>
      <c r="X137" s="173"/>
      <c r="Y137" s="173"/>
      <c r="Z137" s="173">
        <v>341</v>
      </c>
      <c r="AA137" s="173">
        <v>353</v>
      </c>
      <c r="AB137" s="173"/>
      <c r="AC137" s="173" t="s">
        <v>3306</v>
      </c>
      <c r="AD137" s="173"/>
      <c r="AE137" s="173"/>
      <c r="AF137" s="173"/>
      <c r="AG137" s="173"/>
      <c r="AH137" s="173">
        <v>41214</v>
      </c>
      <c r="AI137" s="173">
        <v>2012</v>
      </c>
      <c r="AJ137" s="32" t="s">
        <v>1579</v>
      </c>
      <c r="AS137">
        <v>13</v>
      </c>
      <c r="AT137">
        <v>0</v>
      </c>
      <c r="AU137">
        <v>0</v>
      </c>
      <c r="AV137">
        <v>0</v>
      </c>
      <c r="AW137">
        <v>0</v>
      </c>
      <c r="AX137">
        <v>13</v>
      </c>
      <c r="BA137" t="s">
        <v>5484</v>
      </c>
      <c r="BD137" t="s">
        <v>5485</v>
      </c>
    </row>
    <row r="138" spans="1:56" ht="105" x14ac:dyDescent="0.25">
      <c r="A138" s="173" t="s">
        <v>993</v>
      </c>
      <c r="B138" s="173" t="s">
        <v>1583</v>
      </c>
      <c r="C138" s="173"/>
      <c r="D138" s="173"/>
      <c r="E138" s="173"/>
      <c r="F138" s="173"/>
      <c r="G138" s="173"/>
      <c r="H138" s="173"/>
      <c r="I138" s="173"/>
      <c r="J138" s="173" t="s">
        <v>1581</v>
      </c>
      <c r="K138" s="173"/>
      <c r="L138" s="173"/>
      <c r="M138" s="173"/>
      <c r="N138" s="173"/>
      <c r="O138" s="173"/>
      <c r="P138" s="173"/>
      <c r="Q138" s="173"/>
      <c r="R138" s="173" t="s">
        <v>312</v>
      </c>
      <c r="S138" s="173"/>
      <c r="T138" s="173"/>
      <c r="U138" s="173"/>
      <c r="V138" s="173">
        <v>7</v>
      </c>
      <c r="W138" s="173">
        <v>3</v>
      </c>
      <c r="X138" s="173" t="s">
        <v>1948</v>
      </c>
      <c r="Y138" s="173"/>
      <c r="Z138" s="173">
        <v>185</v>
      </c>
      <c r="AA138" s="173">
        <v>202</v>
      </c>
      <c r="AB138" s="173"/>
      <c r="AC138" s="173" t="s">
        <v>4634</v>
      </c>
      <c r="AD138" s="173"/>
      <c r="AE138" s="173"/>
      <c r="AF138" s="173"/>
      <c r="AG138" s="173"/>
      <c r="AH138" s="173">
        <v>41153</v>
      </c>
      <c r="AI138" s="173">
        <v>2012</v>
      </c>
      <c r="AJ138" s="32" t="s">
        <v>1582</v>
      </c>
      <c r="AS138">
        <v>1</v>
      </c>
      <c r="AT138">
        <v>0</v>
      </c>
      <c r="AU138">
        <v>0</v>
      </c>
      <c r="AV138">
        <v>0</v>
      </c>
      <c r="AW138">
        <v>0</v>
      </c>
      <c r="AX138">
        <v>1</v>
      </c>
      <c r="BA138" t="s">
        <v>5486</v>
      </c>
      <c r="BD138" t="s">
        <v>5487</v>
      </c>
    </row>
    <row r="139" spans="1:56" ht="150" x14ac:dyDescent="0.25">
      <c r="A139" s="173" t="s">
        <v>993</v>
      </c>
      <c r="B139" s="173" t="s">
        <v>1586</v>
      </c>
      <c r="C139" s="173"/>
      <c r="D139" s="173"/>
      <c r="E139" s="173"/>
      <c r="F139" s="173"/>
      <c r="G139" s="173"/>
      <c r="H139" s="173"/>
      <c r="I139" s="173"/>
      <c r="J139" s="173" t="s">
        <v>1584</v>
      </c>
      <c r="K139" s="173"/>
      <c r="L139" s="173"/>
      <c r="M139" s="173"/>
      <c r="N139" s="173"/>
      <c r="O139" s="173"/>
      <c r="P139" s="173"/>
      <c r="Q139" s="173"/>
      <c r="R139" s="173" t="s">
        <v>312</v>
      </c>
      <c r="S139" s="173"/>
      <c r="T139" s="173"/>
      <c r="U139" s="173"/>
      <c r="V139" s="173">
        <v>13</v>
      </c>
      <c r="W139" s="173">
        <v>2</v>
      </c>
      <c r="X139" s="173"/>
      <c r="Y139" s="173"/>
      <c r="Z139" s="173">
        <v>311</v>
      </c>
      <c r="AA139" s="173">
        <v>325</v>
      </c>
      <c r="AB139" s="173"/>
      <c r="AC139" s="173" t="s">
        <v>4723</v>
      </c>
      <c r="AD139" s="173"/>
      <c r="AE139" s="173"/>
      <c r="AF139" s="173"/>
      <c r="AG139" s="173"/>
      <c r="AH139" s="173">
        <v>42887</v>
      </c>
      <c r="AI139" s="173">
        <v>2017</v>
      </c>
      <c r="AJ139" s="32" t="s">
        <v>1585</v>
      </c>
      <c r="AS139">
        <v>2</v>
      </c>
      <c r="AT139">
        <v>0</v>
      </c>
      <c r="AU139">
        <v>0</v>
      </c>
      <c r="AV139">
        <v>0</v>
      </c>
      <c r="AW139">
        <v>0</v>
      </c>
      <c r="AX139">
        <v>2</v>
      </c>
      <c r="BA139" t="s">
        <v>5486</v>
      </c>
      <c r="BB139" t="s">
        <v>5488</v>
      </c>
      <c r="BD139" t="s">
        <v>5489</v>
      </c>
    </row>
    <row r="140" spans="1:56" ht="150" x14ac:dyDescent="0.25">
      <c r="A140" s="173" t="s">
        <v>993</v>
      </c>
      <c r="B140" s="173" t="s">
        <v>1589</v>
      </c>
      <c r="C140" s="173"/>
      <c r="D140" s="173"/>
      <c r="E140" s="173"/>
      <c r="F140" s="173" t="s">
        <v>5490</v>
      </c>
      <c r="G140" s="173" t="s">
        <v>5491</v>
      </c>
      <c r="H140" s="173"/>
      <c r="I140" s="173"/>
      <c r="J140" s="173" t="s">
        <v>1587</v>
      </c>
      <c r="K140" s="173"/>
      <c r="L140" s="173"/>
      <c r="M140" s="173"/>
      <c r="N140" s="173"/>
      <c r="O140" s="173"/>
      <c r="P140" s="173"/>
      <c r="Q140" s="173"/>
      <c r="R140" s="173" t="s">
        <v>312</v>
      </c>
      <c r="S140" s="173"/>
      <c r="T140" s="173"/>
      <c r="U140" s="173"/>
      <c r="V140" s="173">
        <v>3</v>
      </c>
      <c r="W140" s="173">
        <v>3</v>
      </c>
      <c r="X140" s="173"/>
      <c r="Y140" s="173"/>
      <c r="Z140" s="173">
        <v>163</v>
      </c>
      <c r="AA140" s="173">
        <v>176</v>
      </c>
      <c r="AB140" s="173"/>
      <c r="AC140" s="173" t="s">
        <v>3114</v>
      </c>
      <c r="AD140" s="173"/>
      <c r="AE140" s="173"/>
      <c r="AF140" s="173"/>
      <c r="AG140" s="173"/>
      <c r="AH140" s="173">
        <v>39692</v>
      </c>
      <c r="AI140" s="173">
        <v>2008</v>
      </c>
      <c r="AJ140" s="32" t="s">
        <v>1588</v>
      </c>
      <c r="AS140">
        <v>19</v>
      </c>
      <c r="AT140">
        <v>0</v>
      </c>
      <c r="AU140">
        <v>0</v>
      </c>
      <c r="AV140">
        <v>0</v>
      </c>
      <c r="AW140">
        <v>0</v>
      </c>
      <c r="AX140">
        <v>19</v>
      </c>
      <c r="BA140" t="s">
        <v>5486</v>
      </c>
      <c r="BD140" t="s">
        <v>5492</v>
      </c>
    </row>
    <row r="141" spans="1:56" ht="150" x14ac:dyDescent="0.25">
      <c r="A141" s="173" t="s">
        <v>993</v>
      </c>
      <c r="B141" s="173" t="s">
        <v>1592</v>
      </c>
      <c r="C141" s="173"/>
      <c r="D141" s="173"/>
      <c r="E141" s="173"/>
      <c r="F141" s="173" t="s">
        <v>5493</v>
      </c>
      <c r="G141" s="173" t="s">
        <v>5494</v>
      </c>
      <c r="H141" s="173"/>
      <c r="I141" s="173"/>
      <c r="J141" s="173" t="s">
        <v>1590</v>
      </c>
      <c r="K141" s="173"/>
      <c r="L141" s="173"/>
      <c r="M141" s="173"/>
      <c r="N141" s="173"/>
      <c r="O141" s="173"/>
      <c r="P141" s="173"/>
      <c r="Q141" s="173"/>
      <c r="R141" s="173" t="s">
        <v>312</v>
      </c>
      <c r="S141" s="173"/>
      <c r="T141" s="173"/>
      <c r="U141" s="173"/>
      <c r="V141" s="173">
        <v>10</v>
      </c>
      <c r="W141" s="173">
        <v>4</v>
      </c>
      <c r="X141" s="173"/>
      <c r="Y141" s="173"/>
      <c r="Z141" s="173">
        <v>647</v>
      </c>
      <c r="AA141" s="173">
        <v>666</v>
      </c>
      <c r="AB141" s="173"/>
      <c r="AC141" s="173" t="s">
        <v>4885</v>
      </c>
      <c r="AD141" s="173"/>
      <c r="AE141" s="173"/>
      <c r="AF141" s="173"/>
      <c r="AG141" s="173"/>
      <c r="AH141" s="173" t="s">
        <v>2393</v>
      </c>
      <c r="AI141" s="173">
        <v>2015</v>
      </c>
      <c r="AJ141" s="32" t="s">
        <v>1591</v>
      </c>
      <c r="AS141">
        <v>3</v>
      </c>
      <c r="AT141">
        <v>0</v>
      </c>
      <c r="AU141">
        <v>0</v>
      </c>
      <c r="AV141">
        <v>0</v>
      </c>
      <c r="AW141">
        <v>0</v>
      </c>
      <c r="AX141">
        <v>3</v>
      </c>
      <c r="BA141" t="s">
        <v>5486</v>
      </c>
      <c r="BB141" t="s">
        <v>5488</v>
      </c>
      <c r="BD141" t="s">
        <v>5495</v>
      </c>
    </row>
    <row r="142" spans="1:56" ht="165" x14ac:dyDescent="0.25">
      <c r="A142" s="173" t="s">
        <v>993</v>
      </c>
      <c r="B142" s="173" t="s">
        <v>1157</v>
      </c>
      <c r="C142" s="173"/>
      <c r="D142" s="173"/>
      <c r="E142" s="173"/>
      <c r="F142" s="173"/>
      <c r="G142" s="173"/>
      <c r="H142" s="173"/>
      <c r="I142" s="173"/>
      <c r="J142" s="173" t="s">
        <v>1155</v>
      </c>
      <c r="K142" s="173"/>
      <c r="L142" s="173"/>
      <c r="M142" s="173"/>
      <c r="N142" s="173"/>
      <c r="O142" s="173"/>
      <c r="P142" s="173"/>
      <c r="Q142" s="173"/>
      <c r="R142" s="173" t="s">
        <v>312</v>
      </c>
      <c r="S142" s="173"/>
      <c r="T142" s="173"/>
      <c r="U142" s="173"/>
      <c r="V142" s="173">
        <v>13</v>
      </c>
      <c r="W142" s="173">
        <v>2</v>
      </c>
      <c r="X142" s="173"/>
      <c r="Y142" s="173"/>
      <c r="Z142" s="173">
        <v>397</v>
      </c>
      <c r="AA142" s="173">
        <v>414</v>
      </c>
      <c r="AB142" s="173"/>
      <c r="AC142" s="173" t="s">
        <v>4727</v>
      </c>
      <c r="AD142" s="173"/>
      <c r="AE142" s="173"/>
      <c r="AF142" s="173"/>
      <c r="AG142" s="173"/>
      <c r="AH142" s="173">
        <v>42887</v>
      </c>
      <c r="AI142" s="173">
        <v>2017</v>
      </c>
      <c r="AJ142" s="32" t="s">
        <v>1156</v>
      </c>
      <c r="AS142">
        <v>2</v>
      </c>
      <c r="AT142">
        <v>0</v>
      </c>
      <c r="AU142">
        <v>0</v>
      </c>
      <c r="AV142">
        <v>0</v>
      </c>
      <c r="AW142">
        <v>0</v>
      </c>
      <c r="AX142">
        <v>2</v>
      </c>
      <c r="BA142" t="s">
        <v>5486</v>
      </c>
      <c r="BB142" t="s">
        <v>5488</v>
      </c>
      <c r="BD142" t="s">
        <v>5496</v>
      </c>
    </row>
    <row r="143" spans="1:56" ht="135" x14ac:dyDescent="0.25">
      <c r="A143" s="173" t="s">
        <v>993</v>
      </c>
      <c r="B143" s="173" t="s">
        <v>1595</v>
      </c>
      <c r="C143" s="173"/>
      <c r="D143" s="173"/>
      <c r="E143" s="173"/>
      <c r="F143" s="173"/>
      <c r="G143" s="173" t="s">
        <v>5497</v>
      </c>
      <c r="H143" s="173"/>
      <c r="I143" s="173"/>
      <c r="J143" s="173" t="s">
        <v>1593</v>
      </c>
      <c r="K143" s="173"/>
      <c r="L143" s="173"/>
      <c r="M143" s="173"/>
      <c r="N143" s="173"/>
      <c r="O143" s="173"/>
      <c r="P143" s="173"/>
      <c r="Q143" s="173"/>
      <c r="R143" s="173" t="s">
        <v>312</v>
      </c>
      <c r="S143" s="173"/>
      <c r="T143" s="173"/>
      <c r="U143" s="173"/>
      <c r="V143" s="173">
        <v>11</v>
      </c>
      <c r="W143" s="173">
        <v>1</v>
      </c>
      <c r="X143" s="173"/>
      <c r="Y143" s="173"/>
      <c r="Z143" s="173">
        <v>111</v>
      </c>
      <c r="AA143" s="173">
        <v>125</v>
      </c>
      <c r="AB143" s="173"/>
      <c r="AC143" s="173" t="s">
        <v>3509</v>
      </c>
      <c r="AD143" s="173"/>
      <c r="AE143" s="173"/>
      <c r="AF143" s="173"/>
      <c r="AG143" s="173"/>
      <c r="AH143" s="173" t="s">
        <v>3508</v>
      </c>
      <c r="AI143" s="173">
        <v>2016</v>
      </c>
      <c r="AJ143" s="32" t="s">
        <v>1594</v>
      </c>
      <c r="AS143">
        <v>8</v>
      </c>
      <c r="AT143">
        <v>1</v>
      </c>
      <c r="AU143">
        <v>0</v>
      </c>
      <c r="AV143">
        <v>1</v>
      </c>
      <c r="AW143">
        <v>0</v>
      </c>
      <c r="AX143">
        <v>9</v>
      </c>
      <c r="BA143" t="s">
        <v>5486</v>
      </c>
      <c r="BB143" t="s">
        <v>5488</v>
      </c>
      <c r="BD143" t="s">
        <v>5498</v>
      </c>
    </row>
    <row r="144" spans="1:56" ht="90" x14ac:dyDescent="0.25">
      <c r="A144" s="173" t="s">
        <v>993</v>
      </c>
      <c r="B144" s="173" t="s">
        <v>1803</v>
      </c>
      <c r="C144" s="173"/>
      <c r="D144" s="173"/>
      <c r="E144" s="173"/>
      <c r="F144" s="173"/>
      <c r="G144" s="173" t="s">
        <v>5499</v>
      </c>
      <c r="H144" s="173"/>
      <c r="I144" s="173"/>
      <c r="J144" s="173" t="s">
        <v>1801</v>
      </c>
      <c r="K144" s="173"/>
      <c r="L144" s="173"/>
      <c r="M144" s="173"/>
      <c r="N144" s="173"/>
      <c r="O144" s="173"/>
      <c r="P144" s="173"/>
      <c r="Q144" s="173"/>
      <c r="R144" s="173" t="s">
        <v>312</v>
      </c>
      <c r="S144" s="173"/>
      <c r="T144" s="173"/>
      <c r="U144" s="173"/>
      <c r="V144" s="173">
        <v>5</v>
      </c>
      <c r="W144" s="173">
        <v>4</v>
      </c>
      <c r="X144" s="173" t="s">
        <v>1948</v>
      </c>
      <c r="Y144" s="173"/>
      <c r="Z144" s="173">
        <v>231</v>
      </c>
      <c r="AA144" s="173">
        <v>244</v>
      </c>
      <c r="AB144" s="173"/>
      <c r="AC144" s="173" t="s">
        <v>3722</v>
      </c>
      <c r="AD144" s="173"/>
      <c r="AE144" s="173"/>
      <c r="AF144" s="173"/>
      <c r="AG144" s="173"/>
      <c r="AH144" s="173" t="s">
        <v>2404</v>
      </c>
      <c r="AI144" s="173">
        <v>2010</v>
      </c>
      <c r="AJ144" s="32" t="s">
        <v>1802</v>
      </c>
      <c r="AS144">
        <v>6</v>
      </c>
      <c r="AT144">
        <v>0</v>
      </c>
      <c r="AU144">
        <v>0</v>
      </c>
      <c r="AV144">
        <v>0</v>
      </c>
      <c r="AW144">
        <v>0</v>
      </c>
      <c r="AX144">
        <v>6</v>
      </c>
      <c r="BA144" t="s">
        <v>5486</v>
      </c>
      <c r="BB144" t="s">
        <v>5488</v>
      </c>
      <c r="BD144" t="s">
        <v>5500</v>
      </c>
    </row>
    <row r="145" spans="1:57" ht="150" x14ac:dyDescent="0.25">
      <c r="A145" s="173" t="s">
        <v>993</v>
      </c>
      <c r="B145" s="173" t="s">
        <v>1166</v>
      </c>
      <c r="C145" s="173"/>
      <c r="D145" s="173"/>
      <c r="E145" s="173"/>
      <c r="F145" s="173"/>
      <c r="G145" s="173"/>
      <c r="H145" s="173"/>
      <c r="I145" s="173"/>
      <c r="J145" s="173" t="s">
        <v>1164</v>
      </c>
      <c r="K145" s="173"/>
      <c r="L145" s="173"/>
      <c r="M145" s="173"/>
      <c r="N145" s="173"/>
      <c r="O145" s="173"/>
      <c r="P145" s="173"/>
      <c r="Q145" s="173"/>
      <c r="R145" s="173" t="s">
        <v>315</v>
      </c>
      <c r="S145" s="173"/>
      <c r="T145" s="173"/>
      <c r="U145" s="173"/>
      <c r="V145" s="173">
        <v>19</v>
      </c>
      <c r="W145" s="173">
        <v>43621</v>
      </c>
      <c r="X145" s="173"/>
      <c r="Y145" s="173"/>
      <c r="Z145" s="173">
        <v>279</v>
      </c>
      <c r="AA145" s="173">
        <v>290</v>
      </c>
      <c r="AB145" s="173"/>
      <c r="AC145" s="173" t="s">
        <v>2690</v>
      </c>
      <c r="AD145" s="173"/>
      <c r="AE145" s="173"/>
      <c r="AF145" s="173"/>
      <c r="AG145" s="173"/>
      <c r="AH145" s="173">
        <v>39722</v>
      </c>
      <c r="AI145" s="173">
        <v>2008</v>
      </c>
      <c r="AJ145" s="32" t="s">
        <v>1165</v>
      </c>
      <c r="AS145">
        <v>56</v>
      </c>
      <c r="AT145">
        <v>3</v>
      </c>
      <c r="AU145">
        <v>1</v>
      </c>
      <c r="AV145">
        <v>2</v>
      </c>
      <c r="AW145">
        <v>0</v>
      </c>
      <c r="AX145">
        <v>60</v>
      </c>
      <c r="BA145" t="s">
        <v>5501</v>
      </c>
      <c r="BD145" t="s">
        <v>5502</v>
      </c>
    </row>
    <row r="146" spans="1:57" ht="150" x14ac:dyDescent="0.25">
      <c r="A146" s="173" t="s">
        <v>993</v>
      </c>
      <c r="B146" s="173" t="s">
        <v>1598</v>
      </c>
      <c r="C146" s="173"/>
      <c r="D146" s="173"/>
      <c r="E146" s="173"/>
      <c r="F146" s="173"/>
      <c r="G146" s="173"/>
      <c r="H146" s="173"/>
      <c r="I146" s="173"/>
      <c r="J146" s="173" t="s">
        <v>1596</v>
      </c>
      <c r="K146" s="173"/>
      <c r="L146" s="173"/>
      <c r="M146" s="173"/>
      <c r="N146" s="173"/>
      <c r="O146" s="173"/>
      <c r="P146" s="173"/>
      <c r="Q146" s="173"/>
      <c r="R146" s="173" t="s">
        <v>315</v>
      </c>
      <c r="S146" s="173"/>
      <c r="T146" s="173"/>
      <c r="U146" s="173"/>
      <c r="V146" s="173">
        <v>28</v>
      </c>
      <c r="W146" s="173">
        <v>43558</v>
      </c>
      <c r="X146" s="173"/>
      <c r="Y146" s="173"/>
      <c r="Z146" s="173">
        <v>361</v>
      </c>
      <c r="AA146" s="173">
        <v>371</v>
      </c>
      <c r="AB146" s="173"/>
      <c r="AC146" s="173" t="s">
        <v>3680</v>
      </c>
      <c r="AD146" s="173"/>
      <c r="AE146" s="173"/>
      <c r="AF146" s="173"/>
      <c r="AG146" s="173"/>
      <c r="AH146" s="173">
        <v>42856</v>
      </c>
      <c r="AI146" s="173">
        <v>2017</v>
      </c>
      <c r="AJ146" s="32" t="s">
        <v>1597</v>
      </c>
      <c r="AS146">
        <v>6</v>
      </c>
      <c r="AT146">
        <v>0</v>
      </c>
      <c r="AU146">
        <v>0</v>
      </c>
      <c r="AV146">
        <v>0</v>
      </c>
      <c r="AW146">
        <v>0</v>
      </c>
      <c r="AX146">
        <v>6</v>
      </c>
      <c r="BA146" t="s">
        <v>5501</v>
      </c>
      <c r="BB146" t="s">
        <v>5503</v>
      </c>
      <c r="BD146" t="s">
        <v>5504</v>
      </c>
    </row>
    <row r="147" spans="1:57" ht="120" x14ac:dyDescent="0.25">
      <c r="A147" s="173" t="s">
        <v>993</v>
      </c>
      <c r="B147" s="173" t="s">
        <v>1601</v>
      </c>
      <c r="C147" s="173"/>
      <c r="D147" s="173"/>
      <c r="E147" s="173"/>
      <c r="F147" s="173"/>
      <c r="G147" s="173"/>
      <c r="H147" s="173"/>
      <c r="I147" s="173"/>
      <c r="J147" s="173" t="s">
        <v>1599</v>
      </c>
      <c r="K147" s="173"/>
      <c r="L147" s="173"/>
      <c r="M147" s="173"/>
      <c r="N147" s="173"/>
      <c r="O147" s="173"/>
      <c r="P147" s="173"/>
      <c r="Q147" s="173"/>
      <c r="R147" s="173" t="s">
        <v>315</v>
      </c>
      <c r="S147" s="173"/>
      <c r="T147" s="173"/>
      <c r="U147" s="173"/>
      <c r="V147" s="173">
        <v>24</v>
      </c>
      <c r="W147" s="173">
        <v>3</v>
      </c>
      <c r="X147" s="173"/>
      <c r="Y147" s="173"/>
      <c r="Z147" s="173">
        <v>579</v>
      </c>
      <c r="AA147" s="173">
        <v>605</v>
      </c>
      <c r="AB147" s="173"/>
      <c r="AC147" s="173" t="s">
        <v>4769</v>
      </c>
      <c r="AD147" s="173"/>
      <c r="AE147" s="173"/>
      <c r="AF147" s="173"/>
      <c r="AG147" s="173"/>
      <c r="AH147" s="173" t="s">
        <v>2964</v>
      </c>
      <c r="AI147" s="173">
        <v>2013</v>
      </c>
      <c r="AJ147" s="32" t="s">
        <v>1600</v>
      </c>
      <c r="AS147">
        <v>2</v>
      </c>
      <c r="AT147">
        <v>0</v>
      </c>
      <c r="AU147">
        <v>0</v>
      </c>
      <c r="AV147">
        <v>0</v>
      </c>
      <c r="AW147">
        <v>0</v>
      </c>
      <c r="AX147">
        <v>2</v>
      </c>
      <c r="BA147" t="s">
        <v>5501</v>
      </c>
      <c r="BD147" t="s">
        <v>5505</v>
      </c>
    </row>
    <row r="148" spans="1:57" ht="105" x14ac:dyDescent="0.25">
      <c r="A148" s="173" t="s">
        <v>993</v>
      </c>
      <c r="B148" s="173" t="s">
        <v>1604</v>
      </c>
      <c r="C148" s="173"/>
      <c r="D148" s="173"/>
      <c r="E148" s="173"/>
      <c r="F148" s="173"/>
      <c r="G148" s="173"/>
      <c r="H148" s="173"/>
      <c r="I148" s="173"/>
      <c r="J148" s="173" t="s">
        <v>1602</v>
      </c>
      <c r="K148" s="173"/>
      <c r="L148" s="173"/>
      <c r="M148" s="173"/>
      <c r="N148" s="173"/>
      <c r="O148" s="173"/>
      <c r="P148" s="173"/>
      <c r="Q148" s="173"/>
      <c r="R148" s="173" t="s">
        <v>315</v>
      </c>
      <c r="S148" s="173"/>
      <c r="T148" s="173"/>
      <c r="U148" s="173"/>
      <c r="V148" s="173">
        <v>16</v>
      </c>
      <c r="W148" s="173">
        <v>1</v>
      </c>
      <c r="X148" s="173"/>
      <c r="Y148" s="173"/>
      <c r="Z148" s="173">
        <v>59</v>
      </c>
      <c r="AA148" s="173">
        <v>63</v>
      </c>
      <c r="AB148" s="173"/>
      <c r="AC148" s="173" t="s">
        <v>3646</v>
      </c>
      <c r="AD148" s="173"/>
      <c r="AE148" s="173"/>
      <c r="AF148" s="173"/>
      <c r="AG148" s="173"/>
      <c r="AH148" s="173" t="s">
        <v>3645</v>
      </c>
      <c r="AI148" s="173">
        <v>2004</v>
      </c>
      <c r="AJ148" s="32" t="s">
        <v>1603</v>
      </c>
      <c r="AO148" t="s">
        <v>5506</v>
      </c>
      <c r="AP148" t="s">
        <v>5507</v>
      </c>
      <c r="AQ148" t="s">
        <v>5508</v>
      </c>
      <c r="AR148" t="s">
        <v>5509</v>
      </c>
      <c r="AS148">
        <v>7</v>
      </c>
      <c r="AT148">
        <v>0</v>
      </c>
      <c r="AU148">
        <v>0</v>
      </c>
      <c r="AV148">
        <v>0</v>
      </c>
      <c r="AW148">
        <v>0</v>
      </c>
      <c r="AX148">
        <v>7</v>
      </c>
      <c r="BA148" t="s">
        <v>5501</v>
      </c>
      <c r="BD148" t="s">
        <v>5510</v>
      </c>
    </row>
    <row r="149" spans="1:57" ht="150" x14ac:dyDescent="0.25">
      <c r="A149" s="173" t="s">
        <v>993</v>
      </c>
      <c r="B149" s="173" t="s">
        <v>1607</v>
      </c>
      <c r="C149" s="173"/>
      <c r="D149" s="173"/>
      <c r="E149" s="173"/>
      <c r="F149" s="173"/>
      <c r="G149" s="173"/>
      <c r="H149" s="173"/>
      <c r="I149" s="173"/>
      <c r="J149" s="173" t="s">
        <v>1605</v>
      </c>
      <c r="K149" s="173"/>
      <c r="L149" s="173"/>
      <c r="M149" s="173"/>
      <c r="N149" s="173"/>
      <c r="O149" s="173"/>
      <c r="P149" s="173"/>
      <c r="Q149" s="173"/>
      <c r="R149" s="173" t="s">
        <v>315</v>
      </c>
      <c r="S149" s="173"/>
      <c r="T149" s="173"/>
      <c r="U149" s="173"/>
      <c r="V149" s="173">
        <v>14</v>
      </c>
      <c r="W149" s="173">
        <v>4</v>
      </c>
      <c r="X149" s="173"/>
      <c r="Y149" s="173"/>
      <c r="Z149" s="173">
        <v>210</v>
      </c>
      <c r="AA149" s="173">
        <v>214</v>
      </c>
      <c r="AB149" s="173"/>
      <c r="AC149" s="173" t="s">
        <v>3277</v>
      </c>
      <c r="AD149" s="173"/>
      <c r="AE149" s="173"/>
      <c r="AF149" s="173"/>
      <c r="AG149" s="173"/>
      <c r="AH149" s="173">
        <v>37865</v>
      </c>
      <c r="AI149" s="173">
        <v>2003</v>
      </c>
      <c r="AJ149" s="32" t="s">
        <v>1606</v>
      </c>
      <c r="AS149">
        <v>14</v>
      </c>
      <c r="AT149">
        <v>0</v>
      </c>
      <c r="AU149">
        <v>0</v>
      </c>
      <c r="AV149">
        <v>0</v>
      </c>
      <c r="AW149">
        <v>1</v>
      </c>
      <c r="AX149">
        <v>14</v>
      </c>
      <c r="BA149" t="s">
        <v>5501</v>
      </c>
      <c r="BB149" t="s">
        <v>5503</v>
      </c>
      <c r="BD149" t="s">
        <v>5511</v>
      </c>
    </row>
    <row r="150" spans="1:57" ht="150" x14ac:dyDescent="0.25">
      <c r="A150" s="173" t="s">
        <v>993</v>
      </c>
      <c r="B150" s="173" t="s">
        <v>1610</v>
      </c>
      <c r="C150" s="173"/>
      <c r="D150" s="173"/>
      <c r="E150" s="173"/>
      <c r="F150" s="173"/>
      <c r="G150" s="173" t="s">
        <v>5512</v>
      </c>
      <c r="H150" s="173"/>
      <c r="I150" s="173"/>
      <c r="J150" s="173" t="s">
        <v>1608</v>
      </c>
      <c r="K150" s="173"/>
      <c r="L150" s="173"/>
      <c r="M150" s="173"/>
      <c r="N150" s="173"/>
      <c r="O150" s="173"/>
      <c r="P150" s="173"/>
      <c r="Q150" s="173"/>
      <c r="R150" s="173" t="s">
        <v>315</v>
      </c>
      <c r="S150" s="173"/>
      <c r="T150" s="173"/>
      <c r="U150" s="173"/>
      <c r="V150" s="173">
        <v>19</v>
      </c>
      <c r="W150" s="173">
        <v>43621</v>
      </c>
      <c r="X150" s="173"/>
      <c r="Y150" s="173"/>
      <c r="Z150" s="173">
        <v>329</v>
      </c>
      <c r="AA150" s="173">
        <v>343</v>
      </c>
      <c r="AB150" s="173"/>
      <c r="AC150" s="173" t="s">
        <v>5513</v>
      </c>
      <c r="AD150" s="173"/>
      <c r="AE150" s="173"/>
      <c r="AF150" s="173"/>
      <c r="AG150" s="173"/>
      <c r="AH150" s="173">
        <v>39722</v>
      </c>
      <c r="AI150" s="173">
        <v>2008</v>
      </c>
      <c r="AJ150" s="32" t="s">
        <v>1609</v>
      </c>
      <c r="AS150">
        <v>68</v>
      </c>
      <c r="AT150">
        <v>0</v>
      </c>
      <c r="AU150">
        <v>0</v>
      </c>
      <c r="AV150">
        <v>2</v>
      </c>
      <c r="AW150">
        <v>0</v>
      </c>
      <c r="AX150">
        <v>68</v>
      </c>
      <c r="BA150" t="s">
        <v>5501</v>
      </c>
      <c r="BB150" t="s">
        <v>5503</v>
      </c>
      <c r="BD150" t="s">
        <v>5514</v>
      </c>
    </row>
    <row r="151" spans="1:57" ht="90" x14ac:dyDescent="0.25">
      <c r="A151" s="173" t="s">
        <v>1172</v>
      </c>
      <c r="B151" s="173" t="s">
        <v>1613</v>
      </c>
      <c r="C151" s="173"/>
      <c r="D151" s="173"/>
      <c r="E151" s="173"/>
      <c r="F151" s="173" t="s">
        <v>5515</v>
      </c>
      <c r="G151" s="173" t="s">
        <v>5516</v>
      </c>
      <c r="H151" s="173" t="s">
        <v>4658</v>
      </c>
      <c r="I151" s="173"/>
      <c r="J151" s="173" t="s">
        <v>1611</v>
      </c>
      <c r="K151" s="173"/>
      <c r="L151" s="173"/>
      <c r="M151" s="173"/>
      <c r="N151" s="173"/>
      <c r="O151" s="173"/>
      <c r="P151" s="173"/>
      <c r="Q151" s="173"/>
      <c r="R151" s="173" t="s">
        <v>340</v>
      </c>
      <c r="S151" s="173"/>
      <c r="T151" s="173" t="s">
        <v>5517</v>
      </c>
      <c r="U151" s="173"/>
      <c r="V151" s="173">
        <v>3789</v>
      </c>
      <c r="W151" s="173"/>
      <c r="X151" s="173"/>
      <c r="Y151" s="173"/>
      <c r="Z151" s="173">
        <v>318</v>
      </c>
      <c r="AA151" s="173">
        <v>327</v>
      </c>
      <c r="AB151" s="173"/>
      <c r="AC151" s="173"/>
      <c r="AD151" s="173"/>
      <c r="AE151" s="173"/>
      <c r="AF151" s="173"/>
      <c r="AG151" s="173"/>
      <c r="AH151" s="173">
        <v>2005</v>
      </c>
      <c r="AI151" s="173">
        <v>2005</v>
      </c>
      <c r="AJ151" s="32" t="s">
        <v>1612</v>
      </c>
      <c r="AO151" t="s">
        <v>5518</v>
      </c>
      <c r="AP151" t="s">
        <v>5519</v>
      </c>
      <c r="AR151" t="s">
        <v>5520</v>
      </c>
      <c r="AS151">
        <v>1</v>
      </c>
      <c r="AT151">
        <v>0</v>
      </c>
      <c r="AU151">
        <v>0</v>
      </c>
      <c r="AV151">
        <v>0</v>
      </c>
      <c r="AW151">
        <v>0</v>
      </c>
      <c r="AX151">
        <v>1</v>
      </c>
      <c r="BA151" t="s">
        <v>5175</v>
      </c>
      <c r="BB151" t="s">
        <v>5176</v>
      </c>
      <c r="BC151" t="s">
        <v>5521</v>
      </c>
      <c r="BD151" t="s">
        <v>5522</v>
      </c>
    </row>
    <row r="152" spans="1:57" ht="105" x14ac:dyDescent="0.25">
      <c r="A152" s="173" t="s">
        <v>993</v>
      </c>
      <c r="B152" s="173" t="s">
        <v>1616</v>
      </c>
      <c r="C152" s="173"/>
      <c r="D152" s="173"/>
      <c r="E152" s="173"/>
      <c r="F152" s="173"/>
      <c r="G152" s="173" t="s">
        <v>5523</v>
      </c>
      <c r="H152" s="173"/>
      <c r="I152" s="173"/>
      <c r="J152" s="173" t="s">
        <v>1614</v>
      </c>
      <c r="K152" s="173"/>
      <c r="L152" s="173"/>
      <c r="M152" s="173"/>
      <c r="N152" s="173"/>
      <c r="O152" s="173"/>
      <c r="P152" s="173"/>
      <c r="Q152" s="173"/>
      <c r="R152" s="173" t="s">
        <v>320</v>
      </c>
      <c r="S152" s="173"/>
      <c r="T152" s="173"/>
      <c r="U152" s="173"/>
      <c r="V152" s="173">
        <v>23</v>
      </c>
      <c r="W152" s="173">
        <v>9</v>
      </c>
      <c r="X152" s="173"/>
      <c r="Y152" s="173"/>
      <c r="Z152" s="173">
        <v>2289</v>
      </c>
      <c r="AA152" s="173">
        <v>2323</v>
      </c>
      <c r="AB152" s="173"/>
      <c r="AC152" s="173" t="s">
        <v>2861</v>
      </c>
      <c r="AD152" s="173"/>
      <c r="AE152" s="173"/>
      <c r="AF152" s="173"/>
      <c r="AG152" s="173"/>
      <c r="AH152" s="173">
        <v>40787</v>
      </c>
      <c r="AI152" s="173">
        <v>2011</v>
      </c>
      <c r="AJ152" s="32" t="s">
        <v>1615</v>
      </c>
      <c r="AS152">
        <v>32</v>
      </c>
      <c r="AT152">
        <v>2</v>
      </c>
      <c r="AU152">
        <v>0</v>
      </c>
      <c r="AV152">
        <v>8</v>
      </c>
      <c r="AW152">
        <v>0</v>
      </c>
      <c r="AX152">
        <v>34</v>
      </c>
      <c r="BA152" t="s">
        <v>5524</v>
      </c>
      <c r="BB152" t="s">
        <v>5525</v>
      </c>
      <c r="BD152" t="s">
        <v>5526</v>
      </c>
      <c r="BE152">
        <v>21671784</v>
      </c>
    </row>
    <row r="153" spans="1:57" ht="105" x14ac:dyDescent="0.25">
      <c r="A153" s="173" t="s">
        <v>993</v>
      </c>
      <c r="B153" s="173" t="s">
        <v>1619</v>
      </c>
      <c r="C153" s="173"/>
      <c r="D153" s="173"/>
      <c r="E153" s="173"/>
      <c r="F153" s="173" t="s">
        <v>5527</v>
      </c>
      <c r="G153" s="173" t="s">
        <v>5528</v>
      </c>
      <c r="H153" s="173"/>
      <c r="I153" s="173"/>
      <c r="J153" s="173" t="s">
        <v>1617</v>
      </c>
      <c r="K153" s="173"/>
      <c r="L153" s="173"/>
      <c r="M153" s="173"/>
      <c r="N153" s="173"/>
      <c r="O153" s="173"/>
      <c r="P153" s="173"/>
      <c r="Q153" s="173"/>
      <c r="R153" s="173" t="s">
        <v>320</v>
      </c>
      <c r="S153" s="173"/>
      <c r="T153" s="173"/>
      <c r="U153" s="173"/>
      <c r="V153" s="173">
        <v>23</v>
      </c>
      <c r="W153" s="173">
        <v>8</v>
      </c>
      <c r="X153" s="173"/>
      <c r="Y153" s="173"/>
      <c r="Z153" s="173">
        <v>2074</v>
      </c>
      <c r="AA153" s="173">
        <v>2100</v>
      </c>
      <c r="AB153" s="173"/>
      <c r="AC153" s="173" t="s">
        <v>2648</v>
      </c>
      <c r="AD153" s="173"/>
      <c r="AE153" s="173"/>
      <c r="AF153" s="173"/>
      <c r="AG153" s="173"/>
      <c r="AH153" s="173" t="s">
        <v>2647</v>
      </c>
      <c r="AI153" s="173">
        <v>2011</v>
      </c>
      <c r="AJ153" s="32" t="s">
        <v>1618</v>
      </c>
      <c r="AS153">
        <v>64</v>
      </c>
      <c r="AT153">
        <v>2</v>
      </c>
      <c r="AU153">
        <v>0</v>
      </c>
      <c r="AV153">
        <v>10</v>
      </c>
      <c r="AW153">
        <v>0</v>
      </c>
      <c r="AX153">
        <v>66</v>
      </c>
      <c r="BA153" t="s">
        <v>5524</v>
      </c>
      <c r="BB153" t="s">
        <v>5525</v>
      </c>
      <c r="BD153" t="s">
        <v>5529</v>
      </c>
    </row>
    <row r="154" spans="1:57" ht="210" x14ac:dyDescent="0.25">
      <c r="A154" s="173" t="s">
        <v>993</v>
      </c>
      <c r="B154" s="173" t="s">
        <v>1622</v>
      </c>
      <c r="C154" s="173"/>
      <c r="D154" s="173"/>
      <c r="E154" s="173"/>
      <c r="F154" s="173" t="s">
        <v>5530</v>
      </c>
      <c r="G154" s="173" t="s">
        <v>5531</v>
      </c>
      <c r="H154" s="173"/>
      <c r="I154" s="173"/>
      <c r="J154" s="173" t="s">
        <v>1620</v>
      </c>
      <c r="K154" s="173"/>
      <c r="L154" s="173"/>
      <c r="M154" s="173"/>
      <c r="N154" s="173"/>
      <c r="O154" s="173"/>
      <c r="P154" s="173"/>
      <c r="Q154" s="173"/>
      <c r="R154" s="173" t="s">
        <v>317</v>
      </c>
      <c r="S154" s="173"/>
      <c r="T154" s="173"/>
      <c r="U154" s="173"/>
      <c r="V154" s="173">
        <v>28</v>
      </c>
      <c r="W154" s="173"/>
      <c r="X154" s="173"/>
      <c r="Y154" s="173"/>
      <c r="Z154" s="173" t="s">
        <v>4843</v>
      </c>
      <c r="AA154" s="173" t="s">
        <v>4844</v>
      </c>
      <c r="AB154" s="173"/>
      <c r="AC154" s="173" t="s">
        <v>4845</v>
      </c>
      <c r="AD154" s="173"/>
      <c r="AE154" s="173"/>
      <c r="AF154" s="173"/>
      <c r="AG154" s="173">
        <v>1</v>
      </c>
      <c r="AH154" s="173" t="s">
        <v>3496</v>
      </c>
      <c r="AI154" s="173">
        <v>2017</v>
      </c>
      <c r="AJ154" s="32" t="s">
        <v>1621</v>
      </c>
      <c r="AS154">
        <v>3</v>
      </c>
      <c r="AT154">
        <v>0</v>
      </c>
      <c r="AU154">
        <v>0</v>
      </c>
      <c r="AV154">
        <v>0</v>
      </c>
      <c r="AW154">
        <v>0</v>
      </c>
      <c r="AX154">
        <v>3</v>
      </c>
      <c r="BA154" t="s">
        <v>5532</v>
      </c>
      <c r="BB154" t="s">
        <v>5533</v>
      </c>
      <c r="BD154" t="s">
        <v>5534</v>
      </c>
    </row>
    <row r="155" spans="1:57" ht="135" x14ac:dyDescent="0.25">
      <c r="A155" s="173" t="s">
        <v>993</v>
      </c>
      <c r="B155" s="173" t="s">
        <v>1625</v>
      </c>
      <c r="C155" s="173"/>
      <c r="D155" s="173"/>
      <c r="E155" s="173"/>
      <c r="F155" s="173"/>
      <c r="G155" s="173"/>
      <c r="H155" s="173"/>
      <c r="I155" s="173"/>
      <c r="J155" s="173" t="s">
        <v>1623</v>
      </c>
      <c r="K155" s="173"/>
      <c r="L155" s="173"/>
      <c r="M155" s="173"/>
      <c r="N155" s="173"/>
      <c r="O155" s="173"/>
      <c r="P155" s="173"/>
      <c r="Q155" s="173"/>
      <c r="R155" s="173" t="s">
        <v>317</v>
      </c>
      <c r="S155" s="173"/>
      <c r="T155" s="173"/>
      <c r="U155" s="173"/>
      <c r="V155" s="173">
        <v>28</v>
      </c>
      <c r="W155" s="173">
        <v>12</v>
      </c>
      <c r="X155" s="173"/>
      <c r="Y155" s="173"/>
      <c r="Z155" s="173">
        <v>3827</v>
      </c>
      <c r="AA155" s="173">
        <v>3835</v>
      </c>
      <c r="AB155" s="173"/>
      <c r="AC155" s="173" t="s">
        <v>4846</v>
      </c>
      <c r="AD155" s="173"/>
      <c r="AE155" s="173"/>
      <c r="AF155" s="173"/>
      <c r="AG155" s="173"/>
      <c r="AH155" s="173" t="s">
        <v>3496</v>
      </c>
      <c r="AI155" s="173">
        <v>2017</v>
      </c>
      <c r="AJ155" s="32" t="s">
        <v>1624</v>
      </c>
      <c r="AS155">
        <v>3</v>
      </c>
      <c r="AT155">
        <v>1</v>
      </c>
      <c r="AU155">
        <v>0</v>
      </c>
      <c r="AV155">
        <v>0</v>
      </c>
      <c r="AW155">
        <v>0</v>
      </c>
      <c r="AX155">
        <v>4</v>
      </c>
      <c r="BA155" t="s">
        <v>5532</v>
      </c>
      <c r="BB155" t="s">
        <v>5533</v>
      </c>
      <c r="BD155" t="s">
        <v>5535</v>
      </c>
    </row>
    <row r="156" spans="1:57" ht="105" x14ac:dyDescent="0.25">
      <c r="A156" s="173" t="s">
        <v>993</v>
      </c>
      <c r="B156" s="173" t="s">
        <v>1628</v>
      </c>
      <c r="C156" s="173"/>
      <c r="D156" s="173"/>
      <c r="E156" s="173"/>
      <c r="F156" s="173"/>
      <c r="G156" s="173"/>
      <c r="H156" s="173"/>
      <c r="I156" s="173"/>
      <c r="J156" s="173" t="s">
        <v>1626</v>
      </c>
      <c r="K156" s="173"/>
      <c r="L156" s="173"/>
      <c r="M156" s="173"/>
      <c r="N156" s="173"/>
      <c r="O156" s="173"/>
      <c r="P156" s="173"/>
      <c r="Q156" s="173"/>
      <c r="R156" s="173" t="s">
        <v>317</v>
      </c>
      <c r="S156" s="173"/>
      <c r="T156" s="173"/>
      <c r="U156" s="173"/>
      <c r="V156" s="173">
        <v>29</v>
      </c>
      <c r="W156" s="173">
        <v>12</v>
      </c>
      <c r="X156" s="173"/>
      <c r="Y156" s="173"/>
      <c r="Z156" s="173">
        <v>1485</v>
      </c>
      <c r="AA156" s="173">
        <v>1494</v>
      </c>
      <c r="AB156" s="173"/>
      <c r="AC156" s="173" t="s">
        <v>4117</v>
      </c>
      <c r="AD156" s="173"/>
      <c r="AE156" s="173"/>
      <c r="AF156" s="173"/>
      <c r="AG156" s="173"/>
      <c r="AH156" s="173">
        <v>43252</v>
      </c>
      <c r="AI156" s="173">
        <v>2018</v>
      </c>
      <c r="AJ156" s="32" t="s">
        <v>1627</v>
      </c>
      <c r="AS156">
        <v>0</v>
      </c>
      <c r="AT156">
        <v>0</v>
      </c>
      <c r="AU156">
        <v>0</v>
      </c>
      <c r="AV156">
        <v>0</v>
      </c>
      <c r="AW156">
        <v>0</v>
      </c>
      <c r="AX156">
        <v>0</v>
      </c>
      <c r="BA156" t="s">
        <v>5532</v>
      </c>
      <c r="BB156" t="s">
        <v>5533</v>
      </c>
      <c r="BD156" t="s">
        <v>5536</v>
      </c>
    </row>
    <row r="157" spans="1:57" ht="120" x14ac:dyDescent="0.25">
      <c r="A157" s="173" t="s">
        <v>993</v>
      </c>
      <c r="B157" s="173" t="s">
        <v>1631</v>
      </c>
      <c r="C157" s="173"/>
      <c r="D157" s="173"/>
      <c r="E157" s="173"/>
      <c r="F157" s="173" t="s">
        <v>5537</v>
      </c>
      <c r="G157" s="173" t="s">
        <v>5538</v>
      </c>
      <c r="H157" s="173"/>
      <c r="I157" s="173"/>
      <c r="J157" s="173" t="s">
        <v>1629</v>
      </c>
      <c r="K157" s="173"/>
      <c r="L157" s="173"/>
      <c r="M157" s="173"/>
      <c r="N157" s="173"/>
      <c r="O157" s="173"/>
      <c r="P157" s="173"/>
      <c r="Q157" s="173"/>
      <c r="R157" s="173" t="s">
        <v>341</v>
      </c>
      <c r="S157" s="173"/>
      <c r="T157" s="173"/>
      <c r="U157" s="173"/>
      <c r="V157" s="173">
        <v>15</v>
      </c>
      <c r="W157" s="173">
        <v>3</v>
      </c>
      <c r="X157" s="173"/>
      <c r="Y157" s="173"/>
      <c r="Z157" s="173">
        <v>243</v>
      </c>
      <c r="AA157" s="173">
        <v>255</v>
      </c>
      <c r="AB157" s="173"/>
      <c r="AC157" s="173"/>
      <c r="AD157" s="173"/>
      <c r="AE157" s="173"/>
      <c r="AF157" s="173"/>
      <c r="AG157" s="173"/>
      <c r="AH157" s="173">
        <v>2005</v>
      </c>
      <c r="AI157" s="173">
        <v>2005</v>
      </c>
      <c r="AJ157" s="32" t="s">
        <v>1630</v>
      </c>
      <c r="AS157">
        <v>8</v>
      </c>
      <c r="AT157">
        <v>0</v>
      </c>
      <c r="AU157">
        <v>0</v>
      </c>
      <c r="AV157">
        <v>1</v>
      </c>
      <c r="AW157">
        <v>0</v>
      </c>
      <c r="AX157">
        <v>8</v>
      </c>
      <c r="BA157" t="s">
        <v>5539</v>
      </c>
      <c r="BD157" t="s">
        <v>5540</v>
      </c>
    </row>
    <row r="158" spans="1:57" ht="90" x14ac:dyDescent="0.25">
      <c r="A158" s="173" t="s">
        <v>993</v>
      </c>
      <c r="B158" s="173" t="s">
        <v>1634</v>
      </c>
      <c r="C158" s="173"/>
      <c r="D158" s="173"/>
      <c r="E158" s="173"/>
      <c r="F158" s="173"/>
      <c r="G158" s="173" t="s">
        <v>5541</v>
      </c>
      <c r="H158" s="173"/>
      <c r="I158" s="173"/>
      <c r="J158" s="173" t="s">
        <v>1632</v>
      </c>
      <c r="K158" s="173"/>
      <c r="L158" s="173"/>
      <c r="M158" s="173"/>
      <c r="N158" s="173"/>
      <c r="O158" s="173"/>
      <c r="P158" s="173"/>
      <c r="Q158" s="173"/>
      <c r="R158" s="173" t="s">
        <v>342</v>
      </c>
      <c r="S158" s="173"/>
      <c r="T158" s="173"/>
      <c r="U158" s="173"/>
      <c r="V158" s="173">
        <v>21</v>
      </c>
      <c r="W158" s="173">
        <v>4</v>
      </c>
      <c r="X158" s="173"/>
      <c r="Y158" s="173"/>
      <c r="Z158" s="173">
        <v>562</v>
      </c>
      <c r="AA158" s="173">
        <v>576</v>
      </c>
      <c r="AB158" s="173"/>
      <c r="AC158" s="173" t="s">
        <v>2814</v>
      </c>
      <c r="AD158" s="173"/>
      <c r="AE158" s="173"/>
      <c r="AF158" s="173"/>
      <c r="AG158" s="173"/>
      <c r="AH158" s="173">
        <v>39569</v>
      </c>
      <c r="AI158" s="173">
        <v>2008</v>
      </c>
      <c r="AJ158" s="32" t="s">
        <v>1633</v>
      </c>
      <c r="AS158">
        <v>37</v>
      </c>
      <c r="AT158">
        <v>0</v>
      </c>
      <c r="AU158">
        <v>0</v>
      </c>
      <c r="AV158">
        <v>9</v>
      </c>
      <c r="AW158">
        <v>0</v>
      </c>
      <c r="AX158">
        <v>37</v>
      </c>
      <c r="BA158" t="s">
        <v>5542</v>
      </c>
      <c r="BB158" t="s">
        <v>5543</v>
      </c>
      <c r="BD158" t="s">
        <v>5544</v>
      </c>
      <c r="BE158">
        <v>18501555</v>
      </c>
    </row>
    <row r="159" spans="1:57" ht="165" x14ac:dyDescent="0.25">
      <c r="A159" s="173" t="s">
        <v>993</v>
      </c>
      <c r="B159" s="173" t="s">
        <v>1637</v>
      </c>
      <c r="C159" s="173"/>
      <c r="D159" s="173"/>
      <c r="E159" s="173"/>
      <c r="F159" s="173" t="s">
        <v>5545</v>
      </c>
      <c r="G159" s="173" t="s">
        <v>5546</v>
      </c>
      <c r="H159" s="173"/>
      <c r="I159" s="173"/>
      <c r="J159" s="173" t="s">
        <v>1635</v>
      </c>
      <c r="K159" s="173"/>
      <c r="L159" s="173"/>
      <c r="M159" s="173"/>
      <c r="N159" s="173"/>
      <c r="O159" s="173"/>
      <c r="P159" s="173"/>
      <c r="Q159" s="173"/>
      <c r="R159" s="173" t="s">
        <v>306</v>
      </c>
      <c r="S159" s="173"/>
      <c r="T159" s="173"/>
      <c r="U159" s="173"/>
      <c r="V159" s="173">
        <v>300</v>
      </c>
      <c r="W159" s="173"/>
      <c r="X159" s="173"/>
      <c r="Y159" s="173"/>
      <c r="Z159" s="173">
        <v>17</v>
      </c>
      <c r="AA159" s="173">
        <v>33</v>
      </c>
      <c r="AB159" s="173"/>
      <c r="AC159" s="173" t="s">
        <v>4833</v>
      </c>
      <c r="AD159" s="173"/>
      <c r="AE159" s="173"/>
      <c r="AF159" s="173"/>
      <c r="AG159" s="173"/>
      <c r="AH159" s="173" t="s">
        <v>4832</v>
      </c>
      <c r="AI159" s="173">
        <v>2018</v>
      </c>
      <c r="AJ159" s="32" t="s">
        <v>1636</v>
      </c>
      <c r="AS159">
        <v>3</v>
      </c>
      <c r="AT159">
        <v>0</v>
      </c>
      <c r="AU159">
        <v>0</v>
      </c>
      <c r="AV159">
        <v>0</v>
      </c>
      <c r="AW159">
        <v>0</v>
      </c>
      <c r="AX159">
        <v>3</v>
      </c>
      <c r="BA159" t="s">
        <v>5547</v>
      </c>
      <c r="BB159" t="s">
        <v>5548</v>
      </c>
      <c r="BD159" t="s">
        <v>5549</v>
      </c>
    </row>
    <row r="160" spans="1:57" ht="105" x14ac:dyDescent="0.25">
      <c r="A160" s="173" t="s">
        <v>993</v>
      </c>
      <c r="B160" s="173" t="s">
        <v>1640</v>
      </c>
      <c r="C160" s="173"/>
      <c r="D160" s="173"/>
      <c r="E160" s="173"/>
      <c r="F160" s="173"/>
      <c r="G160" s="173"/>
      <c r="H160" s="173"/>
      <c r="I160" s="173"/>
      <c r="J160" s="173" t="s">
        <v>1638</v>
      </c>
      <c r="K160" s="173"/>
      <c r="L160" s="173"/>
      <c r="M160" s="173"/>
      <c r="N160" s="173"/>
      <c r="O160" s="173"/>
      <c r="P160" s="173"/>
      <c r="Q160" s="173"/>
      <c r="R160" s="173" t="s">
        <v>306</v>
      </c>
      <c r="S160" s="173"/>
      <c r="T160" s="173"/>
      <c r="U160" s="173"/>
      <c r="V160" s="173">
        <v>187</v>
      </c>
      <c r="W160" s="173"/>
      <c r="X160" s="173" t="s">
        <v>1948</v>
      </c>
      <c r="Y160" s="173"/>
      <c r="Z160" s="173">
        <v>27</v>
      </c>
      <c r="AA160" s="173">
        <v>48</v>
      </c>
      <c r="AB160" s="173"/>
      <c r="AC160" s="173" t="s">
        <v>2501</v>
      </c>
      <c r="AD160" s="173"/>
      <c r="AE160" s="173"/>
      <c r="AF160" s="173"/>
      <c r="AG160" s="173"/>
      <c r="AH160" s="173" t="s">
        <v>2500</v>
      </c>
      <c r="AI160" s="173">
        <v>2016</v>
      </c>
      <c r="AJ160" s="32" t="s">
        <v>1639</v>
      </c>
      <c r="AS160">
        <v>183</v>
      </c>
      <c r="AT160">
        <v>0</v>
      </c>
      <c r="AU160">
        <v>0</v>
      </c>
      <c r="AV160">
        <v>12</v>
      </c>
      <c r="AW160">
        <v>0</v>
      </c>
      <c r="AX160">
        <v>183</v>
      </c>
      <c r="BA160" t="s">
        <v>5547</v>
      </c>
      <c r="BB160" t="s">
        <v>5548</v>
      </c>
      <c r="BD160" t="s">
        <v>5550</v>
      </c>
    </row>
    <row r="161" spans="1:56" ht="165" x14ac:dyDescent="0.25">
      <c r="A161" s="173" t="s">
        <v>993</v>
      </c>
      <c r="B161" s="173" t="s">
        <v>1643</v>
      </c>
      <c r="C161" s="173"/>
      <c r="D161" s="173"/>
      <c r="E161" s="173"/>
      <c r="F161" s="173" t="s">
        <v>5551</v>
      </c>
      <c r="G161" s="173" t="s">
        <v>5552</v>
      </c>
      <c r="H161" s="173"/>
      <c r="I161" s="173"/>
      <c r="J161" s="173" t="s">
        <v>1641</v>
      </c>
      <c r="K161" s="173"/>
      <c r="L161" s="173"/>
      <c r="M161" s="173"/>
      <c r="N161" s="173"/>
      <c r="O161" s="173"/>
      <c r="P161" s="173"/>
      <c r="Q161" s="173"/>
      <c r="R161" s="173" t="s">
        <v>306</v>
      </c>
      <c r="S161" s="173"/>
      <c r="T161" s="173"/>
      <c r="U161" s="173"/>
      <c r="V161" s="173">
        <v>71</v>
      </c>
      <c r="W161" s="173" t="s">
        <v>3038</v>
      </c>
      <c r="X161" s="173"/>
      <c r="Y161" s="173"/>
      <c r="Z161" s="173">
        <v>2937</v>
      </c>
      <c r="AA161" s="173">
        <v>2949</v>
      </c>
      <c r="AB161" s="173"/>
      <c r="AC161" s="173" t="s">
        <v>3547</v>
      </c>
      <c r="AD161" s="173"/>
      <c r="AE161" s="173"/>
      <c r="AF161" s="173"/>
      <c r="AG161" s="173"/>
      <c r="AH161" s="173" t="s">
        <v>2762</v>
      </c>
      <c r="AI161" s="173">
        <v>2008</v>
      </c>
      <c r="AJ161" s="32" t="s">
        <v>1642</v>
      </c>
      <c r="AS161">
        <v>8</v>
      </c>
      <c r="AT161">
        <v>0</v>
      </c>
      <c r="AU161">
        <v>0</v>
      </c>
      <c r="AV161">
        <v>0</v>
      </c>
      <c r="AW161">
        <v>0</v>
      </c>
      <c r="AX161">
        <v>8</v>
      </c>
      <c r="BA161" t="s">
        <v>5547</v>
      </c>
      <c r="BB161" t="s">
        <v>5548</v>
      </c>
      <c r="BD161" t="s">
        <v>5553</v>
      </c>
    </row>
    <row r="162" spans="1:56" ht="120" x14ac:dyDescent="0.25">
      <c r="A162" s="173" t="s">
        <v>993</v>
      </c>
      <c r="B162" s="173" t="s">
        <v>1646</v>
      </c>
      <c r="C162" s="173"/>
      <c r="D162" s="173"/>
      <c r="E162" s="173"/>
      <c r="F162" s="173" t="s">
        <v>5554</v>
      </c>
      <c r="G162" s="173" t="s">
        <v>5555</v>
      </c>
      <c r="H162" s="173"/>
      <c r="I162" s="173"/>
      <c r="J162" s="173" t="s">
        <v>1644</v>
      </c>
      <c r="K162" s="173"/>
      <c r="L162" s="173"/>
      <c r="M162" s="173"/>
      <c r="N162" s="173"/>
      <c r="O162" s="173"/>
      <c r="P162" s="173"/>
      <c r="Q162" s="173"/>
      <c r="R162" s="173" t="s">
        <v>306</v>
      </c>
      <c r="S162" s="173"/>
      <c r="T162" s="173"/>
      <c r="U162" s="173"/>
      <c r="V162" s="173">
        <v>177</v>
      </c>
      <c r="W162" s="173"/>
      <c r="X162" s="173"/>
      <c r="Y162" s="173"/>
      <c r="Z162" s="173">
        <v>342</v>
      </c>
      <c r="AA162" s="173">
        <v>362</v>
      </c>
      <c r="AB162" s="173"/>
      <c r="AC162" s="173" t="s">
        <v>2925</v>
      </c>
      <c r="AD162" s="173"/>
      <c r="AE162" s="173"/>
      <c r="AF162" s="173"/>
      <c r="AG162" s="173"/>
      <c r="AH162" s="173" t="s">
        <v>2924</v>
      </c>
      <c r="AI162" s="173">
        <v>2016</v>
      </c>
      <c r="AJ162" s="32" t="s">
        <v>1645</v>
      </c>
      <c r="AS162">
        <v>26</v>
      </c>
      <c r="AT162">
        <v>0</v>
      </c>
      <c r="AU162">
        <v>0</v>
      </c>
      <c r="AV162">
        <v>1</v>
      </c>
      <c r="AW162">
        <v>0</v>
      </c>
      <c r="AX162">
        <v>26</v>
      </c>
      <c r="BA162" t="s">
        <v>5547</v>
      </c>
      <c r="BB162" t="s">
        <v>5548</v>
      </c>
      <c r="BD162" t="s">
        <v>5556</v>
      </c>
    </row>
    <row r="163" spans="1:56" ht="210" x14ac:dyDescent="0.25">
      <c r="A163" s="173" t="s">
        <v>993</v>
      </c>
      <c r="B163" s="173" t="s">
        <v>1649</v>
      </c>
      <c r="C163" s="173"/>
      <c r="D163" s="173"/>
      <c r="E163" s="173"/>
      <c r="F163" s="173"/>
      <c r="G163" s="173"/>
      <c r="H163" s="173"/>
      <c r="I163" s="173"/>
      <c r="J163" s="173" t="s">
        <v>1647</v>
      </c>
      <c r="K163" s="173"/>
      <c r="L163" s="173"/>
      <c r="M163" s="173"/>
      <c r="N163" s="173"/>
      <c r="O163" s="173"/>
      <c r="P163" s="173"/>
      <c r="Q163" s="173"/>
      <c r="R163" s="173" t="s">
        <v>306</v>
      </c>
      <c r="S163" s="173"/>
      <c r="T163" s="173"/>
      <c r="U163" s="173"/>
      <c r="V163" s="173">
        <v>330</v>
      </c>
      <c r="W163" s="173"/>
      <c r="X163" s="173"/>
      <c r="Y163" s="173"/>
      <c r="Z163" s="173">
        <v>449</v>
      </c>
      <c r="AA163" s="173">
        <v>464</v>
      </c>
      <c r="AB163" s="173"/>
      <c r="AC163" s="173" t="s">
        <v>3972</v>
      </c>
      <c r="AD163" s="173"/>
      <c r="AE163" s="173"/>
      <c r="AF163" s="173"/>
      <c r="AG163" s="173"/>
      <c r="AH163" s="173" t="s">
        <v>3971</v>
      </c>
      <c r="AI163" s="173">
        <v>2019</v>
      </c>
      <c r="AJ163" s="32" t="s">
        <v>1648</v>
      </c>
      <c r="AS163">
        <v>0</v>
      </c>
      <c r="AT163">
        <v>0</v>
      </c>
      <c r="AU163">
        <v>0</v>
      </c>
      <c r="AV163">
        <v>0</v>
      </c>
      <c r="AW163">
        <v>0</v>
      </c>
      <c r="AX163">
        <v>0</v>
      </c>
      <c r="BA163" t="s">
        <v>5547</v>
      </c>
      <c r="BB163" t="s">
        <v>5548</v>
      </c>
      <c r="BD163" t="s">
        <v>5557</v>
      </c>
    </row>
    <row r="164" spans="1:56" ht="105" x14ac:dyDescent="0.25">
      <c r="A164" s="173" t="s">
        <v>993</v>
      </c>
      <c r="B164" s="173" t="s">
        <v>1652</v>
      </c>
      <c r="C164" s="173"/>
      <c r="D164" s="173"/>
      <c r="E164" s="173"/>
      <c r="F164" s="173"/>
      <c r="G164" s="173" t="s">
        <v>5558</v>
      </c>
      <c r="H164" s="173"/>
      <c r="I164" s="173"/>
      <c r="J164" s="173" t="s">
        <v>1650</v>
      </c>
      <c r="K164" s="173"/>
      <c r="L164" s="173"/>
      <c r="M164" s="173"/>
      <c r="N164" s="173"/>
      <c r="O164" s="173"/>
      <c r="P164" s="173"/>
      <c r="Q164" s="173"/>
      <c r="R164" s="173" t="s">
        <v>306</v>
      </c>
      <c r="S164" s="173"/>
      <c r="T164" s="173"/>
      <c r="U164" s="173"/>
      <c r="V164" s="173">
        <v>71</v>
      </c>
      <c r="W164" s="173">
        <v>43809</v>
      </c>
      <c r="X164" s="173"/>
      <c r="Y164" s="173"/>
      <c r="Z164" s="173">
        <v>1771</v>
      </c>
      <c r="AA164" s="173">
        <v>1787</v>
      </c>
      <c r="AB164" s="173"/>
      <c r="AC164" s="173" t="s">
        <v>2518</v>
      </c>
      <c r="AD164" s="173"/>
      <c r="AE164" s="173"/>
      <c r="AF164" s="173"/>
      <c r="AG164" s="173"/>
      <c r="AH164" s="173">
        <v>39600</v>
      </c>
      <c r="AI164" s="173">
        <v>2008</v>
      </c>
      <c r="AJ164" s="32" t="s">
        <v>1651</v>
      </c>
      <c r="AS164">
        <v>150</v>
      </c>
      <c r="AT164">
        <v>32</v>
      </c>
      <c r="AU164">
        <v>0</v>
      </c>
      <c r="AV164">
        <v>15</v>
      </c>
      <c r="AW164">
        <v>0</v>
      </c>
      <c r="AX164">
        <v>177</v>
      </c>
      <c r="BA164" t="s">
        <v>5547</v>
      </c>
      <c r="BB164" t="s">
        <v>5548</v>
      </c>
      <c r="BD164" t="s">
        <v>5559</v>
      </c>
    </row>
    <row r="165" spans="1:56" ht="90" x14ac:dyDescent="0.25">
      <c r="A165" s="173" t="s">
        <v>993</v>
      </c>
      <c r="B165" s="173" t="s">
        <v>1655</v>
      </c>
      <c r="C165" s="173"/>
      <c r="D165" s="173"/>
      <c r="E165" s="173"/>
      <c r="F165" s="173" t="s">
        <v>5560</v>
      </c>
      <c r="G165" s="173" t="s">
        <v>5561</v>
      </c>
      <c r="H165" s="173"/>
      <c r="I165" s="173"/>
      <c r="J165" s="173" t="s">
        <v>1653</v>
      </c>
      <c r="K165" s="173"/>
      <c r="L165" s="173"/>
      <c r="M165" s="173"/>
      <c r="N165" s="173"/>
      <c r="O165" s="173"/>
      <c r="P165" s="173"/>
      <c r="Q165" s="173"/>
      <c r="R165" s="173" t="s">
        <v>306</v>
      </c>
      <c r="S165" s="173"/>
      <c r="T165" s="173"/>
      <c r="U165" s="173"/>
      <c r="V165" s="173">
        <v>74</v>
      </c>
      <c r="W165" s="173">
        <v>6</v>
      </c>
      <c r="X165" s="173"/>
      <c r="Y165" s="173"/>
      <c r="Z165" s="173">
        <v>962</v>
      </c>
      <c r="AA165" s="173">
        <v>973</v>
      </c>
      <c r="AB165" s="173"/>
      <c r="AC165" s="173" t="s">
        <v>2939</v>
      </c>
      <c r="AD165" s="173"/>
      <c r="AE165" s="173"/>
      <c r="AF165" s="173"/>
      <c r="AG165" s="173"/>
      <c r="AH165" s="173" t="s">
        <v>2938</v>
      </c>
      <c r="AI165" s="173">
        <v>2011</v>
      </c>
      <c r="AJ165" s="32" t="s">
        <v>1654</v>
      </c>
      <c r="AS165">
        <v>26</v>
      </c>
      <c r="AT165">
        <v>2</v>
      </c>
      <c r="AU165">
        <v>0</v>
      </c>
      <c r="AV165">
        <v>0</v>
      </c>
      <c r="AW165">
        <v>0</v>
      </c>
      <c r="AX165">
        <v>28</v>
      </c>
      <c r="BA165" t="s">
        <v>5547</v>
      </c>
      <c r="BB165" t="s">
        <v>5548</v>
      </c>
      <c r="BD165" t="s">
        <v>5562</v>
      </c>
    </row>
    <row r="166" spans="1:56" ht="150" x14ac:dyDescent="0.25">
      <c r="A166" s="173" t="s">
        <v>993</v>
      </c>
      <c r="B166" s="173" t="s">
        <v>1658</v>
      </c>
      <c r="C166" s="173"/>
      <c r="D166" s="173"/>
      <c r="E166" s="173"/>
      <c r="F166" s="173"/>
      <c r="G166" s="173"/>
      <c r="H166" s="173"/>
      <c r="I166" s="173"/>
      <c r="J166" s="173" t="s">
        <v>1656</v>
      </c>
      <c r="K166" s="173"/>
      <c r="L166" s="173"/>
      <c r="M166" s="173"/>
      <c r="N166" s="173"/>
      <c r="O166" s="173"/>
      <c r="P166" s="173"/>
      <c r="Q166" s="173"/>
      <c r="R166" s="173" t="s">
        <v>306</v>
      </c>
      <c r="S166" s="173"/>
      <c r="T166" s="173"/>
      <c r="U166" s="173"/>
      <c r="V166" s="173">
        <v>312</v>
      </c>
      <c r="W166" s="173"/>
      <c r="X166" s="173"/>
      <c r="Y166" s="173"/>
      <c r="Z166" s="173">
        <v>135</v>
      </c>
      <c r="AA166" s="173">
        <v>153</v>
      </c>
      <c r="AB166" s="173"/>
      <c r="AC166" s="173" t="s">
        <v>4057</v>
      </c>
      <c r="AD166" s="173"/>
      <c r="AE166" s="173"/>
      <c r="AF166" s="173"/>
      <c r="AG166" s="173"/>
      <c r="AH166" s="173" t="s">
        <v>4056</v>
      </c>
      <c r="AI166" s="173">
        <v>2018</v>
      </c>
      <c r="AJ166" s="32" t="s">
        <v>1657</v>
      </c>
      <c r="AS166">
        <v>0</v>
      </c>
      <c r="AT166">
        <v>0</v>
      </c>
      <c r="AU166">
        <v>0</v>
      </c>
      <c r="AV166">
        <v>0</v>
      </c>
      <c r="AW166">
        <v>0</v>
      </c>
      <c r="AX166">
        <v>0</v>
      </c>
      <c r="BA166" t="s">
        <v>5547</v>
      </c>
      <c r="BB166" t="s">
        <v>5548</v>
      </c>
      <c r="BD166" t="s">
        <v>5563</v>
      </c>
    </row>
    <row r="167" spans="1:56" ht="150" x14ac:dyDescent="0.25">
      <c r="A167" s="173" t="s">
        <v>993</v>
      </c>
      <c r="B167" s="173" t="s">
        <v>1661</v>
      </c>
      <c r="C167" s="173"/>
      <c r="D167" s="173"/>
      <c r="E167" s="173"/>
      <c r="F167" s="173"/>
      <c r="G167" s="173"/>
      <c r="H167" s="173"/>
      <c r="I167" s="173"/>
      <c r="J167" s="173" t="s">
        <v>1659</v>
      </c>
      <c r="K167" s="173"/>
      <c r="L167" s="173"/>
      <c r="M167" s="173"/>
      <c r="N167" s="173"/>
      <c r="O167" s="173"/>
      <c r="P167" s="173"/>
      <c r="Q167" s="173"/>
      <c r="R167" s="173" t="s">
        <v>306</v>
      </c>
      <c r="S167" s="173"/>
      <c r="T167" s="173"/>
      <c r="U167" s="173"/>
      <c r="V167" s="173">
        <v>151</v>
      </c>
      <c r="W167" s="173"/>
      <c r="X167" s="173"/>
      <c r="Y167" s="173"/>
      <c r="Z167" s="173">
        <v>1006</v>
      </c>
      <c r="AA167" s="173">
        <v>1014</v>
      </c>
      <c r="AB167" s="173"/>
      <c r="AC167" s="173" t="s">
        <v>2986</v>
      </c>
      <c r="AD167" s="173"/>
      <c r="AE167" s="173"/>
      <c r="AF167" s="173"/>
      <c r="AG167" s="173"/>
      <c r="AH167" s="173" t="s">
        <v>2985</v>
      </c>
      <c r="AI167" s="173">
        <v>2015</v>
      </c>
      <c r="AJ167" s="32" t="s">
        <v>1660</v>
      </c>
      <c r="AS167">
        <v>24</v>
      </c>
      <c r="AT167">
        <v>1</v>
      </c>
      <c r="AU167">
        <v>0</v>
      </c>
      <c r="AV167">
        <v>1</v>
      </c>
      <c r="AW167">
        <v>0</v>
      </c>
      <c r="AX167">
        <v>24</v>
      </c>
      <c r="BA167" t="s">
        <v>5547</v>
      </c>
      <c r="BB167" t="s">
        <v>5548</v>
      </c>
      <c r="BD167" t="s">
        <v>5564</v>
      </c>
    </row>
    <row r="168" spans="1:56" ht="165" x14ac:dyDescent="0.25">
      <c r="A168" s="173" t="s">
        <v>993</v>
      </c>
      <c r="B168" s="173" t="s">
        <v>1664</v>
      </c>
      <c r="C168" s="173"/>
      <c r="D168" s="173"/>
      <c r="E168" s="173"/>
      <c r="F168" s="173" t="s">
        <v>5565</v>
      </c>
      <c r="G168" s="173" t="s">
        <v>5566</v>
      </c>
      <c r="H168" s="173"/>
      <c r="I168" s="173"/>
      <c r="J168" s="173" t="s">
        <v>1662</v>
      </c>
      <c r="K168" s="173"/>
      <c r="L168" s="173"/>
      <c r="M168" s="173"/>
      <c r="N168" s="173"/>
      <c r="O168" s="173"/>
      <c r="P168" s="173"/>
      <c r="Q168" s="173"/>
      <c r="R168" s="173" t="s">
        <v>306</v>
      </c>
      <c r="S168" s="173"/>
      <c r="T168" s="173"/>
      <c r="U168" s="173"/>
      <c r="V168" s="173">
        <v>168</v>
      </c>
      <c r="W168" s="173"/>
      <c r="X168" s="173"/>
      <c r="Y168" s="173"/>
      <c r="Z168" s="173">
        <v>454</v>
      </c>
      <c r="AA168" s="173">
        <v>463</v>
      </c>
      <c r="AB168" s="173"/>
      <c r="AC168" s="173" t="s">
        <v>3171</v>
      </c>
      <c r="AD168" s="173"/>
      <c r="AE168" s="173"/>
      <c r="AF168" s="173"/>
      <c r="AG168" s="173"/>
      <c r="AH168" s="173" t="s">
        <v>3170</v>
      </c>
      <c r="AI168" s="173">
        <v>2015</v>
      </c>
      <c r="AJ168" s="32" t="s">
        <v>1663</v>
      </c>
      <c r="AS168">
        <v>16</v>
      </c>
      <c r="AT168">
        <v>1</v>
      </c>
      <c r="AU168">
        <v>0</v>
      </c>
      <c r="AV168">
        <v>0</v>
      </c>
      <c r="AW168">
        <v>0</v>
      </c>
      <c r="AX168">
        <v>17</v>
      </c>
      <c r="BA168" t="s">
        <v>5547</v>
      </c>
      <c r="BB168" t="s">
        <v>5548</v>
      </c>
      <c r="BD168" t="s">
        <v>5567</v>
      </c>
    </row>
    <row r="169" spans="1:56" ht="165" x14ac:dyDescent="0.25">
      <c r="A169" s="173" t="s">
        <v>993</v>
      </c>
      <c r="B169" s="173" t="s">
        <v>1637</v>
      </c>
      <c r="C169" s="173"/>
      <c r="D169" s="173"/>
      <c r="E169" s="173"/>
      <c r="F169" s="173" t="s">
        <v>5545</v>
      </c>
      <c r="G169" s="173" t="s">
        <v>5546</v>
      </c>
      <c r="H169" s="173"/>
      <c r="I169" s="173"/>
      <c r="J169" s="173" t="s">
        <v>1635</v>
      </c>
      <c r="K169" s="173"/>
      <c r="L169" s="173"/>
      <c r="M169" s="173"/>
      <c r="N169" s="173"/>
      <c r="O169" s="173"/>
      <c r="P169" s="173"/>
      <c r="Q169" s="173"/>
      <c r="R169" s="173" t="s">
        <v>306</v>
      </c>
      <c r="S169" s="173"/>
      <c r="T169" s="173"/>
      <c r="U169" s="173"/>
      <c r="V169" s="173">
        <v>300</v>
      </c>
      <c r="W169" s="173"/>
      <c r="X169" s="173"/>
      <c r="Y169" s="173"/>
      <c r="Z169" s="173">
        <v>17</v>
      </c>
      <c r="AA169" s="173">
        <v>33</v>
      </c>
      <c r="AB169" s="173"/>
      <c r="AC169" s="173" t="s">
        <v>4833</v>
      </c>
      <c r="AD169" s="173"/>
      <c r="AE169" s="173"/>
      <c r="AF169" s="173"/>
      <c r="AG169" s="173"/>
      <c r="AH169" s="173" t="s">
        <v>4832</v>
      </c>
      <c r="AI169" s="173">
        <v>2018</v>
      </c>
      <c r="AJ169" s="32" t="s">
        <v>1636</v>
      </c>
      <c r="AS169">
        <v>3</v>
      </c>
      <c r="AT169">
        <v>0</v>
      </c>
      <c r="AU169">
        <v>0</v>
      </c>
      <c r="AV169">
        <v>0</v>
      </c>
      <c r="AW169">
        <v>0</v>
      </c>
      <c r="AX169">
        <v>3</v>
      </c>
      <c r="BA169" t="s">
        <v>5547</v>
      </c>
      <c r="BB169" t="s">
        <v>5548</v>
      </c>
      <c r="BD169" t="s">
        <v>5549</v>
      </c>
    </row>
    <row r="170" spans="1:56" ht="165" x14ac:dyDescent="0.25">
      <c r="A170" s="173" t="s">
        <v>993</v>
      </c>
      <c r="B170" s="173" t="s">
        <v>1667</v>
      </c>
      <c r="C170" s="173"/>
      <c r="D170" s="173"/>
      <c r="E170" s="173"/>
      <c r="F170" s="173"/>
      <c r="G170" s="173" t="s">
        <v>5568</v>
      </c>
      <c r="H170" s="173"/>
      <c r="I170" s="173"/>
      <c r="J170" s="173" t="s">
        <v>1665</v>
      </c>
      <c r="K170" s="173"/>
      <c r="L170" s="173"/>
      <c r="M170" s="173"/>
      <c r="N170" s="173"/>
      <c r="O170" s="173"/>
      <c r="P170" s="173"/>
      <c r="Q170" s="173"/>
      <c r="R170" s="173" t="s">
        <v>306</v>
      </c>
      <c r="S170" s="173"/>
      <c r="T170" s="173"/>
      <c r="U170" s="173"/>
      <c r="V170" s="173">
        <v>100</v>
      </c>
      <c r="W170" s="173"/>
      <c r="X170" s="173" t="s">
        <v>1948</v>
      </c>
      <c r="Y170" s="173"/>
      <c r="Z170" s="173">
        <v>86</v>
      </c>
      <c r="AA170" s="173">
        <v>97</v>
      </c>
      <c r="AB170" s="173"/>
      <c r="AC170" s="173" t="s">
        <v>5569</v>
      </c>
      <c r="AD170" s="173"/>
      <c r="AE170" s="173"/>
      <c r="AF170" s="173"/>
      <c r="AG170" s="173"/>
      <c r="AH170" s="173" t="s">
        <v>4916</v>
      </c>
      <c r="AI170" s="173">
        <v>2013</v>
      </c>
      <c r="AJ170" s="32" t="s">
        <v>1666</v>
      </c>
      <c r="AS170">
        <v>65</v>
      </c>
      <c r="AT170">
        <v>5</v>
      </c>
      <c r="AU170">
        <v>0</v>
      </c>
      <c r="AV170">
        <v>2</v>
      </c>
      <c r="AW170">
        <v>0</v>
      </c>
      <c r="AX170">
        <v>70</v>
      </c>
      <c r="BA170" t="s">
        <v>5547</v>
      </c>
      <c r="BB170" t="s">
        <v>5548</v>
      </c>
      <c r="BD170" t="s">
        <v>5570</v>
      </c>
    </row>
    <row r="171" spans="1:56" ht="120" x14ac:dyDescent="0.25">
      <c r="A171" s="173" t="s">
        <v>993</v>
      </c>
      <c r="B171" s="173" t="s">
        <v>1670</v>
      </c>
      <c r="C171" s="173"/>
      <c r="D171" s="173"/>
      <c r="E171" s="173"/>
      <c r="F171" s="173"/>
      <c r="G171" s="173"/>
      <c r="H171" s="173"/>
      <c r="I171" s="173"/>
      <c r="J171" s="173" t="s">
        <v>1668</v>
      </c>
      <c r="K171" s="173"/>
      <c r="L171" s="173"/>
      <c r="M171" s="173"/>
      <c r="N171" s="173"/>
      <c r="O171" s="173"/>
      <c r="P171" s="173"/>
      <c r="Q171" s="173"/>
      <c r="R171" s="173" t="s">
        <v>343</v>
      </c>
      <c r="S171" s="173"/>
      <c r="T171" s="173"/>
      <c r="U171" s="173"/>
      <c r="V171" s="173">
        <v>19</v>
      </c>
      <c r="W171" s="173">
        <v>1</v>
      </c>
      <c r="X171" s="173"/>
      <c r="Y171" s="173"/>
      <c r="Z171" s="173">
        <v>267</v>
      </c>
      <c r="AA171" s="173">
        <v>282</v>
      </c>
      <c r="AB171" s="173"/>
      <c r="AC171" s="173" t="s">
        <v>4745</v>
      </c>
      <c r="AD171" s="173"/>
      <c r="AE171" s="173"/>
      <c r="AF171" s="173"/>
      <c r="AG171" s="173"/>
      <c r="AH171" s="173">
        <v>42401</v>
      </c>
      <c r="AI171" s="173">
        <v>2016</v>
      </c>
      <c r="AJ171" s="32" t="s">
        <v>1669</v>
      </c>
      <c r="AS171">
        <v>2</v>
      </c>
      <c r="AT171">
        <v>0</v>
      </c>
      <c r="AU171">
        <v>0</v>
      </c>
      <c r="AV171">
        <v>0</v>
      </c>
      <c r="AW171">
        <v>0</v>
      </c>
      <c r="AX171">
        <v>2</v>
      </c>
      <c r="BA171" t="s">
        <v>5571</v>
      </c>
      <c r="BB171" t="s">
        <v>5572</v>
      </c>
      <c r="BD171" t="s">
        <v>5573</v>
      </c>
    </row>
    <row r="172" spans="1:56" ht="105" x14ac:dyDescent="0.25">
      <c r="A172" s="173" t="s">
        <v>1172</v>
      </c>
      <c r="B172" s="173" t="s">
        <v>1171</v>
      </c>
      <c r="C172" s="173"/>
      <c r="D172" s="173"/>
      <c r="E172" s="173"/>
      <c r="F172" s="173" t="s">
        <v>5574</v>
      </c>
      <c r="G172" s="173" t="s">
        <v>5575</v>
      </c>
      <c r="H172" s="173" t="s">
        <v>3311</v>
      </c>
      <c r="I172" s="173"/>
      <c r="J172" s="173" t="s">
        <v>1169</v>
      </c>
      <c r="K172" s="173"/>
      <c r="L172" s="173"/>
      <c r="M172" s="173"/>
      <c r="N172" s="173"/>
      <c r="O172" s="173"/>
      <c r="P172" s="173"/>
      <c r="Q172" s="173"/>
      <c r="R172" s="173" t="s">
        <v>308</v>
      </c>
      <c r="S172" s="173"/>
      <c r="T172" s="173" t="s">
        <v>5170</v>
      </c>
      <c r="U172" s="173"/>
      <c r="V172" s="173">
        <v>3175</v>
      </c>
      <c r="W172" s="173"/>
      <c r="X172" s="173"/>
      <c r="Y172" s="173"/>
      <c r="Z172" s="173">
        <v>447</v>
      </c>
      <c r="AA172" s="173">
        <v>454</v>
      </c>
      <c r="AB172" s="173"/>
      <c r="AC172" s="173"/>
      <c r="AD172" s="173"/>
      <c r="AE172" s="173"/>
      <c r="AF172" s="173"/>
      <c r="AG172" s="173"/>
      <c r="AH172" s="173">
        <v>2004</v>
      </c>
      <c r="AI172" s="173">
        <v>2004</v>
      </c>
      <c r="AJ172" s="32" t="s">
        <v>1170</v>
      </c>
      <c r="AO172" t="s">
        <v>5576</v>
      </c>
      <c r="AP172" t="s">
        <v>5577</v>
      </c>
      <c r="AQ172" t="s">
        <v>5578</v>
      </c>
      <c r="AR172" t="s">
        <v>5579</v>
      </c>
      <c r="AS172">
        <v>13</v>
      </c>
      <c r="AT172">
        <v>0</v>
      </c>
      <c r="AU172">
        <v>0</v>
      </c>
      <c r="AV172">
        <v>2</v>
      </c>
      <c r="AW172">
        <v>0</v>
      </c>
      <c r="AX172">
        <v>13</v>
      </c>
      <c r="BA172" t="s">
        <v>5175</v>
      </c>
      <c r="BB172" t="s">
        <v>5176</v>
      </c>
      <c r="BC172" t="s">
        <v>5580</v>
      </c>
      <c r="BD172" t="s">
        <v>5581</v>
      </c>
    </row>
    <row r="173" spans="1:56" ht="150" x14ac:dyDescent="0.25">
      <c r="A173" s="173" t="s">
        <v>993</v>
      </c>
      <c r="B173" s="173" t="s">
        <v>1673</v>
      </c>
      <c r="C173" s="173"/>
      <c r="D173" s="173"/>
      <c r="E173" s="173"/>
      <c r="F173" s="173" t="s">
        <v>5582</v>
      </c>
      <c r="G173" s="173" t="s">
        <v>5583</v>
      </c>
      <c r="H173" s="173"/>
      <c r="I173" s="173"/>
      <c r="J173" s="173" t="s">
        <v>1671</v>
      </c>
      <c r="K173" s="173"/>
      <c r="L173" s="173"/>
      <c r="M173" s="173"/>
      <c r="N173" s="173"/>
      <c r="O173" s="173"/>
      <c r="P173" s="173"/>
      <c r="Q173" s="173"/>
      <c r="R173" s="173" t="s">
        <v>308</v>
      </c>
      <c r="S173" s="173"/>
      <c r="T173" s="173"/>
      <c r="U173" s="173"/>
      <c r="V173" s="173">
        <v>48</v>
      </c>
      <c r="W173" s="173">
        <v>11</v>
      </c>
      <c r="X173" s="173" t="s">
        <v>1948</v>
      </c>
      <c r="Y173" s="173"/>
      <c r="Z173" s="173">
        <v>3371</v>
      </c>
      <c r="AA173" s="173">
        <v>3384</v>
      </c>
      <c r="AB173" s="173"/>
      <c r="AC173" s="173" t="s">
        <v>3204</v>
      </c>
      <c r="AD173" s="173"/>
      <c r="AE173" s="173"/>
      <c r="AF173" s="173"/>
      <c r="AG173" s="173"/>
      <c r="AH173" s="173">
        <v>42309</v>
      </c>
      <c r="AI173" s="173">
        <v>2015</v>
      </c>
      <c r="AJ173" s="32" t="s">
        <v>1672</v>
      </c>
      <c r="AS173">
        <v>15</v>
      </c>
      <c r="AT173">
        <v>1</v>
      </c>
      <c r="AU173">
        <v>0</v>
      </c>
      <c r="AV173">
        <v>1</v>
      </c>
      <c r="AW173">
        <v>0</v>
      </c>
      <c r="AX173">
        <v>16</v>
      </c>
      <c r="BA173" t="s">
        <v>5584</v>
      </c>
      <c r="BB173" t="s">
        <v>5585</v>
      </c>
      <c r="BD173" t="s">
        <v>5586</v>
      </c>
    </row>
    <row r="174" spans="1:56" ht="150" x14ac:dyDescent="0.25">
      <c r="A174" s="173" t="s">
        <v>993</v>
      </c>
      <c r="B174" s="173" t="s">
        <v>1676</v>
      </c>
      <c r="C174" s="173"/>
      <c r="D174" s="173"/>
      <c r="E174" s="173"/>
      <c r="F174" s="173" t="s">
        <v>5587</v>
      </c>
      <c r="G174" s="173" t="s">
        <v>5588</v>
      </c>
      <c r="H174" s="173"/>
      <c r="I174" s="173"/>
      <c r="J174" s="173" t="s">
        <v>1674</v>
      </c>
      <c r="K174" s="173"/>
      <c r="L174" s="173"/>
      <c r="M174" s="173"/>
      <c r="N174" s="173"/>
      <c r="O174" s="173"/>
      <c r="P174" s="173"/>
      <c r="Q174" s="173"/>
      <c r="R174" s="173" t="s">
        <v>308</v>
      </c>
      <c r="S174" s="173"/>
      <c r="T174" s="173"/>
      <c r="U174" s="173"/>
      <c r="V174" s="173">
        <v>35</v>
      </c>
      <c r="W174" s="173">
        <v>10</v>
      </c>
      <c r="X174" s="173"/>
      <c r="Y174" s="173"/>
      <c r="Z174" s="173">
        <v>2279</v>
      </c>
      <c r="AA174" s="173">
        <v>2301</v>
      </c>
      <c r="AB174" s="173" t="s">
        <v>2446</v>
      </c>
      <c r="AC174" s="173" t="s">
        <v>2447</v>
      </c>
      <c r="AD174" s="173"/>
      <c r="AE174" s="173"/>
      <c r="AF174" s="173"/>
      <c r="AG174" s="173"/>
      <c r="AH174" s="173">
        <v>37530</v>
      </c>
      <c r="AI174" s="173">
        <v>2002</v>
      </c>
      <c r="AJ174" s="32" t="s">
        <v>1675</v>
      </c>
      <c r="AS174">
        <v>396</v>
      </c>
      <c r="AT174">
        <v>13</v>
      </c>
      <c r="AU174">
        <v>1</v>
      </c>
      <c r="AV174">
        <v>36</v>
      </c>
      <c r="AW174">
        <v>2</v>
      </c>
      <c r="AX174">
        <v>411</v>
      </c>
      <c r="BA174" t="s">
        <v>5584</v>
      </c>
      <c r="BB174" t="s">
        <v>5585</v>
      </c>
      <c r="BD174" t="s">
        <v>5589</v>
      </c>
    </row>
    <row r="175" spans="1:56" ht="165" x14ac:dyDescent="0.25">
      <c r="A175" s="173" t="s">
        <v>993</v>
      </c>
      <c r="B175" s="173" t="s">
        <v>1679</v>
      </c>
      <c r="C175" s="173"/>
      <c r="D175" s="173"/>
      <c r="E175" s="173"/>
      <c r="F175" s="173"/>
      <c r="G175" s="173" t="s">
        <v>5590</v>
      </c>
      <c r="H175" s="173"/>
      <c r="I175" s="173"/>
      <c r="J175" s="173" t="s">
        <v>1677</v>
      </c>
      <c r="K175" s="173"/>
      <c r="L175" s="173"/>
      <c r="M175" s="173"/>
      <c r="N175" s="173"/>
      <c r="O175" s="173"/>
      <c r="P175" s="173"/>
      <c r="Q175" s="173"/>
      <c r="R175" s="173" t="s">
        <v>308</v>
      </c>
      <c r="S175" s="173"/>
      <c r="T175" s="173"/>
      <c r="U175" s="173"/>
      <c r="V175" s="173">
        <v>47</v>
      </c>
      <c r="W175" s="173">
        <v>10</v>
      </c>
      <c r="X175" s="173"/>
      <c r="Y175" s="173"/>
      <c r="Z175" s="173">
        <v>3343</v>
      </c>
      <c r="AA175" s="173">
        <v>3361</v>
      </c>
      <c r="AB175" s="173"/>
      <c r="AC175" s="173" t="s">
        <v>2669</v>
      </c>
      <c r="AD175" s="173"/>
      <c r="AE175" s="173"/>
      <c r="AF175" s="173"/>
      <c r="AG175" s="173"/>
      <c r="AH175" s="173">
        <v>41913</v>
      </c>
      <c r="AI175" s="173">
        <v>2014</v>
      </c>
      <c r="AJ175" s="32" t="s">
        <v>1678</v>
      </c>
      <c r="AS175">
        <v>59</v>
      </c>
      <c r="AT175">
        <v>1</v>
      </c>
      <c r="AU175">
        <v>0</v>
      </c>
      <c r="AV175">
        <v>9</v>
      </c>
      <c r="AW175">
        <v>0</v>
      </c>
      <c r="AX175">
        <v>60</v>
      </c>
      <c r="BA175" t="s">
        <v>5584</v>
      </c>
      <c r="BB175" t="s">
        <v>5585</v>
      </c>
      <c r="BD175" t="s">
        <v>5591</v>
      </c>
    </row>
    <row r="176" spans="1:56" ht="150" x14ac:dyDescent="0.25">
      <c r="A176" s="173" t="s">
        <v>993</v>
      </c>
      <c r="B176" s="173" t="s">
        <v>1682</v>
      </c>
      <c r="C176" s="173"/>
      <c r="D176" s="173"/>
      <c r="E176" s="173"/>
      <c r="F176" s="173"/>
      <c r="G176" s="173"/>
      <c r="H176" s="173"/>
      <c r="I176" s="173"/>
      <c r="J176" s="173" t="s">
        <v>1680</v>
      </c>
      <c r="K176" s="173"/>
      <c r="L176" s="173"/>
      <c r="M176" s="173"/>
      <c r="N176" s="173"/>
      <c r="O176" s="173"/>
      <c r="P176" s="173"/>
      <c r="Q176" s="173"/>
      <c r="R176" s="173" t="s">
        <v>308</v>
      </c>
      <c r="S176" s="173"/>
      <c r="T176" s="173"/>
      <c r="U176" s="173"/>
      <c r="V176" s="173">
        <v>48</v>
      </c>
      <c r="W176" s="173">
        <v>11</v>
      </c>
      <c r="X176" s="173" t="s">
        <v>1948</v>
      </c>
      <c r="Y176" s="173"/>
      <c r="Z176" s="173">
        <v>3542</v>
      </c>
      <c r="AA176" s="173">
        <v>3559</v>
      </c>
      <c r="AB176" s="173"/>
      <c r="AC176" s="173" t="s">
        <v>2874</v>
      </c>
      <c r="AD176" s="173"/>
      <c r="AE176" s="173"/>
      <c r="AF176" s="173"/>
      <c r="AG176" s="173"/>
      <c r="AH176" s="173">
        <v>42309</v>
      </c>
      <c r="AI176" s="173">
        <v>2015</v>
      </c>
      <c r="AJ176" s="32" t="s">
        <v>1681</v>
      </c>
      <c r="AS176">
        <v>31</v>
      </c>
      <c r="AT176">
        <v>1</v>
      </c>
      <c r="AU176">
        <v>1</v>
      </c>
      <c r="AV176">
        <v>8</v>
      </c>
      <c r="AW176">
        <v>0</v>
      </c>
      <c r="AX176">
        <v>33</v>
      </c>
      <c r="BA176" t="s">
        <v>5584</v>
      </c>
      <c r="BB176" t="s">
        <v>5585</v>
      </c>
      <c r="BD176" t="s">
        <v>5592</v>
      </c>
    </row>
    <row r="177" spans="1:56" ht="120" x14ac:dyDescent="0.25">
      <c r="A177" s="173" t="s">
        <v>993</v>
      </c>
      <c r="B177" s="173" t="s">
        <v>1685</v>
      </c>
      <c r="C177" s="173"/>
      <c r="D177" s="173"/>
      <c r="E177" s="173"/>
      <c r="F177" s="173"/>
      <c r="G177" s="173"/>
      <c r="H177" s="173"/>
      <c r="I177" s="173"/>
      <c r="J177" s="173" t="s">
        <v>1683</v>
      </c>
      <c r="K177" s="173"/>
      <c r="L177" s="173"/>
      <c r="M177" s="173"/>
      <c r="N177" s="173"/>
      <c r="O177" s="173"/>
      <c r="P177" s="173"/>
      <c r="Q177" s="173"/>
      <c r="R177" s="173" t="s">
        <v>308</v>
      </c>
      <c r="S177" s="173"/>
      <c r="T177" s="173"/>
      <c r="U177" s="173"/>
      <c r="V177" s="173">
        <v>47</v>
      </c>
      <c r="W177" s="173">
        <v>4</v>
      </c>
      <c r="X177" s="173"/>
      <c r="Y177" s="173"/>
      <c r="Z177" s="173">
        <v>1616</v>
      </c>
      <c r="AA177" s="173">
        <v>1625</v>
      </c>
      <c r="AB177" s="173"/>
      <c r="AC177" s="173" t="s">
        <v>3942</v>
      </c>
      <c r="AD177" s="173"/>
      <c r="AE177" s="173"/>
      <c r="AF177" s="173"/>
      <c r="AG177" s="173"/>
      <c r="AH177" s="173" t="s">
        <v>2932</v>
      </c>
      <c r="AI177" s="173">
        <v>2014</v>
      </c>
      <c r="AJ177" s="32" t="s">
        <v>1684</v>
      </c>
      <c r="AS177">
        <v>4</v>
      </c>
      <c r="AT177">
        <v>0</v>
      </c>
      <c r="AU177">
        <v>0</v>
      </c>
      <c r="AV177">
        <v>0</v>
      </c>
      <c r="AW177">
        <v>0</v>
      </c>
      <c r="AX177">
        <v>4</v>
      </c>
      <c r="BA177" t="s">
        <v>5584</v>
      </c>
      <c r="BB177" t="s">
        <v>5585</v>
      </c>
      <c r="BD177" t="s">
        <v>5593</v>
      </c>
    </row>
    <row r="178" spans="1:56" ht="150" x14ac:dyDescent="0.25">
      <c r="A178" s="173" t="s">
        <v>993</v>
      </c>
      <c r="B178" s="173" t="s">
        <v>1688</v>
      </c>
      <c r="C178" s="173"/>
      <c r="D178" s="173"/>
      <c r="E178" s="173"/>
      <c r="F178" s="173" t="s">
        <v>5594</v>
      </c>
      <c r="G178" s="173" t="s">
        <v>5595</v>
      </c>
      <c r="H178" s="173"/>
      <c r="I178" s="173"/>
      <c r="J178" s="173" t="s">
        <v>1686</v>
      </c>
      <c r="K178" s="173"/>
      <c r="L178" s="173"/>
      <c r="M178" s="173"/>
      <c r="N178" s="173"/>
      <c r="O178" s="173"/>
      <c r="P178" s="173"/>
      <c r="Q178" s="173"/>
      <c r="R178" s="173" t="s">
        <v>308</v>
      </c>
      <c r="S178" s="173"/>
      <c r="T178" s="173"/>
      <c r="U178" s="173"/>
      <c r="V178" s="173">
        <v>43</v>
      </c>
      <c r="W178" s="173">
        <v>2</v>
      </c>
      <c r="X178" s="173" t="s">
        <v>1948</v>
      </c>
      <c r="Y178" s="173"/>
      <c r="Z178" s="173">
        <v>445</v>
      </c>
      <c r="AA178" s="173">
        <v>456</v>
      </c>
      <c r="AB178" s="173"/>
      <c r="AC178" s="173" t="s">
        <v>2495</v>
      </c>
      <c r="AD178" s="173"/>
      <c r="AE178" s="173"/>
      <c r="AF178" s="173"/>
      <c r="AG178" s="173"/>
      <c r="AH178" s="173">
        <v>40210</v>
      </c>
      <c r="AI178" s="173">
        <v>2010</v>
      </c>
      <c r="AJ178" s="32" t="s">
        <v>1687</v>
      </c>
      <c r="AS178">
        <v>197</v>
      </c>
      <c r="AT178">
        <v>45</v>
      </c>
      <c r="AU178">
        <v>0</v>
      </c>
      <c r="AV178">
        <v>13</v>
      </c>
      <c r="AW178">
        <v>0</v>
      </c>
      <c r="AX178">
        <v>241</v>
      </c>
      <c r="BA178" t="s">
        <v>5584</v>
      </c>
      <c r="BB178" t="s">
        <v>5585</v>
      </c>
      <c r="BD178" t="s">
        <v>5596</v>
      </c>
    </row>
    <row r="179" spans="1:56" ht="90" x14ac:dyDescent="0.25">
      <c r="A179" s="173" t="s">
        <v>993</v>
      </c>
      <c r="B179" s="173" t="s">
        <v>1691</v>
      </c>
      <c r="C179" s="173"/>
      <c r="D179" s="173"/>
      <c r="E179" s="173"/>
      <c r="F179" s="173"/>
      <c r="G179" s="173"/>
      <c r="H179" s="173"/>
      <c r="I179" s="173"/>
      <c r="J179" s="173" t="s">
        <v>1689</v>
      </c>
      <c r="K179" s="173"/>
      <c r="L179" s="173"/>
      <c r="M179" s="173"/>
      <c r="N179" s="173"/>
      <c r="O179" s="173"/>
      <c r="P179" s="173"/>
      <c r="Q179" s="173"/>
      <c r="R179" s="173" t="s">
        <v>308</v>
      </c>
      <c r="S179" s="173"/>
      <c r="T179" s="173"/>
      <c r="U179" s="173"/>
      <c r="V179" s="173">
        <v>59</v>
      </c>
      <c r="W179" s="173"/>
      <c r="X179" s="173" t="s">
        <v>1948</v>
      </c>
      <c r="Y179" s="173"/>
      <c r="Z179" s="173">
        <v>55</v>
      </c>
      <c r="AA179" s="173">
        <v>62</v>
      </c>
      <c r="AB179" s="173"/>
      <c r="AC179" s="173" t="s">
        <v>4736</v>
      </c>
      <c r="AD179" s="173"/>
      <c r="AE179" s="173"/>
      <c r="AF179" s="173"/>
      <c r="AG179" s="173"/>
      <c r="AH179" s="173">
        <v>42675</v>
      </c>
      <c r="AI179" s="173">
        <v>2016</v>
      </c>
      <c r="AJ179" s="32" t="s">
        <v>1690</v>
      </c>
      <c r="AS179">
        <v>2</v>
      </c>
      <c r="AT179">
        <v>0</v>
      </c>
      <c r="AU179">
        <v>0</v>
      </c>
      <c r="AV179">
        <v>1</v>
      </c>
      <c r="AW179">
        <v>0</v>
      </c>
      <c r="AX179">
        <v>2</v>
      </c>
      <c r="BA179" t="s">
        <v>5584</v>
      </c>
      <c r="BB179" t="s">
        <v>5585</v>
      </c>
      <c r="BD179" t="s">
        <v>5597</v>
      </c>
    </row>
    <row r="180" spans="1:56" ht="135" x14ac:dyDescent="0.25">
      <c r="A180" s="173" t="s">
        <v>993</v>
      </c>
      <c r="B180" s="173" t="s">
        <v>1694</v>
      </c>
      <c r="C180" s="173"/>
      <c r="D180" s="173"/>
      <c r="E180" s="173"/>
      <c r="F180" s="173" t="s">
        <v>5598</v>
      </c>
      <c r="G180" s="173" t="s">
        <v>5599</v>
      </c>
      <c r="H180" s="173"/>
      <c r="I180" s="173"/>
      <c r="J180" s="173" t="s">
        <v>1692</v>
      </c>
      <c r="K180" s="173"/>
      <c r="L180" s="173"/>
      <c r="M180" s="173"/>
      <c r="N180" s="173"/>
      <c r="O180" s="173"/>
      <c r="P180" s="173"/>
      <c r="Q180" s="173"/>
      <c r="R180" s="173" t="s">
        <v>308</v>
      </c>
      <c r="S180" s="173"/>
      <c r="T180" s="173"/>
      <c r="U180" s="173"/>
      <c r="V180" s="173">
        <v>35</v>
      </c>
      <c r="W180" s="173">
        <v>3</v>
      </c>
      <c r="X180" s="173"/>
      <c r="Y180" s="173"/>
      <c r="Z180" s="173">
        <v>639</v>
      </c>
      <c r="AA180" s="173">
        <v>650</v>
      </c>
      <c r="AB180" s="173"/>
      <c r="AC180" s="173" t="s">
        <v>2826</v>
      </c>
      <c r="AD180" s="173"/>
      <c r="AE180" s="173"/>
      <c r="AF180" s="173"/>
      <c r="AG180" s="173"/>
      <c r="AH180" s="173">
        <v>37316</v>
      </c>
      <c r="AI180" s="173">
        <v>2002</v>
      </c>
      <c r="AJ180" s="32" t="s">
        <v>1693</v>
      </c>
      <c r="AO180" t="s">
        <v>5600</v>
      </c>
      <c r="AP180" t="s">
        <v>5601</v>
      </c>
      <c r="AQ180" t="s">
        <v>5602</v>
      </c>
      <c r="AR180" t="s">
        <v>5603</v>
      </c>
      <c r="AS180">
        <v>35</v>
      </c>
      <c r="AT180">
        <v>1</v>
      </c>
      <c r="AU180">
        <v>0</v>
      </c>
      <c r="AV180">
        <v>1</v>
      </c>
      <c r="AW180">
        <v>0</v>
      </c>
      <c r="AX180">
        <v>36</v>
      </c>
      <c r="BA180" t="s">
        <v>5584</v>
      </c>
      <c r="BD180" t="s">
        <v>5604</v>
      </c>
    </row>
    <row r="181" spans="1:56" ht="180" x14ac:dyDescent="0.25">
      <c r="A181" s="173" t="s">
        <v>993</v>
      </c>
      <c r="B181" s="173" t="s">
        <v>1697</v>
      </c>
      <c r="C181" s="173"/>
      <c r="D181" s="173"/>
      <c r="E181" s="173"/>
      <c r="F181" s="173"/>
      <c r="G181" s="173"/>
      <c r="H181" s="173"/>
      <c r="I181" s="173"/>
      <c r="J181" s="173" t="s">
        <v>1695</v>
      </c>
      <c r="K181" s="173"/>
      <c r="L181" s="173"/>
      <c r="M181" s="173"/>
      <c r="N181" s="173"/>
      <c r="O181" s="173"/>
      <c r="P181" s="173"/>
      <c r="Q181" s="173"/>
      <c r="R181" s="173" t="s">
        <v>308</v>
      </c>
      <c r="S181" s="173"/>
      <c r="T181" s="173"/>
      <c r="U181" s="173"/>
      <c r="V181" s="173">
        <v>73</v>
      </c>
      <c r="W181" s="173"/>
      <c r="X181" s="173"/>
      <c r="Y181" s="173"/>
      <c r="Z181" s="173">
        <v>99</v>
      </c>
      <c r="AA181" s="173">
        <v>110</v>
      </c>
      <c r="AB181" s="173"/>
      <c r="AC181" s="173" t="s">
        <v>4507</v>
      </c>
      <c r="AD181" s="173"/>
      <c r="AE181" s="173"/>
      <c r="AF181" s="173"/>
      <c r="AG181" s="173"/>
      <c r="AH181" s="173" t="s">
        <v>3675</v>
      </c>
      <c r="AI181" s="173">
        <v>2018</v>
      </c>
      <c r="AJ181" s="32" t="s">
        <v>1696</v>
      </c>
      <c r="AS181">
        <v>1</v>
      </c>
      <c r="AT181">
        <v>0</v>
      </c>
      <c r="AU181">
        <v>0</v>
      </c>
      <c r="AV181">
        <v>0</v>
      </c>
      <c r="AW181">
        <v>0</v>
      </c>
      <c r="AX181">
        <v>1</v>
      </c>
      <c r="BA181" t="s">
        <v>5584</v>
      </c>
      <c r="BB181" t="s">
        <v>5585</v>
      </c>
      <c r="BD181" t="s">
        <v>5605</v>
      </c>
    </row>
    <row r="182" spans="1:56" ht="195" x14ac:dyDescent="0.25">
      <c r="A182" s="173" t="s">
        <v>993</v>
      </c>
      <c r="B182" s="173" t="s">
        <v>1700</v>
      </c>
      <c r="C182" s="173"/>
      <c r="D182" s="173"/>
      <c r="E182" s="173"/>
      <c r="F182" s="173"/>
      <c r="G182" s="173" t="s">
        <v>5606</v>
      </c>
      <c r="H182" s="173"/>
      <c r="I182" s="173"/>
      <c r="J182" s="173" t="s">
        <v>1698</v>
      </c>
      <c r="K182" s="173"/>
      <c r="L182" s="173"/>
      <c r="M182" s="173"/>
      <c r="N182" s="173"/>
      <c r="O182" s="173"/>
      <c r="P182" s="173"/>
      <c r="Q182" s="173"/>
      <c r="R182" s="173" t="s">
        <v>308</v>
      </c>
      <c r="S182" s="173"/>
      <c r="T182" s="173"/>
      <c r="U182" s="173"/>
      <c r="V182" s="173">
        <v>73</v>
      </c>
      <c r="W182" s="173"/>
      <c r="X182" s="173"/>
      <c r="Y182" s="173"/>
      <c r="Z182" s="173">
        <v>275</v>
      </c>
      <c r="AA182" s="173">
        <v>288</v>
      </c>
      <c r="AB182" s="173"/>
      <c r="AC182" s="173" t="s">
        <v>5607</v>
      </c>
      <c r="AD182" s="173"/>
      <c r="AE182" s="173"/>
      <c r="AF182" s="173"/>
      <c r="AG182" s="173"/>
      <c r="AH182" s="173" t="s">
        <v>3675</v>
      </c>
      <c r="AI182" s="173">
        <v>2018</v>
      </c>
      <c r="AJ182" s="32" t="s">
        <v>1699</v>
      </c>
      <c r="AS182">
        <v>4</v>
      </c>
      <c r="AT182">
        <v>0</v>
      </c>
      <c r="AU182">
        <v>0</v>
      </c>
      <c r="AV182">
        <v>2</v>
      </c>
      <c r="AW182">
        <v>0</v>
      </c>
      <c r="AX182">
        <v>4</v>
      </c>
      <c r="BA182" t="s">
        <v>5584</v>
      </c>
      <c r="BB182" t="s">
        <v>5585</v>
      </c>
      <c r="BD182" t="s">
        <v>5608</v>
      </c>
    </row>
    <row r="183" spans="1:56" ht="75" x14ac:dyDescent="0.25">
      <c r="A183" s="173" t="s">
        <v>993</v>
      </c>
      <c r="B183" s="173" t="s">
        <v>1703</v>
      </c>
      <c r="C183" s="173"/>
      <c r="D183" s="173"/>
      <c r="E183" s="173"/>
      <c r="F183" s="173"/>
      <c r="G183" s="173"/>
      <c r="H183" s="173"/>
      <c r="I183" s="173"/>
      <c r="J183" s="173" t="s">
        <v>1701</v>
      </c>
      <c r="K183" s="173"/>
      <c r="L183" s="173"/>
      <c r="M183" s="173"/>
      <c r="N183" s="173"/>
      <c r="O183" s="173"/>
      <c r="P183" s="173"/>
      <c r="Q183" s="173"/>
      <c r="R183" s="173" t="s">
        <v>305</v>
      </c>
      <c r="S183" s="173"/>
      <c r="T183" s="173"/>
      <c r="U183" s="173"/>
      <c r="V183" s="173">
        <v>48</v>
      </c>
      <c r="W183" s="173"/>
      <c r="X183" s="173"/>
      <c r="Y183" s="173"/>
      <c r="Z183" s="173">
        <v>70</v>
      </c>
      <c r="AA183" s="173">
        <v>80</v>
      </c>
      <c r="AB183" s="173"/>
      <c r="AC183" s="173" t="s">
        <v>2522</v>
      </c>
      <c r="AD183" s="173"/>
      <c r="AE183" s="173"/>
      <c r="AF183" s="173"/>
      <c r="AG183" s="173"/>
      <c r="AH183" s="173" t="s">
        <v>2521</v>
      </c>
      <c r="AI183" s="173">
        <v>2014</v>
      </c>
      <c r="AJ183" s="32" t="s">
        <v>1702</v>
      </c>
      <c r="AS183">
        <v>148</v>
      </c>
      <c r="AT183">
        <v>5</v>
      </c>
      <c r="AU183">
        <v>0</v>
      </c>
      <c r="AV183">
        <v>5</v>
      </c>
      <c r="AW183">
        <v>0</v>
      </c>
      <c r="AX183">
        <v>152</v>
      </c>
      <c r="BA183" t="s">
        <v>5609</v>
      </c>
      <c r="BB183" t="s">
        <v>5610</v>
      </c>
      <c r="BD183" t="s">
        <v>5611</v>
      </c>
    </row>
    <row r="184" spans="1:56" ht="135" x14ac:dyDescent="0.25">
      <c r="A184" s="173" t="s">
        <v>993</v>
      </c>
      <c r="B184" s="173" t="s">
        <v>1706</v>
      </c>
      <c r="C184" s="173"/>
      <c r="D184" s="173"/>
      <c r="E184" s="173"/>
      <c r="F184" s="173"/>
      <c r="G184" s="173"/>
      <c r="H184" s="173"/>
      <c r="I184" s="173"/>
      <c r="J184" s="173" t="s">
        <v>1704</v>
      </c>
      <c r="K184" s="173"/>
      <c r="L184" s="173"/>
      <c r="M184" s="173"/>
      <c r="N184" s="173"/>
      <c r="O184" s="173"/>
      <c r="P184" s="173"/>
      <c r="Q184" s="173"/>
      <c r="R184" s="173" t="s">
        <v>305</v>
      </c>
      <c r="S184" s="173"/>
      <c r="T184" s="173"/>
      <c r="U184" s="173"/>
      <c r="V184" s="173">
        <v>114</v>
      </c>
      <c r="W184" s="173"/>
      <c r="X184" s="173" t="s">
        <v>1948</v>
      </c>
      <c r="Y184" s="173"/>
      <c r="Z184" s="173">
        <v>63</v>
      </c>
      <c r="AA184" s="173">
        <v>72</v>
      </c>
      <c r="AB184" s="173"/>
      <c r="AC184" s="173" t="s">
        <v>4453</v>
      </c>
      <c r="AD184" s="173"/>
      <c r="AE184" s="173"/>
      <c r="AF184" s="173"/>
      <c r="AG184" s="173"/>
      <c r="AH184" s="173" t="s">
        <v>4452</v>
      </c>
      <c r="AI184" s="173">
        <v>2018</v>
      </c>
      <c r="AJ184" s="32" t="s">
        <v>1705</v>
      </c>
      <c r="AS184">
        <v>1</v>
      </c>
      <c r="AT184">
        <v>0</v>
      </c>
      <c r="AU184">
        <v>0</v>
      </c>
      <c r="AV184">
        <v>0</v>
      </c>
      <c r="AW184">
        <v>0</v>
      </c>
      <c r="AX184">
        <v>1</v>
      </c>
      <c r="BA184" t="s">
        <v>5609</v>
      </c>
      <c r="BB184" t="s">
        <v>5610</v>
      </c>
      <c r="BD184" t="s">
        <v>5612</v>
      </c>
    </row>
    <row r="185" spans="1:56" ht="120" x14ac:dyDescent="0.25">
      <c r="A185" s="173" t="s">
        <v>993</v>
      </c>
      <c r="B185" s="173" t="s">
        <v>1709</v>
      </c>
      <c r="C185" s="173"/>
      <c r="D185" s="173"/>
      <c r="E185" s="173"/>
      <c r="F185" s="173" t="s">
        <v>5613</v>
      </c>
      <c r="G185" s="173" t="s">
        <v>5614</v>
      </c>
      <c r="H185" s="173"/>
      <c r="I185" s="173"/>
      <c r="J185" s="173" t="s">
        <v>1707</v>
      </c>
      <c r="K185" s="173"/>
      <c r="L185" s="173"/>
      <c r="M185" s="173"/>
      <c r="N185" s="173"/>
      <c r="O185" s="173"/>
      <c r="P185" s="173"/>
      <c r="Q185" s="173"/>
      <c r="R185" s="173" t="s">
        <v>305</v>
      </c>
      <c r="S185" s="173"/>
      <c r="T185" s="173"/>
      <c r="U185" s="173"/>
      <c r="V185" s="173">
        <v>32</v>
      </c>
      <c r="W185" s="173">
        <v>12</v>
      </c>
      <c r="X185" s="173"/>
      <c r="Y185" s="173"/>
      <c r="Z185" s="173">
        <v>1598</v>
      </c>
      <c r="AA185" s="173">
        <v>1603</v>
      </c>
      <c r="AB185" s="173"/>
      <c r="AC185" s="173" t="s">
        <v>2503</v>
      </c>
      <c r="AD185" s="173"/>
      <c r="AE185" s="173"/>
      <c r="AF185" s="173"/>
      <c r="AG185" s="173"/>
      <c r="AH185" s="173" t="s">
        <v>2502</v>
      </c>
      <c r="AI185" s="173">
        <v>2011</v>
      </c>
      <c r="AJ185" s="32" t="s">
        <v>1708</v>
      </c>
      <c r="AS185">
        <v>176</v>
      </c>
      <c r="AT185">
        <v>23</v>
      </c>
      <c r="AU185">
        <v>1</v>
      </c>
      <c r="AV185">
        <v>8</v>
      </c>
      <c r="AW185">
        <v>0</v>
      </c>
      <c r="AX185">
        <v>199</v>
      </c>
      <c r="BA185" t="s">
        <v>5609</v>
      </c>
      <c r="BD185" t="s">
        <v>5615</v>
      </c>
    </row>
    <row r="186" spans="1:56" ht="75" x14ac:dyDescent="0.25">
      <c r="A186" s="173" t="s">
        <v>993</v>
      </c>
      <c r="B186" s="173" t="s">
        <v>1712</v>
      </c>
      <c r="C186" s="173"/>
      <c r="D186" s="173"/>
      <c r="E186" s="173"/>
      <c r="F186" s="173" t="s">
        <v>5616</v>
      </c>
      <c r="G186" s="173" t="s">
        <v>5617</v>
      </c>
      <c r="H186" s="173"/>
      <c r="I186" s="173"/>
      <c r="J186" s="173" t="s">
        <v>1710</v>
      </c>
      <c r="K186" s="173"/>
      <c r="L186" s="173"/>
      <c r="M186" s="173"/>
      <c r="N186" s="173"/>
      <c r="O186" s="173"/>
      <c r="P186" s="173"/>
      <c r="Q186" s="173"/>
      <c r="R186" s="173" t="s">
        <v>305</v>
      </c>
      <c r="S186" s="173"/>
      <c r="T186" s="173"/>
      <c r="U186" s="173"/>
      <c r="V186" s="173">
        <v>25</v>
      </c>
      <c r="W186" s="173">
        <v>3</v>
      </c>
      <c r="X186" s="173"/>
      <c r="Y186" s="173"/>
      <c r="Z186" s="173">
        <v>311</v>
      </c>
      <c r="AA186" s="173">
        <v>318</v>
      </c>
      <c r="AB186" s="173"/>
      <c r="AC186" s="173" t="s">
        <v>2542</v>
      </c>
      <c r="AD186" s="173"/>
      <c r="AE186" s="173"/>
      <c r="AF186" s="173"/>
      <c r="AG186" s="173"/>
      <c r="AH186" s="173">
        <v>38018</v>
      </c>
      <c r="AI186" s="173">
        <v>2004</v>
      </c>
      <c r="AJ186" s="32" t="s">
        <v>1711</v>
      </c>
      <c r="AS186">
        <v>117</v>
      </c>
      <c r="AT186">
        <v>12</v>
      </c>
      <c r="AU186">
        <v>0</v>
      </c>
      <c r="AV186">
        <v>8</v>
      </c>
      <c r="AW186">
        <v>1</v>
      </c>
      <c r="AX186">
        <v>128</v>
      </c>
      <c r="BA186" t="s">
        <v>5609</v>
      </c>
      <c r="BD186" t="s">
        <v>5618</v>
      </c>
    </row>
    <row r="187" spans="1:56" ht="135" x14ac:dyDescent="0.25">
      <c r="A187" s="173" t="s">
        <v>993</v>
      </c>
      <c r="B187" s="173" t="s">
        <v>1715</v>
      </c>
      <c r="C187" s="173"/>
      <c r="D187" s="173"/>
      <c r="E187" s="173"/>
      <c r="F187" s="173" t="s">
        <v>5619</v>
      </c>
      <c r="G187" s="173"/>
      <c r="H187" s="173"/>
      <c r="I187" s="173"/>
      <c r="J187" s="173" t="s">
        <v>1713</v>
      </c>
      <c r="K187" s="173"/>
      <c r="L187" s="173"/>
      <c r="M187" s="173"/>
      <c r="N187" s="173"/>
      <c r="O187" s="173"/>
      <c r="P187" s="173"/>
      <c r="Q187" s="173"/>
      <c r="R187" s="173" t="s">
        <v>305</v>
      </c>
      <c r="S187" s="173"/>
      <c r="T187" s="173"/>
      <c r="U187" s="173"/>
      <c r="V187" s="173">
        <v>43</v>
      </c>
      <c r="W187" s="173"/>
      <c r="X187" s="173"/>
      <c r="Y187" s="173"/>
      <c r="Z187" s="173">
        <v>3</v>
      </c>
      <c r="AA187" s="173">
        <v>16</v>
      </c>
      <c r="AB187" s="173"/>
      <c r="AC187" s="173" t="s">
        <v>4913</v>
      </c>
      <c r="AD187" s="173"/>
      <c r="AE187" s="173"/>
      <c r="AF187" s="173"/>
      <c r="AG187" s="173"/>
      <c r="AH187" s="173" t="s">
        <v>4912</v>
      </c>
      <c r="AI187" s="173">
        <v>2014</v>
      </c>
      <c r="AJ187" s="32" t="s">
        <v>1714</v>
      </c>
      <c r="AS187">
        <v>3</v>
      </c>
      <c r="AT187">
        <v>0</v>
      </c>
      <c r="AU187">
        <v>0</v>
      </c>
      <c r="AV187">
        <v>1</v>
      </c>
      <c r="AW187">
        <v>0</v>
      </c>
      <c r="AX187">
        <v>3</v>
      </c>
      <c r="BA187" t="s">
        <v>5609</v>
      </c>
      <c r="BB187" t="s">
        <v>5610</v>
      </c>
      <c r="BD187" t="s">
        <v>5620</v>
      </c>
    </row>
    <row r="188" spans="1:56" ht="105" x14ac:dyDescent="0.25">
      <c r="A188" s="173" t="s">
        <v>993</v>
      </c>
      <c r="B188" s="173" t="s">
        <v>1718</v>
      </c>
      <c r="C188" s="173"/>
      <c r="D188" s="173"/>
      <c r="E188" s="173"/>
      <c r="F188" s="173"/>
      <c r="G188" s="173" t="s">
        <v>5621</v>
      </c>
      <c r="H188" s="173"/>
      <c r="I188" s="173"/>
      <c r="J188" s="173" t="s">
        <v>1716</v>
      </c>
      <c r="K188" s="173"/>
      <c r="L188" s="173"/>
      <c r="M188" s="173"/>
      <c r="N188" s="173"/>
      <c r="O188" s="173"/>
      <c r="P188" s="173"/>
      <c r="Q188" s="173"/>
      <c r="R188" s="173" t="s">
        <v>305</v>
      </c>
      <c r="S188" s="173"/>
      <c r="T188" s="173"/>
      <c r="U188" s="173"/>
      <c r="V188" s="173">
        <v>72</v>
      </c>
      <c r="W188" s="173"/>
      <c r="X188" s="173" t="s">
        <v>1948</v>
      </c>
      <c r="Y188" s="173"/>
      <c r="Z188" s="173">
        <v>4</v>
      </c>
      <c r="AA188" s="173">
        <v>14</v>
      </c>
      <c r="AB188" s="173"/>
      <c r="AC188" s="173" t="s">
        <v>3914</v>
      </c>
      <c r="AD188" s="173"/>
      <c r="AE188" s="173"/>
      <c r="AF188" s="173"/>
      <c r="AG188" s="173"/>
      <c r="AH188" s="173" t="s">
        <v>3913</v>
      </c>
      <c r="AI188" s="173">
        <v>2016</v>
      </c>
      <c r="AJ188" s="32" t="s">
        <v>1717</v>
      </c>
      <c r="AO188" t="s">
        <v>5622</v>
      </c>
      <c r="AP188" t="s">
        <v>5623</v>
      </c>
      <c r="AQ188" t="s">
        <v>5624</v>
      </c>
      <c r="AR188" t="s">
        <v>5625</v>
      </c>
      <c r="AS188">
        <v>4</v>
      </c>
      <c r="AT188">
        <v>0</v>
      </c>
      <c r="AU188">
        <v>0</v>
      </c>
      <c r="AV188">
        <v>1</v>
      </c>
      <c r="AW188">
        <v>0</v>
      </c>
      <c r="AX188">
        <v>4</v>
      </c>
      <c r="BA188" t="s">
        <v>5609</v>
      </c>
      <c r="BB188" t="s">
        <v>5610</v>
      </c>
      <c r="BD188" t="s">
        <v>5626</v>
      </c>
    </row>
    <row r="189" spans="1:56" ht="120" x14ac:dyDescent="0.25">
      <c r="A189" s="173" t="s">
        <v>993</v>
      </c>
      <c r="B189" s="173" t="s">
        <v>1721</v>
      </c>
      <c r="C189" s="173"/>
      <c r="D189" s="173"/>
      <c r="E189" s="173"/>
      <c r="F189" s="173"/>
      <c r="G189" s="173"/>
      <c r="H189" s="173"/>
      <c r="I189" s="173"/>
      <c r="J189" s="173" t="s">
        <v>1719</v>
      </c>
      <c r="K189" s="173"/>
      <c r="L189" s="173"/>
      <c r="M189" s="173"/>
      <c r="N189" s="173"/>
      <c r="O189" s="173"/>
      <c r="P189" s="173"/>
      <c r="Q189" s="173"/>
      <c r="R189" s="173" t="s">
        <v>305</v>
      </c>
      <c r="S189" s="173"/>
      <c r="T189" s="173"/>
      <c r="U189" s="173"/>
      <c r="V189" s="173">
        <v>112</v>
      </c>
      <c r="W189" s="173"/>
      <c r="X189" s="173"/>
      <c r="Y189" s="173"/>
      <c r="Z189" s="173">
        <v>303</v>
      </c>
      <c r="AA189" s="173">
        <v>309</v>
      </c>
      <c r="AB189" s="173"/>
      <c r="AC189" s="173" t="s">
        <v>4088</v>
      </c>
      <c r="AD189" s="173"/>
      <c r="AE189" s="173"/>
      <c r="AF189" s="173"/>
      <c r="AG189" s="173"/>
      <c r="AH189" s="173" t="s">
        <v>4087</v>
      </c>
      <c r="AI189" s="173">
        <v>2018</v>
      </c>
      <c r="AJ189" s="32" t="s">
        <v>1720</v>
      </c>
      <c r="AS189">
        <v>0</v>
      </c>
      <c r="AT189">
        <v>0</v>
      </c>
      <c r="AU189">
        <v>0</v>
      </c>
      <c r="AV189">
        <v>0</v>
      </c>
      <c r="AW189">
        <v>0</v>
      </c>
      <c r="AX189">
        <v>0</v>
      </c>
      <c r="BA189" t="s">
        <v>5609</v>
      </c>
      <c r="BB189" t="s">
        <v>5610</v>
      </c>
      <c r="BD189" t="s">
        <v>5627</v>
      </c>
    </row>
    <row r="190" spans="1:56" ht="75" x14ac:dyDescent="0.25">
      <c r="A190" s="173" t="s">
        <v>993</v>
      </c>
      <c r="B190" s="173" t="s">
        <v>1724</v>
      </c>
      <c r="C190" s="173"/>
      <c r="D190" s="173"/>
      <c r="E190" s="173"/>
      <c r="F190" s="173" t="s">
        <v>5628</v>
      </c>
      <c r="G190" s="173" t="s">
        <v>5629</v>
      </c>
      <c r="H190" s="173"/>
      <c r="I190" s="173"/>
      <c r="J190" s="173" t="s">
        <v>1722</v>
      </c>
      <c r="K190" s="173"/>
      <c r="L190" s="173"/>
      <c r="M190" s="173"/>
      <c r="N190" s="173"/>
      <c r="O190" s="173"/>
      <c r="P190" s="173"/>
      <c r="Q190" s="173"/>
      <c r="R190" s="173" t="s">
        <v>305</v>
      </c>
      <c r="S190" s="173"/>
      <c r="T190" s="173"/>
      <c r="U190" s="173"/>
      <c r="V190" s="173">
        <v>31</v>
      </c>
      <c r="W190" s="173">
        <v>10</v>
      </c>
      <c r="X190" s="173" t="s">
        <v>1948</v>
      </c>
      <c r="Y190" s="173"/>
      <c r="Z190" s="173">
        <v>1128</v>
      </c>
      <c r="AA190" s="173">
        <v>1137</v>
      </c>
      <c r="AB190" s="173"/>
      <c r="AC190" s="173" t="s">
        <v>3089</v>
      </c>
      <c r="AD190" s="173"/>
      <c r="AE190" s="173"/>
      <c r="AF190" s="173"/>
      <c r="AG190" s="173"/>
      <c r="AH190" s="173" t="s">
        <v>3088</v>
      </c>
      <c r="AI190" s="173">
        <v>2010</v>
      </c>
      <c r="AJ190" s="32" t="s">
        <v>1723</v>
      </c>
      <c r="AS190">
        <v>20</v>
      </c>
      <c r="AT190">
        <v>1</v>
      </c>
      <c r="AU190">
        <v>0</v>
      </c>
      <c r="AV190">
        <v>4</v>
      </c>
      <c r="AW190">
        <v>0</v>
      </c>
      <c r="AX190">
        <v>21</v>
      </c>
      <c r="BA190" t="s">
        <v>5609</v>
      </c>
      <c r="BB190" t="s">
        <v>5610</v>
      </c>
      <c r="BD190" t="s">
        <v>5630</v>
      </c>
    </row>
    <row r="191" spans="1:56" ht="150" x14ac:dyDescent="0.25">
      <c r="A191" s="173" t="s">
        <v>993</v>
      </c>
      <c r="B191" s="173" t="s">
        <v>1727</v>
      </c>
      <c r="C191" s="173"/>
      <c r="D191" s="173"/>
      <c r="E191" s="173"/>
      <c r="F191" s="173"/>
      <c r="G191" s="173"/>
      <c r="H191" s="173"/>
      <c r="I191" s="173"/>
      <c r="J191" s="173" t="s">
        <v>1725</v>
      </c>
      <c r="K191" s="173"/>
      <c r="L191" s="173"/>
      <c r="M191" s="173"/>
      <c r="N191" s="173"/>
      <c r="O191" s="173"/>
      <c r="P191" s="173"/>
      <c r="Q191" s="173"/>
      <c r="R191" s="173" t="s">
        <v>305</v>
      </c>
      <c r="S191" s="173"/>
      <c r="T191" s="173"/>
      <c r="U191" s="173"/>
      <c r="V191" s="173">
        <v>31</v>
      </c>
      <c r="W191" s="173">
        <v>2</v>
      </c>
      <c r="X191" s="173"/>
      <c r="Y191" s="173"/>
      <c r="Z191" s="173">
        <v>100</v>
      </c>
      <c r="AA191" s="173">
        <v>111</v>
      </c>
      <c r="AB191" s="173"/>
      <c r="AC191" s="173" t="s">
        <v>2577</v>
      </c>
      <c r="AD191" s="173"/>
      <c r="AE191" s="173"/>
      <c r="AF191" s="173"/>
      <c r="AG191" s="173"/>
      <c r="AH191" s="173" t="s">
        <v>2576</v>
      </c>
      <c r="AI191" s="173">
        <v>2010</v>
      </c>
      <c r="AJ191" s="32" t="s">
        <v>1726</v>
      </c>
      <c r="AS191">
        <v>89</v>
      </c>
      <c r="AT191">
        <v>12</v>
      </c>
      <c r="AU191">
        <v>0</v>
      </c>
      <c r="AV191">
        <v>3</v>
      </c>
      <c r="AW191">
        <v>0</v>
      </c>
      <c r="AX191">
        <v>101</v>
      </c>
      <c r="BA191" t="s">
        <v>5609</v>
      </c>
      <c r="BD191" t="s">
        <v>5631</v>
      </c>
    </row>
    <row r="192" spans="1:56" ht="135" x14ac:dyDescent="0.25">
      <c r="A192" s="173" t="s">
        <v>993</v>
      </c>
      <c r="B192" s="173" t="s">
        <v>1730</v>
      </c>
      <c r="C192" s="173"/>
      <c r="D192" s="173"/>
      <c r="E192" s="173"/>
      <c r="F192" s="173"/>
      <c r="G192" s="173" t="s">
        <v>5632</v>
      </c>
      <c r="H192" s="173"/>
      <c r="I192" s="173"/>
      <c r="J192" s="173" t="s">
        <v>1728</v>
      </c>
      <c r="K192" s="173"/>
      <c r="L192" s="173"/>
      <c r="M192" s="173"/>
      <c r="N192" s="173"/>
      <c r="O192" s="173"/>
      <c r="P192" s="173"/>
      <c r="Q192" s="173"/>
      <c r="R192" s="173" t="s">
        <v>305</v>
      </c>
      <c r="S192" s="173"/>
      <c r="T192" s="173"/>
      <c r="U192" s="173"/>
      <c r="V192" s="173">
        <v>105</v>
      </c>
      <c r="W192" s="173"/>
      <c r="X192" s="173" t="s">
        <v>1948</v>
      </c>
      <c r="Y192" s="173"/>
      <c r="Z192" s="173">
        <v>13</v>
      </c>
      <c r="AA192" s="173">
        <v>22</v>
      </c>
      <c r="AB192" s="173"/>
      <c r="AC192" s="173" t="s">
        <v>4690</v>
      </c>
      <c r="AD192" s="173"/>
      <c r="AE192" s="173"/>
      <c r="AF192" s="173"/>
      <c r="AG192" s="173"/>
      <c r="AH192" s="173" t="s">
        <v>4689</v>
      </c>
      <c r="AI192" s="173">
        <v>2018</v>
      </c>
      <c r="AJ192" s="32" t="s">
        <v>1729</v>
      </c>
      <c r="AS192">
        <v>2</v>
      </c>
      <c r="AT192">
        <v>0</v>
      </c>
      <c r="AU192">
        <v>0</v>
      </c>
      <c r="AV192">
        <v>0</v>
      </c>
      <c r="AW192">
        <v>0</v>
      </c>
      <c r="AX192">
        <v>2</v>
      </c>
      <c r="BA192" t="s">
        <v>5609</v>
      </c>
      <c r="BB192" t="s">
        <v>5610</v>
      </c>
      <c r="BD192" t="s">
        <v>5633</v>
      </c>
    </row>
    <row r="193" spans="1:56" ht="135" x14ac:dyDescent="0.25">
      <c r="A193" s="173" t="s">
        <v>993</v>
      </c>
      <c r="B193" s="173" t="s">
        <v>1733</v>
      </c>
      <c r="C193" s="173"/>
      <c r="D193" s="173"/>
      <c r="E193" s="173"/>
      <c r="F193" s="173"/>
      <c r="G193" s="173" t="s">
        <v>5634</v>
      </c>
      <c r="H193" s="173"/>
      <c r="I193" s="173"/>
      <c r="J193" s="173" t="s">
        <v>1731</v>
      </c>
      <c r="K193" s="173"/>
      <c r="L193" s="173"/>
      <c r="M193" s="173"/>
      <c r="N193" s="173"/>
      <c r="O193" s="173"/>
      <c r="P193" s="173"/>
      <c r="Q193" s="173"/>
      <c r="R193" s="173" t="s">
        <v>305</v>
      </c>
      <c r="S193" s="173"/>
      <c r="T193" s="173"/>
      <c r="U193" s="173"/>
      <c r="V193" s="173">
        <v>67</v>
      </c>
      <c r="W193" s="173"/>
      <c r="X193" s="173"/>
      <c r="Y193" s="173"/>
      <c r="Z193" s="173">
        <v>66</v>
      </c>
      <c r="AA193" s="173">
        <v>74</v>
      </c>
      <c r="AB193" s="173"/>
      <c r="AC193" s="173" t="s">
        <v>4751</v>
      </c>
      <c r="AD193" s="173"/>
      <c r="AE193" s="173"/>
      <c r="AF193" s="173"/>
      <c r="AG193" s="173"/>
      <c r="AH193" s="173" t="s">
        <v>2616</v>
      </c>
      <c r="AI193" s="173">
        <v>2015</v>
      </c>
      <c r="AJ193" s="32" t="s">
        <v>1732</v>
      </c>
      <c r="AS193">
        <v>2</v>
      </c>
      <c r="AT193">
        <v>1</v>
      </c>
      <c r="AU193">
        <v>0</v>
      </c>
      <c r="AV193">
        <v>0</v>
      </c>
      <c r="AW193">
        <v>0</v>
      </c>
      <c r="AX193">
        <v>3</v>
      </c>
      <c r="BA193" t="s">
        <v>5609</v>
      </c>
      <c r="BB193" t="s">
        <v>5610</v>
      </c>
      <c r="BD193" t="s">
        <v>5635</v>
      </c>
    </row>
    <row r="194" spans="1:56" ht="105" x14ac:dyDescent="0.25">
      <c r="A194" s="173" t="s">
        <v>993</v>
      </c>
      <c r="B194" s="173" t="s">
        <v>1736</v>
      </c>
      <c r="C194" s="173"/>
      <c r="D194" s="173"/>
      <c r="E194" s="173"/>
      <c r="F194" s="173"/>
      <c r="G194" s="173"/>
      <c r="H194" s="173"/>
      <c r="I194" s="173"/>
      <c r="J194" s="173" t="s">
        <v>1734</v>
      </c>
      <c r="K194" s="173"/>
      <c r="L194" s="173"/>
      <c r="M194" s="173"/>
      <c r="N194" s="173"/>
      <c r="O194" s="173"/>
      <c r="P194" s="173"/>
      <c r="Q194" s="173"/>
      <c r="R194" s="173" t="s">
        <v>305</v>
      </c>
      <c r="S194" s="173"/>
      <c r="T194" s="173"/>
      <c r="U194" s="173"/>
      <c r="V194" s="173">
        <v>34</v>
      </c>
      <c r="W194" s="173">
        <v>15</v>
      </c>
      <c r="X194" s="173" t="s">
        <v>1948</v>
      </c>
      <c r="Y194" s="173"/>
      <c r="Z194" s="173">
        <v>1771</v>
      </c>
      <c r="AA194" s="173">
        <v>1779</v>
      </c>
      <c r="AB194" s="173"/>
      <c r="AC194" s="173" t="s">
        <v>3803</v>
      </c>
      <c r="AD194" s="173"/>
      <c r="AE194" s="173"/>
      <c r="AF194" s="173"/>
      <c r="AG194" s="173"/>
      <c r="AH194" s="173" t="s">
        <v>3618</v>
      </c>
      <c r="AI194" s="173">
        <v>2013</v>
      </c>
      <c r="AJ194" s="32" t="s">
        <v>1735</v>
      </c>
      <c r="AS194">
        <v>5</v>
      </c>
      <c r="AT194">
        <v>0</v>
      </c>
      <c r="AU194">
        <v>0</v>
      </c>
      <c r="AV194">
        <v>1</v>
      </c>
      <c r="AW194">
        <v>0</v>
      </c>
      <c r="AX194">
        <v>5</v>
      </c>
      <c r="BA194" t="s">
        <v>5609</v>
      </c>
      <c r="BD194" t="s">
        <v>5636</v>
      </c>
    </row>
    <row r="195" spans="1:56" ht="135" x14ac:dyDescent="0.25">
      <c r="A195" s="173" t="s">
        <v>993</v>
      </c>
      <c r="B195" s="173" t="s">
        <v>1739</v>
      </c>
      <c r="C195" s="173"/>
      <c r="D195" s="173"/>
      <c r="E195" s="173"/>
      <c r="F195" s="173"/>
      <c r="G195" s="173"/>
      <c r="H195" s="173"/>
      <c r="I195" s="173"/>
      <c r="J195" s="173" t="s">
        <v>1737</v>
      </c>
      <c r="K195" s="173"/>
      <c r="L195" s="173"/>
      <c r="M195" s="173"/>
      <c r="N195" s="173"/>
      <c r="O195" s="173"/>
      <c r="P195" s="173"/>
      <c r="Q195" s="173"/>
      <c r="R195" s="173" t="s">
        <v>305</v>
      </c>
      <c r="S195" s="173"/>
      <c r="T195" s="173"/>
      <c r="U195" s="173"/>
      <c r="V195" s="173">
        <v>23</v>
      </c>
      <c r="W195" s="173">
        <v>11</v>
      </c>
      <c r="X195" s="173"/>
      <c r="Y195" s="173"/>
      <c r="Z195" s="173">
        <v>1263</v>
      </c>
      <c r="AA195" s="173">
        <v>1270</v>
      </c>
      <c r="AB195" s="173" t="s">
        <v>3746</v>
      </c>
      <c r="AC195" s="173" t="s">
        <v>3747</v>
      </c>
      <c r="AD195" s="173"/>
      <c r="AE195" s="173"/>
      <c r="AF195" s="173"/>
      <c r="AG195" s="173"/>
      <c r="AH195" s="173">
        <v>37500</v>
      </c>
      <c r="AI195" s="173">
        <v>2002</v>
      </c>
      <c r="AJ195" s="32" t="s">
        <v>1738</v>
      </c>
      <c r="AS195">
        <v>6</v>
      </c>
      <c r="AT195">
        <v>0</v>
      </c>
      <c r="AU195">
        <v>0</v>
      </c>
      <c r="AV195">
        <v>0</v>
      </c>
      <c r="AW195">
        <v>0</v>
      </c>
      <c r="AX195">
        <v>6</v>
      </c>
      <c r="BA195" t="s">
        <v>5609</v>
      </c>
      <c r="BD195" t="s">
        <v>5637</v>
      </c>
    </row>
    <row r="196" spans="1:56" ht="135" x14ac:dyDescent="0.25">
      <c r="A196" s="173" t="s">
        <v>993</v>
      </c>
      <c r="B196" s="173" t="s">
        <v>1176</v>
      </c>
      <c r="C196" s="173"/>
      <c r="D196" s="173"/>
      <c r="E196" s="173"/>
      <c r="F196" s="173" t="s">
        <v>5638</v>
      </c>
      <c r="G196" s="173" t="s">
        <v>5639</v>
      </c>
      <c r="H196" s="173"/>
      <c r="I196" s="173"/>
      <c r="J196" s="173" t="s">
        <v>1174</v>
      </c>
      <c r="K196" s="173"/>
      <c r="L196" s="173"/>
      <c r="M196" s="173"/>
      <c r="N196" s="173"/>
      <c r="O196" s="173"/>
      <c r="P196" s="173"/>
      <c r="Q196" s="173"/>
      <c r="R196" s="173" t="s">
        <v>305</v>
      </c>
      <c r="S196" s="173"/>
      <c r="T196" s="173"/>
      <c r="U196" s="173"/>
      <c r="V196" s="173">
        <v>34</v>
      </c>
      <c r="W196" s="173">
        <v>1</v>
      </c>
      <c r="X196" s="173" t="s">
        <v>1948</v>
      </c>
      <c r="Y196" s="173"/>
      <c r="Z196" s="173">
        <v>3</v>
      </c>
      <c r="AA196" s="173">
        <v>19</v>
      </c>
      <c r="AB196" s="173"/>
      <c r="AC196" s="173" t="s">
        <v>5640</v>
      </c>
      <c r="AD196" s="173"/>
      <c r="AE196" s="173"/>
      <c r="AF196" s="173"/>
      <c r="AG196" s="173"/>
      <c r="AH196" s="173" t="s">
        <v>3263</v>
      </c>
      <c r="AI196" s="173">
        <v>2013</v>
      </c>
      <c r="AJ196" s="32" t="s">
        <v>1175</v>
      </c>
      <c r="AS196">
        <v>179</v>
      </c>
      <c r="AT196">
        <v>21</v>
      </c>
      <c r="AU196">
        <v>0</v>
      </c>
      <c r="AV196">
        <v>5</v>
      </c>
      <c r="AW196">
        <v>0</v>
      </c>
      <c r="AX196">
        <v>200</v>
      </c>
      <c r="BA196" t="s">
        <v>5609</v>
      </c>
      <c r="BB196" t="s">
        <v>5610</v>
      </c>
      <c r="BD196" t="s">
        <v>5641</v>
      </c>
    </row>
    <row r="197" spans="1:56" ht="120" x14ac:dyDescent="0.25">
      <c r="A197" s="173" t="s">
        <v>1172</v>
      </c>
      <c r="B197" s="173" t="s">
        <v>1742</v>
      </c>
      <c r="C197" s="173"/>
      <c r="D197" s="173"/>
      <c r="E197" s="173"/>
      <c r="F197" s="173" t="s">
        <v>5642</v>
      </c>
      <c r="G197" s="173"/>
      <c r="H197" s="173" t="s">
        <v>2491</v>
      </c>
      <c r="I197" s="173"/>
      <c r="J197" s="173" t="s">
        <v>1740</v>
      </c>
      <c r="K197" s="173"/>
      <c r="L197" s="173"/>
      <c r="M197" s="173"/>
      <c r="N197" s="173"/>
      <c r="O197" s="173"/>
      <c r="P197" s="173"/>
      <c r="Q197" s="173"/>
      <c r="R197" s="173" t="s">
        <v>344</v>
      </c>
      <c r="S197" s="173"/>
      <c r="T197" s="173" t="s">
        <v>5643</v>
      </c>
      <c r="U197" s="173"/>
      <c r="V197" s="173">
        <v>2781</v>
      </c>
      <c r="W197" s="173"/>
      <c r="X197" s="173"/>
      <c r="Y197" s="173"/>
      <c r="Z197" s="173">
        <v>297</v>
      </c>
      <c r="AA197" s="173">
        <v>304</v>
      </c>
      <c r="AB197" s="173"/>
      <c r="AC197" s="173"/>
      <c r="AD197" s="173"/>
      <c r="AE197" s="173"/>
      <c r="AF197" s="173"/>
      <c r="AG197" s="173"/>
      <c r="AH197" s="173">
        <v>2003</v>
      </c>
      <c r="AI197" s="173">
        <v>2003</v>
      </c>
      <c r="AJ197" s="32" t="s">
        <v>1741</v>
      </c>
      <c r="AO197" t="s">
        <v>5644</v>
      </c>
      <c r="AP197" t="s">
        <v>5645</v>
      </c>
      <c r="AQ197" t="s">
        <v>5646</v>
      </c>
      <c r="AR197" t="s">
        <v>5647</v>
      </c>
      <c r="AS197">
        <v>213</v>
      </c>
      <c r="AT197">
        <v>23</v>
      </c>
      <c r="AU197">
        <v>1</v>
      </c>
      <c r="AV197">
        <v>4</v>
      </c>
      <c r="AW197">
        <v>1</v>
      </c>
      <c r="AX197">
        <v>237</v>
      </c>
      <c r="BA197" t="s">
        <v>5175</v>
      </c>
      <c r="BC197" t="s">
        <v>5648</v>
      </c>
      <c r="BD197" t="s">
        <v>5649</v>
      </c>
    </row>
    <row r="198" spans="1:56" ht="90" x14ac:dyDescent="0.25">
      <c r="A198" s="173" t="s">
        <v>1172</v>
      </c>
      <c r="B198" s="173" t="s">
        <v>1745</v>
      </c>
      <c r="C198" s="173"/>
      <c r="D198" s="173"/>
      <c r="E198" s="173"/>
      <c r="F198" s="173"/>
      <c r="G198" s="173"/>
      <c r="H198" s="173" t="s">
        <v>4814</v>
      </c>
      <c r="I198" s="173"/>
      <c r="J198" s="173" t="s">
        <v>1743</v>
      </c>
      <c r="K198" s="173"/>
      <c r="L198" s="173"/>
      <c r="M198" s="173"/>
      <c r="N198" s="173"/>
      <c r="O198" s="173"/>
      <c r="P198" s="173"/>
      <c r="Q198" s="173"/>
      <c r="R198" s="173" t="s">
        <v>345</v>
      </c>
      <c r="S198" s="173"/>
      <c r="T198" s="173" t="s">
        <v>5650</v>
      </c>
      <c r="U198" s="173"/>
      <c r="V198" s="173">
        <v>3808</v>
      </c>
      <c r="W198" s="173"/>
      <c r="X198" s="173"/>
      <c r="Y198" s="173"/>
      <c r="Z198" s="173">
        <v>87</v>
      </c>
      <c r="AA198" s="173">
        <v>98</v>
      </c>
      <c r="AB198" s="173"/>
      <c r="AC198" s="173"/>
      <c r="AD198" s="173"/>
      <c r="AE198" s="173"/>
      <c r="AF198" s="173"/>
      <c r="AG198" s="173"/>
      <c r="AH198" s="173">
        <v>2005</v>
      </c>
      <c r="AI198" s="173">
        <v>2005</v>
      </c>
      <c r="AJ198" s="32" t="s">
        <v>1744</v>
      </c>
      <c r="AO198" t="s">
        <v>5651</v>
      </c>
      <c r="AP198" t="s">
        <v>5652</v>
      </c>
      <c r="AQ198" t="s">
        <v>5653</v>
      </c>
      <c r="AR198" t="s">
        <v>5654</v>
      </c>
      <c r="AS198">
        <v>2</v>
      </c>
      <c r="AT198">
        <v>0</v>
      </c>
      <c r="AU198">
        <v>0</v>
      </c>
      <c r="AV198">
        <v>0</v>
      </c>
      <c r="AW198">
        <v>0</v>
      </c>
      <c r="AX198">
        <v>2</v>
      </c>
      <c r="BA198" t="s">
        <v>5175</v>
      </c>
      <c r="BC198" t="s">
        <v>5655</v>
      </c>
      <c r="BD198" t="s">
        <v>5656</v>
      </c>
    </row>
    <row r="199" spans="1:56" ht="165" x14ac:dyDescent="0.25">
      <c r="A199" s="173" t="s">
        <v>993</v>
      </c>
      <c r="B199" s="173" t="s">
        <v>1748</v>
      </c>
      <c r="C199" s="173"/>
      <c r="D199" s="173"/>
      <c r="E199" s="173"/>
      <c r="F199" s="173"/>
      <c r="G199" s="173"/>
      <c r="H199" s="173"/>
      <c r="I199" s="173"/>
      <c r="J199" s="173" t="s">
        <v>1746</v>
      </c>
      <c r="K199" s="173"/>
      <c r="L199" s="173"/>
      <c r="M199" s="173"/>
      <c r="N199" s="173"/>
      <c r="O199" s="173"/>
      <c r="P199" s="173"/>
      <c r="Q199" s="173"/>
      <c r="R199" s="173" t="s">
        <v>346</v>
      </c>
      <c r="S199" s="173"/>
      <c r="T199" s="173"/>
      <c r="U199" s="173"/>
      <c r="V199" s="173">
        <v>59</v>
      </c>
      <c r="W199" s="173">
        <v>11</v>
      </c>
      <c r="X199" s="173"/>
      <c r="Y199" s="173"/>
      <c r="Z199" s="173">
        <v>899</v>
      </c>
      <c r="AA199" s="173">
        <v>909</v>
      </c>
      <c r="AB199" s="173"/>
      <c r="AC199" s="173" t="s">
        <v>3212</v>
      </c>
      <c r="AD199" s="173"/>
      <c r="AE199" s="173"/>
      <c r="AF199" s="173"/>
      <c r="AG199" s="173"/>
      <c r="AH199" s="173">
        <v>40848</v>
      </c>
      <c r="AI199" s="173">
        <v>2011</v>
      </c>
      <c r="AJ199" s="32" t="s">
        <v>1747</v>
      </c>
      <c r="AS199">
        <v>15</v>
      </c>
      <c r="AT199">
        <v>1</v>
      </c>
      <c r="AU199">
        <v>0</v>
      </c>
      <c r="AV199">
        <v>0</v>
      </c>
      <c r="AW199">
        <v>0</v>
      </c>
      <c r="AX199">
        <v>16</v>
      </c>
      <c r="BA199" t="s">
        <v>5657</v>
      </c>
      <c r="BD199" t="s">
        <v>5658</v>
      </c>
    </row>
  </sheetData>
  <pageMargins left="0.7" right="0.7" top="0.75" bottom="0.75" header="0.51180555555555496" footer="0.51180555555555496"/>
  <pageSetup firstPageNumber="0"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tabColor rgb="FFC55A11"/>
  </sheetPr>
  <dimension ref="A1:BE4"/>
  <sheetViews>
    <sheetView zoomScale="75" zoomScaleNormal="75" workbookViewId="0">
      <selection activeCell="G34" sqref="G34"/>
    </sheetView>
  </sheetViews>
  <sheetFormatPr baseColWidth="10" defaultColWidth="9.140625" defaultRowHeight="15" x14ac:dyDescent="0.25"/>
  <cols>
    <col min="1"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x14ac:dyDescent="0.25">
      <c r="A2" t="s">
        <v>993</v>
      </c>
      <c r="B2" t="s">
        <v>1343</v>
      </c>
      <c r="G2" t="s">
        <v>5296</v>
      </c>
      <c r="J2" t="s">
        <v>1341</v>
      </c>
      <c r="R2" t="s">
        <v>325</v>
      </c>
      <c r="V2">
        <v>29</v>
      </c>
      <c r="W2">
        <v>4</v>
      </c>
      <c r="Z2">
        <v>1301</v>
      </c>
      <c r="AA2">
        <v>1313</v>
      </c>
      <c r="AC2" t="s">
        <v>2868</v>
      </c>
      <c r="AH2" t="s">
        <v>2867</v>
      </c>
      <c r="AI2">
        <v>2018</v>
      </c>
      <c r="AJ2" t="s">
        <v>1342</v>
      </c>
      <c r="AS2">
        <v>31</v>
      </c>
      <c r="AT2">
        <v>0</v>
      </c>
      <c r="AU2">
        <v>0</v>
      </c>
      <c r="AV2">
        <v>1</v>
      </c>
      <c r="AW2">
        <v>0</v>
      </c>
      <c r="AX2">
        <v>31</v>
      </c>
      <c r="BA2" t="s">
        <v>5297</v>
      </c>
      <c r="BB2" t="s">
        <v>5298</v>
      </c>
      <c r="BD2" t="s">
        <v>5299</v>
      </c>
      <c r="BE2">
        <v>28287984</v>
      </c>
    </row>
    <row r="3" spans="1:57" x14ac:dyDescent="0.25">
      <c r="A3" t="s">
        <v>993</v>
      </c>
      <c r="B3" t="s">
        <v>1598</v>
      </c>
      <c r="J3" t="s">
        <v>1596</v>
      </c>
      <c r="R3" t="s">
        <v>315</v>
      </c>
      <c r="V3">
        <v>28</v>
      </c>
      <c r="W3" s="174">
        <v>43558</v>
      </c>
      <c r="Z3">
        <v>361</v>
      </c>
      <c r="AA3">
        <v>371</v>
      </c>
      <c r="AC3" t="s">
        <v>3680</v>
      </c>
      <c r="AH3" s="175">
        <v>42856</v>
      </c>
      <c r="AI3">
        <v>2017</v>
      </c>
      <c r="AJ3" t="s">
        <v>1597</v>
      </c>
      <c r="AS3">
        <v>6</v>
      </c>
      <c r="AT3">
        <v>0</v>
      </c>
      <c r="AU3">
        <v>0</v>
      </c>
      <c r="AV3">
        <v>0</v>
      </c>
      <c r="AW3">
        <v>0</v>
      </c>
      <c r="AX3">
        <v>6</v>
      </c>
      <c r="BA3" t="s">
        <v>5501</v>
      </c>
      <c r="BB3" t="s">
        <v>5503</v>
      </c>
      <c r="BD3" t="s">
        <v>5504</v>
      </c>
    </row>
    <row r="4" spans="1:57" x14ac:dyDescent="0.25">
      <c r="A4" t="s">
        <v>993</v>
      </c>
      <c r="B4" t="s">
        <v>1553</v>
      </c>
      <c r="F4" t="s">
        <v>5452</v>
      </c>
      <c r="G4" t="s">
        <v>5453</v>
      </c>
      <c r="J4" t="s">
        <v>1551</v>
      </c>
      <c r="R4" t="s">
        <v>334</v>
      </c>
      <c r="V4">
        <v>10</v>
      </c>
      <c r="W4">
        <v>3</v>
      </c>
      <c r="X4" t="s">
        <v>1948</v>
      </c>
      <c r="Z4">
        <v>379</v>
      </c>
      <c r="AA4">
        <v>397</v>
      </c>
      <c r="AC4" t="s">
        <v>4737</v>
      </c>
      <c r="AH4" s="175">
        <v>42614</v>
      </c>
      <c r="AI4">
        <v>2016</v>
      </c>
      <c r="AJ4" t="s">
        <v>1552</v>
      </c>
      <c r="AS4">
        <v>2</v>
      </c>
      <c r="AT4">
        <v>0</v>
      </c>
      <c r="AU4">
        <v>0</v>
      </c>
      <c r="AV4">
        <v>0</v>
      </c>
      <c r="AW4">
        <v>0</v>
      </c>
      <c r="AX4">
        <v>2</v>
      </c>
      <c r="BA4" t="s">
        <v>5454</v>
      </c>
      <c r="BB4" t="s">
        <v>5455</v>
      </c>
      <c r="BD4" t="s">
        <v>5456</v>
      </c>
    </row>
  </sheetData>
  <pageMargins left="0.7" right="0.7" top="0.75" bottom="0.75" header="0.51180555555555496" footer="0.51180555555555496"/>
  <pageSetup firstPageNumber="0"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tabColor rgb="FFC55A11"/>
  </sheetPr>
  <dimension ref="A1:BE27"/>
  <sheetViews>
    <sheetView topLeftCell="A3" zoomScale="75" zoomScaleNormal="75" workbookViewId="0">
      <selection activeCell="E9" sqref="E9"/>
    </sheetView>
  </sheetViews>
  <sheetFormatPr baseColWidth="10" defaultColWidth="9.140625" defaultRowHeight="15" x14ac:dyDescent="0.25"/>
  <cols>
    <col min="1"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x14ac:dyDescent="0.25">
      <c r="A2" t="s">
        <v>993</v>
      </c>
      <c r="B2" t="s">
        <v>1292</v>
      </c>
      <c r="J2" t="s">
        <v>1290</v>
      </c>
      <c r="R2" t="s">
        <v>313</v>
      </c>
      <c r="V2">
        <v>91</v>
      </c>
      <c r="Z2">
        <v>480</v>
      </c>
      <c r="AA2">
        <v>491</v>
      </c>
      <c r="AC2" t="s">
        <v>3676</v>
      </c>
      <c r="AH2" t="s">
        <v>3675</v>
      </c>
      <c r="AI2">
        <v>2018</v>
      </c>
      <c r="AJ2" t="s">
        <v>1291</v>
      </c>
      <c r="AS2">
        <v>6</v>
      </c>
      <c r="AT2">
        <v>0</v>
      </c>
      <c r="AU2">
        <v>0</v>
      </c>
      <c r="AV2">
        <v>0</v>
      </c>
      <c r="AW2">
        <v>0</v>
      </c>
      <c r="AX2">
        <v>6</v>
      </c>
      <c r="AY2">
        <v>27</v>
      </c>
      <c r="AZ2">
        <v>87</v>
      </c>
      <c r="BA2" t="s">
        <v>5253</v>
      </c>
      <c r="BB2" t="s">
        <v>5254</v>
      </c>
      <c r="BD2" t="s">
        <v>5255</v>
      </c>
    </row>
    <row r="3" spans="1:57" x14ac:dyDescent="0.25">
      <c r="A3" t="s">
        <v>993</v>
      </c>
      <c r="B3" t="s">
        <v>1751</v>
      </c>
      <c r="J3" t="s">
        <v>1749</v>
      </c>
      <c r="R3" t="s">
        <v>298</v>
      </c>
      <c r="V3">
        <v>144</v>
      </c>
      <c r="Z3">
        <v>121</v>
      </c>
      <c r="AA3">
        <v>143</v>
      </c>
      <c r="AC3" t="s">
        <v>3695</v>
      </c>
      <c r="AH3" s="175">
        <v>42430</v>
      </c>
      <c r="AI3">
        <v>2016</v>
      </c>
      <c r="AJ3" t="s">
        <v>1750</v>
      </c>
      <c r="AS3">
        <v>6</v>
      </c>
      <c r="AT3">
        <v>0</v>
      </c>
      <c r="AU3">
        <v>0</v>
      </c>
      <c r="AV3">
        <v>0</v>
      </c>
      <c r="AW3">
        <v>0</v>
      </c>
      <c r="AX3">
        <v>6</v>
      </c>
      <c r="AY3">
        <v>1</v>
      </c>
      <c r="AZ3">
        <v>18</v>
      </c>
      <c r="BA3" t="s">
        <v>5198</v>
      </c>
      <c r="BB3" t="s">
        <v>5202</v>
      </c>
      <c r="BD3" t="s">
        <v>5659</v>
      </c>
    </row>
    <row r="4" spans="1:57" x14ac:dyDescent="0.25">
      <c r="A4" t="s">
        <v>993</v>
      </c>
      <c r="B4" t="s">
        <v>1754</v>
      </c>
      <c r="J4" t="s">
        <v>1752</v>
      </c>
      <c r="R4" t="s">
        <v>298</v>
      </c>
      <c r="V4">
        <v>144</v>
      </c>
      <c r="Z4">
        <v>177</v>
      </c>
      <c r="AA4">
        <v>187</v>
      </c>
      <c r="AC4" t="s">
        <v>3410</v>
      </c>
      <c r="AH4" s="175">
        <v>42430</v>
      </c>
      <c r="AI4">
        <v>2016</v>
      </c>
      <c r="AJ4" t="s">
        <v>1753</v>
      </c>
      <c r="AS4">
        <v>10</v>
      </c>
      <c r="AT4">
        <v>1</v>
      </c>
      <c r="AU4">
        <v>0</v>
      </c>
      <c r="AV4">
        <v>0</v>
      </c>
      <c r="AW4">
        <v>0</v>
      </c>
      <c r="AX4">
        <v>11</v>
      </c>
      <c r="AY4">
        <v>1</v>
      </c>
      <c r="AZ4">
        <v>19</v>
      </c>
      <c r="BA4" t="s">
        <v>5198</v>
      </c>
      <c r="BB4" t="s">
        <v>5202</v>
      </c>
      <c r="BD4" t="s">
        <v>5660</v>
      </c>
    </row>
    <row r="5" spans="1:57" x14ac:dyDescent="0.25">
      <c r="A5" t="s">
        <v>993</v>
      </c>
      <c r="B5" t="s">
        <v>1192</v>
      </c>
      <c r="F5" t="s">
        <v>5661</v>
      </c>
      <c r="G5" t="s">
        <v>5632</v>
      </c>
      <c r="J5" t="s">
        <v>1190</v>
      </c>
      <c r="R5" t="s">
        <v>305</v>
      </c>
      <c r="V5">
        <v>68</v>
      </c>
      <c r="Z5">
        <v>250</v>
      </c>
      <c r="AA5">
        <v>259</v>
      </c>
      <c r="AC5" t="s">
        <v>5662</v>
      </c>
      <c r="AH5" t="s">
        <v>4883</v>
      </c>
      <c r="AI5">
        <v>2015</v>
      </c>
      <c r="AJ5" t="s">
        <v>1191</v>
      </c>
      <c r="AO5" t="s">
        <v>5663</v>
      </c>
      <c r="AP5" t="s">
        <v>5664</v>
      </c>
      <c r="AR5" t="s">
        <v>5665</v>
      </c>
      <c r="AS5">
        <v>15</v>
      </c>
      <c r="AT5">
        <v>0</v>
      </c>
      <c r="AU5">
        <v>0</v>
      </c>
      <c r="AV5">
        <v>0</v>
      </c>
      <c r="AW5">
        <v>0</v>
      </c>
      <c r="AX5">
        <v>15</v>
      </c>
      <c r="AY5">
        <v>0</v>
      </c>
      <c r="AZ5">
        <v>45</v>
      </c>
      <c r="BA5" t="s">
        <v>5609</v>
      </c>
      <c r="BB5" t="s">
        <v>5610</v>
      </c>
      <c r="BD5" t="s">
        <v>5666</v>
      </c>
    </row>
    <row r="6" spans="1:57" x14ac:dyDescent="0.25">
      <c r="A6" t="s">
        <v>993</v>
      </c>
      <c r="B6" t="s">
        <v>1757</v>
      </c>
      <c r="F6" t="s">
        <v>5667</v>
      </c>
      <c r="G6" t="s">
        <v>5668</v>
      </c>
      <c r="J6" t="s">
        <v>1755</v>
      </c>
      <c r="R6" t="s">
        <v>328</v>
      </c>
      <c r="V6">
        <v>41</v>
      </c>
      <c r="Z6">
        <v>103</v>
      </c>
      <c r="AA6">
        <v>114</v>
      </c>
      <c r="AC6" t="s">
        <v>5669</v>
      </c>
      <c r="AH6" s="175">
        <v>42125</v>
      </c>
      <c r="AI6">
        <v>2015</v>
      </c>
      <c r="AJ6" t="s">
        <v>1756</v>
      </c>
      <c r="AS6">
        <v>44</v>
      </c>
      <c r="AT6">
        <v>1</v>
      </c>
      <c r="AU6">
        <v>0</v>
      </c>
      <c r="AV6">
        <v>0</v>
      </c>
      <c r="AW6">
        <v>0</v>
      </c>
      <c r="AX6">
        <v>45</v>
      </c>
      <c r="AY6">
        <v>9</v>
      </c>
      <c r="AZ6">
        <v>62</v>
      </c>
      <c r="BA6" t="s">
        <v>5246</v>
      </c>
      <c r="BB6" t="s">
        <v>5247</v>
      </c>
      <c r="BD6" t="s">
        <v>5670</v>
      </c>
    </row>
    <row r="7" spans="1:57" x14ac:dyDescent="0.25">
      <c r="A7" t="s">
        <v>993</v>
      </c>
      <c r="B7" t="s">
        <v>1760</v>
      </c>
      <c r="F7" t="s">
        <v>5671</v>
      </c>
      <c r="G7" t="s">
        <v>5672</v>
      </c>
      <c r="J7" t="s">
        <v>1758</v>
      </c>
      <c r="R7" t="s">
        <v>333</v>
      </c>
      <c r="V7">
        <v>29</v>
      </c>
      <c r="W7">
        <v>1</v>
      </c>
      <c r="AB7">
        <v>1555001</v>
      </c>
      <c r="AC7" t="s">
        <v>3465</v>
      </c>
      <c r="AH7" s="175">
        <v>42036</v>
      </c>
      <c r="AI7">
        <v>2015</v>
      </c>
      <c r="AJ7" t="s">
        <v>1759</v>
      </c>
      <c r="AS7">
        <v>9</v>
      </c>
      <c r="AT7">
        <v>0</v>
      </c>
      <c r="AU7">
        <v>0</v>
      </c>
      <c r="AV7">
        <v>0</v>
      </c>
      <c r="AW7">
        <v>0</v>
      </c>
      <c r="AX7">
        <v>9</v>
      </c>
      <c r="AY7">
        <v>0</v>
      </c>
      <c r="AZ7">
        <v>43</v>
      </c>
      <c r="BA7" t="s">
        <v>5449</v>
      </c>
      <c r="BB7" t="s">
        <v>5450</v>
      </c>
      <c r="BD7" t="s">
        <v>5673</v>
      </c>
    </row>
    <row r="8" spans="1:57" x14ac:dyDescent="0.25">
      <c r="A8" t="s">
        <v>993</v>
      </c>
      <c r="B8" t="s">
        <v>1763</v>
      </c>
      <c r="J8" t="s">
        <v>1761</v>
      </c>
      <c r="R8" t="s">
        <v>315</v>
      </c>
      <c r="V8">
        <v>25</v>
      </c>
      <c r="W8">
        <v>7</v>
      </c>
      <c r="X8" t="s">
        <v>1948</v>
      </c>
      <c r="Z8">
        <v>1711</v>
      </c>
      <c r="AA8">
        <v>1725</v>
      </c>
      <c r="AC8" t="s">
        <v>5674</v>
      </c>
      <c r="AH8" s="175">
        <v>41913</v>
      </c>
      <c r="AI8">
        <v>2014</v>
      </c>
      <c r="AJ8" t="s">
        <v>1762</v>
      </c>
      <c r="AS8">
        <v>13</v>
      </c>
      <c r="AT8">
        <v>1</v>
      </c>
      <c r="AU8">
        <v>0</v>
      </c>
      <c r="AV8">
        <v>0</v>
      </c>
      <c r="AW8">
        <v>0</v>
      </c>
      <c r="AX8">
        <v>13</v>
      </c>
      <c r="AY8">
        <v>0</v>
      </c>
      <c r="AZ8">
        <v>17</v>
      </c>
      <c r="BA8" t="s">
        <v>5501</v>
      </c>
      <c r="BB8" t="s">
        <v>5503</v>
      </c>
      <c r="BD8" t="s">
        <v>5675</v>
      </c>
    </row>
    <row r="9" spans="1:57" x14ac:dyDescent="0.25">
      <c r="A9" t="s">
        <v>993</v>
      </c>
      <c r="B9" t="s">
        <v>1766</v>
      </c>
      <c r="F9" t="s">
        <v>5676</v>
      </c>
      <c r="G9" t="s">
        <v>5677</v>
      </c>
      <c r="J9" t="s">
        <v>1764</v>
      </c>
      <c r="R9" t="s">
        <v>300</v>
      </c>
      <c r="V9">
        <v>36</v>
      </c>
      <c r="W9">
        <v>7</v>
      </c>
      <c r="Z9">
        <v>1442</v>
      </c>
      <c r="AA9">
        <v>1468</v>
      </c>
      <c r="AC9" t="s">
        <v>5678</v>
      </c>
      <c r="AH9" s="175">
        <v>41821</v>
      </c>
      <c r="AI9">
        <v>2014</v>
      </c>
      <c r="AJ9" t="s">
        <v>1765</v>
      </c>
      <c r="AS9">
        <v>534</v>
      </c>
      <c r="AT9">
        <v>75</v>
      </c>
      <c r="AU9">
        <v>1</v>
      </c>
      <c r="AV9">
        <v>23</v>
      </c>
      <c r="AW9">
        <v>1</v>
      </c>
      <c r="AX9">
        <v>606</v>
      </c>
      <c r="AY9">
        <v>16</v>
      </c>
      <c r="AZ9">
        <v>121</v>
      </c>
      <c r="BA9" t="s">
        <v>5302</v>
      </c>
      <c r="BB9" t="s">
        <v>5303</v>
      </c>
      <c r="BD9" t="s">
        <v>5679</v>
      </c>
      <c r="BE9">
        <v>26353314</v>
      </c>
    </row>
    <row r="10" spans="1:57" x14ac:dyDescent="0.25">
      <c r="A10" t="s">
        <v>993</v>
      </c>
      <c r="B10" t="s">
        <v>1769</v>
      </c>
      <c r="J10" t="s">
        <v>1767</v>
      </c>
      <c r="R10" t="s">
        <v>302</v>
      </c>
      <c r="V10">
        <v>32</v>
      </c>
      <c r="W10">
        <v>4</v>
      </c>
      <c r="Z10">
        <v>270</v>
      </c>
      <c r="AA10">
        <v>286</v>
      </c>
      <c r="AC10" t="s">
        <v>5680</v>
      </c>
      <c r="AH10" t="s">
        <v>2932</v>
      </c>
      <c r="AI10">
        <v>2014</v>
      </c>
      <c r="AJ10" t="s">
        <v>1768</v>
      </c>
      <c r="AS10">
        <v>125</v>
      </c>
      <c r="AT10">
        <v>7</v>
      </c>
      <c r="AU10">
        <v>0</v>
      </c>
      <c r="AV10">
        <v>7</v>
      </c>
      <c r="AW10">
        <v>0</v>
      </c>
      <c r="AX10">
        <v>131</v>
      </c>
      <c r="AY10">
        <v>5</v>
      </c>
      <c r="AZ10">
        <v>51</v>
      </c>
      <c r="BA10" t="s">
        <v>5361</v>
      </c>
      <c r="BB10" t="s">
        <v>5363</v>
      </c>
      <c r="BD10" t="s">
        <v>5681</v>
      </c>
    </row>
    <row r="11" spans="1:57" x14ac:dyDescent="0.25">
      <c r="A11" t="s">
        <v>993</v>
      </c>
      <c r="B11" t="s">
        <v>1772</v>
      </c>
      <c r="J11" t="s">
        <v>1770</v>
      </c>
      <c r="R11" t="s">
        <v>1773</v>
      </c>
      <c r="V11">
        <v>25</v>
      </c>
      <c r="W11">
        <v>2</v>
      </c>
      <c r="X11" t="s">
        <v>1948</v>
      </c>
      <c r="Z11">
        <v>303</v>
      </c>
      <c r="AA11">
        <v>318</v>
      </c>
      <c r="AC11" t="s">
        <v>5682</v>
      </c>
      <c r="AH11" t="s">
        <v>2932</v>
      </c>
      <c r="AI11">
        <v>2014</v>
      </c>
      <c r="AJ11" t="s">
        <v>1771</v>
      </c>
      <c r="AS11">
        <v>5</v>
      </c>
      <c r="AT11">
        <v>1</v>
      </c>
      <c r="AU11">
        <v>0</v>
      </c>
      <c r="AV11">
        <v>0</v>
      </c>
      <c r="AW11">
        <v>0</v>
      </c>
      <c r="AX11">
        <v>6</v>
      </c>
      <c r="AY11">
        <v>0</v>
      </c>
      <c r="AZ11">
        <v>10</v>
      </c>
      <c r="BA11" t="s">
        <v>5683</v>
      </c>
      <c r="BB11" t="s">
        <v>5684</v>
      </c>
      <c r="BD11" t="s">
        <v>5685</v>
      </c>
    </row>
    <row r="12" spans="1:57" x14ac:dyDescent="0.25">
      <c r="A12" t="s">
        <v>993</v>
      </c>
      <c r="B12" t="s">
        <v>1776</v>
      </c>
      <c r="F12" t="s">
        <v>5686</v>
      </c>
      <c r="G12" t="s">
        <v>5687</v>
      </c>
      <c r="J12" t="s">
        <v>1774</v>
      </c>
      <c r="R12" t="s">
        <v>311</v>
      </c>
      <c r="V12">
        <v>22</v>
      </c>
      <c r="W12">
        <v>5</v>
      </c>
      <c r="Z12">
        <v>1712</v>
      </c>
      <c r="AA12">
        <v>1725</v>
      </c>
      <c r="AC12" t="s">
        <v>3131</v>
      </c>
      <c r="AH12" s="175">
        <v>41395</v>
      </c>
      <c r="AI12">
        <v>2013</v>
      </c>
      <c r="AJ12" t="s">
        <v>1775</v>
      </c>
      <c r="AS12">
        <v>18</v>
      </c>
      <c r="AT12">
        <v>0</v>
      </c>
      <c r="AU12">
        <v>0</v>
      </c>
      <c r="AV12">
        <v>0</v>
      </c>
      <c r="AW12">
        <v>0</v>
      </c>
      <c r="AX12">
        <v>18</v>
      </c>
      <c r="AY12">
        <v>0</v>
      </c>
      <c r="AZ12">
        <v>24</v>
      </c>
      <c r="BA12" t="s">
        <v>5276</v>
      </c>
      <c r="BB12" t="s">
        <v>5277</v>
      </c>
      <c r="BD12" t="s">
        <v>5688</v>
      </c>
      <c r="BE12">
        <v>23193235</v>
      </c>
    </row>
    <row r="13" spans="1:57" x14ac:dyDescent="0.25">
      <c r="A13" t="s">
        <v>993</v>
      </c>
      <c r="B13" t="s">
        <v>1779</v>
      </c>
      <c r="J13" t="s">
        <v>1777</v>
      </c>
      <c r="R13" t="s">
        <v>300</v>
      </c>
      <c r="V13">
        <v>34</v>
      </c>
      <c r="W13">
        <v>5</v>
      </c>
      <c r="Z13">
        <v>987</v>
      </c>
      <c r="AA13">
        <v>1002</v>
      </c>
      <c r="AC13" t="s">
        <v>5689</v>
      </c>
      <c r="AH13" s="175">
        <v>41030</v>
      </c>
      <c r="AI13">
        <v>2012</v>
      </c>
      <c r="AJ13" t="s">
        <v>1778</v>
      </c>
      <c r="AS13">
        <v>52</v>
      </c>
      <c r="AT13">
        <v>4</v>
      </c>
      <c r="AU13">
        <v>0</v>
      </c>
      <c r="AV13">
        <v>1</v>
      </c>
      <c r="AW13">
        <v>0</v>
      </c>
      <c r="AX13">
        <v>56</v>
      </c>
      <c r="AY13">
        <v>0</v>
      </c>
      <c r="AZ13">
        <v>18</v>
      </c>
      <c r="BA13" t="s">
        <v>5302</v>
      </c>
      <c r="BD13" t="s">
        <v>5690</v>
      </c>
      <c r="BE13">
        <v>21844618</v>
      </c>
    </row>
    <row r="14" spans="1:57" x14ac:dyDescent="0.25">
      <c r="A14" t="s">
        <v>993</v>
      </c>
      <c r="B14" t="s">
        <v>1782</v>
      </c>
      <c r="G14" t="s">
        <v>5691</v>
      </c>
      <c r="J14" t="s">
        <v>1780</v>
      </c>
      <c r="R14" t="s">
        <v>315</v>
      </c>
      <c r="V14">
        <v>23</v>
      </c>
      <c r="W14">
        <v>2</v>
      </c>
      <c r="Z14">
        <v>255</v>
      </c>
      <c r="AA14">
        <v>281</v>
      </c>
      <c r="AC14" t="s">
        <v>5692</v>
      </c>
      <c r="AH14" s="175">
        <v>40969</v>
      </c>
      <c r="AI14">
        <v>2012</v>
      </c>
      <c r="AJ14" t="s">
        <v>1781</v>
      </c>
      <c r="AS14">
        <v>95</v>
      </c>
      <c r="AT14">
        <v>3</v>
      </c>
      <c r="AU14">
        <v>0</v>
      </c>
      <c r="AV14">
        <v>7</v>
      </c>
      <c r="AW14">
        <v>0</v>
      </c>
      <c r="AX14">
        <v>97</v>
      </c>
      <c r="AY14">
        <v>1</v>
      </c>
      <c r="AZ14">
        <v>24</v>
      </c>
      <c r="BA14" t="s">
        <v>5501</v>
      </c>
      <c r="BB14" t="s">
        <v>5503</v>
      </c>
      <c r="BD14" t="s">
        <v>5693</v>
      </c>
    </row>
    <row r="15" spans="1:57" x14ac:dyDescent="0.25">
      <c r="A15" t="s">
        <v>993</v>
      </c>
      <c r="B15" t="s">
        <v>1785</v>
      </c>
      <c r="G15" t="s">
        <v>5694</v>
      </c>
      <c r="J15" t="s">
        <v>1783</v>
      </c>
      <c r="R15" t="s">
        <v>298</v>
      </c>
      <c r="V15">
        <v>115</v>
      </c>
      <c r="W15">
        <v>2</v>
      </c>
      <c r="Z15">
        <v>224</v>
      </c>
      <c r="AA15">
        <v>241</v>
      </c>
      <c r="AC15" t="s">
        <v>5695</v>
      </c>
      <c r="AH15" s="175">
        <v>40575</v>
      </c>
      <c r="AI15">
        <v>2011</v>
      </c>
      <c r="AJ15" t="s">
        <v>1784</v>
      </c>
      <c r="AS15">
        <v>416</v>
      </c>
      <c r="AT15">
        <v>28</v>
      </c>
      <c r="AU15">
        <v>2</v>
      </c>
      <c r="AV15">
        <v>25</v>
      </c>
      <c r="AW15">
        <v>0</v>
      </c>
      <c r="AX15">
        <v>443</v>
      </c>
      <c r="AY15">
        <v>5</v>
      </c>
      <c r="AZ15">
        <v>104</v>
      </c>
      <c r="BA15" t="s">
        <v>5198</v>
      </c>
      <c r="BB15" t="s">
        <v>5202</v>
      </c>
      <c r="BD15" t="s">
        <v>5696</v>
      </c>
    </row>
    <row r="16" spans="1:57" x14ac:dyDescent="0.25">
      <c r="A16" t="s">
        <v>993</v>
      </c>
      <c r="B16" t="s">
        <v>1788</v>
      </c>
      <c r="F16" t="s">
        <v>5697</v>
      </c>
      <c r="G16" t="s">
        <v>5698</v>
      </c>
      <c r="J16" t="s">
        <v>1786</v>
      </c>
      <c r="R16" t="s">
        <v>338</v>
      </c>
      <c r="V16">
        <v>3</v>
      </c>
      <c r="W16">
        <v>2</v>
      </c>
      <c r="Z16">
        <v>147</v>
      </c>
      <c r="AA16">
        <v>163</v>
      </c>
      <c r="AC16" t="s">
        <v>5699</v>
      </c>
      <c r="AH16">
        <v>2011</v>
      </c>
      <c r="AI16">
        <v>2011</v>
      </c>
      <c r="AJ16" t="s">
        <v>1787</v>
      </c>
      <c r="AS16">
        <v>7</v>
      </c>
      <c r="AT16">
        <v>0</v>
      </c>
      <c r="AU16">
        <v>0</v>
      </c>
      <c r="AV16">
        <v>0</v>
      </c>
      <c r="AW16">
        <v>0</v>
      </c>
      <c r="AX16">
        <v>7</v>
      </c>
      <c r="AY16">
        <v>0</v>
      </c>
      <c r="AZ16">
        <v>3</v>
      </c>
      <c r="BA16" t="s">
        <v>5476</v>
      </c>
      <c r="BD16" t="s">
        <v>5700</v>
      </c>
    </row>
    <row r="17" spans="1:57" x14ac:dyDescent="0.25">
      <c r="A17" t="s">
        <v>993</v>
      </c>
      <c r="B17" t="s">
        <v>1791</v>
      </c>
      <c r="J17" t="s">
        <v>1789</v>
      </c>
      <c r="R17" t="s">
        <v>298</v>
      </c>
      <c r="V17">
        <v>114</v>
      </c>
      <c r="W17">
        <v>11</v>
      </c>
      <c r="Z17">
        <v>1292</v>
      </c>
      <c r="AA17">
        <v>1302</v>
      </c>
      <c r="AC17" t="s">
        <v>5701</v>
      </c>
      <c r="AH17" s="175">
        <v>40483</v>
      </c>
      <c r="AI17">
        <v>2010</v>
      </c>
      <c r="AJ17" t="s">
        <v>1790</v>
      </c>
      <c r="AS17">
        <v>21</v>
      </c>
      <c r="AT17">
        <v>1</v>
      </c>
      <c r="AU17">
        <v>0</v>
      </c>
      <c r="AV17">
        <v>0</v>
      </c>
      <c r="AW17">
        <v>0</v>
      </c>
      <c r="AX17">
        <v>22</v>
      </c>
      <c r="AY17">
        <v>1</v>
      </c>
      <c r="AZ17">
        <v>12</v>
      </c>
      <c r="BA17" t="s">
        <v>5198</v>
      </c>
      <c r="BD17" t="s">
        <v>5702</v>
      </c>
    </row>
    <row r="18" spans="1:57" x14ac:dyDescent="0.25">
      <c r="A18" t="s">
        <v>993</v>
      </c>
      <c r="B18" t="s">
        <v>1794</v>
      </c>
      <c r="J18" t="s">
        <v>1792</v>
      </c>
      <c r="R18" t="s">
        <v>300</v>
      </c>
      <c r="V18">
        <v>31</v>
      </c>
      <c r="W18">
        <v>12</v>
      </c>
      <c r="Z18">
        <v>2179</v>
      </c>
      <c r="AA18">
        <v>2195</v>
      </c>
      <c r="AC18" t="s">
        <v>2423</v>
      </c>
      <c r="AH18" t="s">
        <v>2422</v>
      </c>
      <c r="AI18">
        <v>2009</v>
      </c>
      <c r="AJ18" t="s">
        <v>1793</v>
      </c>
      <c r="AS18">
        <v>549</v>
      </c>
      <c r="AT18">
        <v>22</v>
      </c>
      <c r="AU18">
        <v>1</v>
      </c>
      <c r="AV18">
        <v>10</v>
      </c>
      <c r="AW18">
        <v>0</v>
      </c>
      <c r="AX18">
        <v>570</v>
      </c>
      <c r="AY18">
        <v>9</v>
      </c>
      <c r="AZ18">
        <v>150</v>
      </c>
      <c r="BA18" t="s">
        <v>5302</v>
      </c>
      <c r="BB18" t="s">
        <v>5303</v>
      </c>
      <c r="BD18" t="s">
        <v>5703</v>
      </c>
      <c r="BE18">
        <v>19834140</v>
      </c>
    </row>
    <row r="19" spans="1:57" x14ac:dyDescent="0.25">
      <c r="A19" t="s">
        <v>993</v>
      </c>
      <c r="B19" t="s">
        <v>1797</v>
      </c>
      <c r="G19" t="s">
        <v>5704</v>
      </c>
      <c r="J19" t="s">
        <v>1795</v>
      </c>
      <c r="R19" t="s">
        <v>302</v>
      </c>
      <c r="V19">
        <v>27</v>
      </c>
      <c r="W19">
        <v>4</v>
      </c>
      <c r="Z19">
        <v>437</v>
      </c>
      <c r="AA19">
        <v>443</v>
      </c>
      <c r="AC19" t="s">
        <v>5705</v>
      </c>
      <c r="AH19" t="s">
        <v>5706</v>
      </c>
      <c r="AI19">
        <v>2009</v>
      </c>
      <c r="AJ19" t="s">
        <v>1796</v>
      </c>
      <c r="AS19">
        <v>6</v>
      </c>
      <c r="AT19">
        <v>2</v>
      </c>
      <c r="AU19">
        <v>0</v>
      </c>
      <c r="AV19">
        <v>1</v>
      </c>
      <c r="AW19">
        <v>1</v>
      </c>
      <c r="AX19">
        <v>8</v>
      </c>
      <c r="AY19">
        <v>0</v>
      </c>
      <c r="AZ19">
        <v>4</v>
      </c>
      <c r="BA19" t="s">
        <v>5361</v>
      </c>
      <c r="BB19" t="s">
        <v>5363</v>
      </c>
      <c r="BD19" t="s">
        <v>5707</v>
      </c>
    </row>
    <row r="20" spans="1:57" x14ac:dyDescent="0.25">
      <c r="A20" t="s">
        <v>993</v>
      </c>
      <c r="B20" t="s">
        <v>1800</v>
      </c>
      <c r="J20" t="s">
        <v>1798</v>
      </c>
      <c r="R20" t="s">
        <v>326</v>
      </c>
      <c r="V20">
        <v>39</v>
      </c>
      <c r="W20">
        <v>1</v>
      </c>
      <c r="Z20">
        <v>268</v>
      </c>
      <c r="AA20">
        <v>280</v>
      </c>
      <c r="AC20" t="s">
        <v>5708</v>
      </c>
      <c r="AH20" s="175">
        <v>39845</v>
      </c>
      <c r="AI20">
        <v>2009</v>
      </c>
      <c r="AJ20" t="s">
        <v>1799</v>
      </c>
      <c r="AS20">
        <v>17</v>
      </c>
      <c r="AT20">
        <v>0</v>
      </c>
      <c r="AU20">
        <v>0</v>
      </c>
      <c r="AV20">
        <v>0</v>
      </c>
      <c r="AW20">
        <v>0</v>
      </c>
      <c r="AX20">
        <v>17</v>
      </c>
      <c r="AY20">
        <v>0</v>
      </c>
      <c r="AZ20">
        <v>3</v>
      </c>
      <c r="BA20" t="s">
        <v>5327</v>
      </c>
      <c r="BB20" t="s">
        <v>5709</v>
      </c>
      <c r="BD20" t="s">
        <v>5710</v>
      </c>
      <c r="BE20">
        <v>19068434</v>
      </c>
    </row>
    <row r="21" spans="1:57" x14ac:dyDescent="0.25">
      <c r="A21" t="s">
        <v>993</v>
      </c>
      <c r="B21" t="s">
        <v>1166</v>
      </c>
      <c r="J21" t="s">
        <v>1164</v>
      </c>
      <c r="R21" t="s">
        <v>315</v>
      </c>
      <c r="V21">
        <v>19</v>
      </c>
      <c r="W21" s="174">
        <v>43621</v>
      </c>
      <c r="Z21">
        <v>279</v>
      </c>
      <c r="AA21">
        <v>290</v>
      </c>
      <c r="AC21" t="s">
        <v>2690</v>
      </c>
      <c r="AH21" s="175">
        <v>39722</v>
      </c>
      <c r="AI21">
        <v>2008</v>
      </c>
      <c r="AJ21" t="s">
        <v>1165</v>
      </c>
      <c r="AS21">
        <v>56</v>
      </c>
      <c r="AT21">
        <v>3</v>
      </c>
      <c r="AU21">
        <v>1</v>
      </c>
      <c r="AV21">
        <v>2</v>
      </c>
      <c r="AW21">
        <v>0</v>
      </c>
      <c r="AX21">
        <v>60</v>
      </c>
      <c r="AY21">
        <v>0</v>
      </c>
      <c r="AZ21">
        <v>7</v>
      </c>
      <c r="BA21" t="s">
        <v>5501</v>
      </c>
      <c r="BD21" t="s">
        <v>5502</v>
      </c>
    </row>
    <row r="22" spans="1:57" x14ac:dyDescent="0.25">
      <c r="A22" t="s">
        <v>993</v>
      </c>
      <c r="B22" t="s">
        <v>1610</v>
      </c>
      <c r="G22" t="s">
        <v>5512</v>
      </c>
      <c r="J22" t="s">
        <v>1608</v>
      </c>
      <c r="R22" t="s">
        <v>315</v>
      </c>
      <c r="V22">
        <v>19</v>
      </c>
      <c r="W22" s="174">
        <v>43621</v>
      </c>
      <c r="Z22">
        <v>329</v>
      </c>
      <c r="AA22">
        <v>343</v>
      </c>
      <c r="AC22" t="s">
        <v>5513</v>
      </c>
      <c r="AH22" s="175">
        <v>39722</v>
      </c>
      <c r="AI22">
        <v>2008</v>
      </c>
      <c r="AJ22" t="s">
        <v>1609</v>
      </c>
      <c r="AS22">
        <v>68</v>
      </c>
      <c r="AT22">
        <v>0</v>
      </c>
      <c r="AU22">
        <v>0</v>
      </c>
      <c r="AV22">
        <v>2</v>
      </c>
      <c r="AW22">
        <v>0</v>
      </c>
      <c r="AX22">
        <v>68</v>
      </c>
      <c r="AY22">
        <v>0</v>
      </c>
      <c r="AZ22">
        <v>4</v>
      </c>
      <c r="BA22" t="s">
        <v>5501</v>
      </c>
      <c r="BB22" t="s">
        <v>5503</v>
      </c>
      <c r="BD22" t="s">
        <v>5514</v>
      </c>
    </row>
    <row r="23" spans="1:57" x14ac:dyDescent="0.25">
      <c r="A23" t="s">
        <v>993</v>
      </c>
      <c r="B23" t="s">
        <v>1196</v>
      </c>
      <c r="F23" t="s">
        <v>5292</v>
      </c>
      <c r="G23" t="s">
        <v>5293</v>
      </c>
      <c r="J23" t="s">
        <v>1194</v>
      </c>
      <c r="R23" t="s">
        <v>311</v>
      </c>
      <c r="V23">
        <v>17</v>
      </c>
      <c r="W23">
        <v>7</v>
      </c>
      <c r="Z23">
        <v>1168</v>
      </c>
      <c r="AA23">
        <v>1177</v>
      </c>
      <c r="AC23" t="s">
        <v>5294</v>
      </c>
      <c r="AH23" s="175">
        <v>39630</v>
      </c>
      <c r="AI23">
        <v>2008</v>
      </c>
      <c r="AJ23" t="s">
        <v>1195</v>
      </c>
      <c r="AS23">
        <v>388</v>
      </c>
      <c r="AT23">
        <v>57</v>
      </c>
      <c r="AU23">
        <v>1</v>
      </c>
      <c r="AV23">
        <v>4</v>
      </c>
      <c r="AW23">
        <v>0</v>
      </c>
      <c r="AX23">
        <v>443</v>
      </c>
      <c r="AY23">
        <v>10</v>
      </c>
      <c r="AZ23">
        <v>58</v>
      </c>
      <c r="BA23" t="s">
        <v>5276</v>
      </c>
      <c r="BB23" t="s">
        <v>5277</v>
      </c>
      <c r="BD23" t="s">
        <v>5295</v>
      </c>
      <c r="BE23">
        <v>18586624</v>
      </c>
    </row>
    <row r="24" spans="1:57" x14ac:dyDescent="0.25">
      <c r="A24" t="s">
        <v>993</v>
      </c>
      <c r="B24" t="s">
        <v>1203</v>
      </c>
      <c r="F24" t="s">
        <v>5711</v>
      </c>
      <c r="J24" t="s">
        <v>1201</v>
      </c>
      <c r="R24" t="s">
        <v>315</v>
      </c>
      <c r="V24">
        <v>18</v>
      </c>
      <c r="W24">
        <v>1</v>
      </c>
      <c r="Z24">
        <v>41</v>
      </c>
      <c r="AA24">
        <v>64</v>
      </c>
      <c r="AC24" t="s">
        <v>5712</v>
      </c>
      <c r="AH24" s="175">
        <v>39114</v>
      </c>
      <c r="AI24">
        <v>2007</v>
      </c>
      <c r="AJ24" t="s">
        <v>1202</v>
      </c>
      <c r="AS24">
        <v>15</v>
      </c>
      <c r="AT24">
        <v>0</v>
      </c>
      <c r="AU24">
        <v>0</v>
      </c>
      <c r="AV24">
        <v>0</v>
      </c>
      <c r="AW24">
        <v>0</v>
      </c>
      <c r="AX24">
        <v>15</v>
      </c>
      <c r="AY24">
        <v>0</v>
      </c>
      <c r="AZ24">
        <v>4</v>
      </c>
      <c r="BA24" t="s">
        <v>5501</v>
      </c>
      <c r="BB24" t="s">
        <v>5503</v>
      </c>
      <c r="BD24" t="s">
        <v>5713</v>
      </c>
    </row>
    <row r="25" spans="1:57" x14ac:dyDescent="0.25">
      <c r="A25" t="s">
        <v>993</v>
      </c>
      <c r="B25" t="s">
        <v>1208</v>
      </c>
      <c r="J25" t="s">
        <v>1206</v>
      </c>
      <c r="R25" t="s">
        <v>304</v>
      </c>
      <c r="V25">
        <v>23</v>
      </c>
      <c r="W25">
        <v>2</v>
      </c>
      <c r="Z25">
        <v>97</v>
      </c>
      <c r="AA25">
        <v>154</v>
      </c>
      <c r="AC25" t="s">
        <v>5714</v>
      </c>
      <c r="AH25" t="s">
        <v>2612</v>
      </c>
      <c r="AI25">
        <v>2005</v>
      </c>
      <c r="AJ25" t="s">
        <v>1207</v>
      </c>
      <c r="AS25">
        <v>6</v>
      </c>
      <c r="AT25">
        <v>1</v>
      </c>
      <c r="AU25">
        <v>0</v>
      </c>
      <c r="AV25">
        <v>0</v>
      </c>
      <c r="AW25">
        <v>0</v>
      </c>
      <c r="AX25">
        <v>7</v>
      </c>
      <c r="AY25">
        <v>1</v>
      </c>
      <c r="AZ25">
        <v>7</v>
      </c>
      <c r="BA25" t="s">
        <v>5185</v>
      </c>
      <c r="BB25" t="s">
        <v>5186</v>
      </c>
      <c r="BD25" t="s">
        <v>5715</v>
      </c>
    </row>
    <row r="26" spans="1:57" x14ac:dyDescent="0.25">
      <c r="A26" t="s">
        <v>993</v>
      </c>
      <c r="B26" t="s">
        <v>1215</v>
      </c>
      <c r="F26" t="s">
        <v>5716</v>
      </c>
      <c r="J26" t="s">
        <v>1213</v>
      </c>
      <c r="R26" t="s">
        <v>302</v>
      </c>
      <c r="V26">
        <v>22</v>
      </c>
      <c r="W26">
        <v>8</v>
      </c>
      <c r="Z26">
        <v>597</v>
      </c>
      <c r="AA26">
        <v>607</v>
      </c>
      <c r="AC26" t="s">
        <v>5717</v>
      </c>
      <c r="AH26" t="s">
        <v>5718</v>
      </c>
      <c r="AI26">
        <v>2004</v>
      </c>
      <c r="AJ26" t="s">
        <v>1214</v>
      </c>
      <c r="AS26">
        <v>45</v>
      </c>
      <c r="AT26">
        <v>4</v>
      </c>
      <c r="AU26">
        <v>0</v>
      </c>
      <c r="AV26">
        <v>0</v>
      </c>
      <c r="AW26">
        <v>0</v>
      </c>
      <c r="AX26">
        <v>49</v>
      </c>
      <c r="AY26">
        <v>0</v>
      </c>
      <c r="AZ26">
        <v>10</v>
      </c>
      <c r="BA26" t="s">
        <v>5361</v>
      </c>
      <c r="BB26" t="s">
        <v>5363</v>
      </c>
      <c r="BD26" t="s">
        <v>5719</v>
      </c>
    </row>
    <row r="27" spans="1:57" x14ac:dyDescent="0.25">
      <c r="A27" t="s">
        <v>993</v>
      </c>
      <c r="B27" t="s">
        <v>1225</v>
      </c>
      <c r="J27" s="91" t="s">
        <v>1223</v>
      </c>
      <c r="R27" t="s">
        <v>308</v>
      </c>
      <c r="V27">
        <v>37</v>
      </c>
      <c r="W27">
        <v>4</v>
      </c>
      <c r="Z27">
        <v>675</v>
      </c>
      <c r="AA27">
        <v>689</v>
      </c>
      <c r="AC27" t="s">
        <v>5720</v>
      </c>
      <c r="AH27" t="s">
        <v>5721</v>
      </c>
      <c r="AI27">
        <v>2004</v>
      </c>
      <c r="AJ27" t="s">
        <v>1224</v>
      </c>
      <c r="AS27">
        <v>57</v>
      </c>
      <c r="AT27">
        <v>1</v>
      </c>
      <c r="AU27">
        <v>1</v>
      </c>
      <c r="AV27">
        <v>1</v>
      </c>
      <c r="AW27">
        <v>1</v>
      </c>
      <c r="AX27">
        <v>59</v>
      </c>
      <c r="AY27">
        <v>0</v>
      </c>
      <c r="AZ27">
        <v>9</v>
      </c>
      <c r="BA27" t="s">
        <v>5584</v>
      </c>
      <c r="BB27" t="s">
        <v>5585</v>
      </c>
      <c r="BD27" t="s">
        <v>5722</v>
      </c>
    </row>
  </sheetData>
  <pageMargins left="0.7" right="0.7" top="0.75" bottom="0.75" header="0.51180555555555496" footer="0.51180555555555496"/>
  <pageSetup firstPageNumber="0"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tabColor rgb="FFC55A11"/>
  </sheetPr>
  <dimension ref="A1:BE3"/>
  <sheetViews>
    <sheetView topLeftCell="AB1" zoomScale="75" zoomScaleNormal="75" workbookViewId="0">
      <selection activeCell="AJ2" sqref="AJ2"/>
    </sheetView>
  </sheetViews>
  <sheetFormatPr baseColWidth="10" defaultColWidth="9.140625" defaultRowHeight="15" x14ac:dyDescent="0.25"/>
  <cols>
    <col min="1" max="1" width="11.42578125"/>
    <col min="2" max="2" width="108.140625" customWidth="1"/>
    <col min="3"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x14ac:dyDescent="0.25">
      <c r="A2" t="s">
        <v>993</v>
      </c>
      <c r="B2" t="s">
        <v>1806</v>
      </c>
      <c r="G2" t="s">
        <v>5723</v>
      </c>
      <c r="J2" t="s">
        <v>1804</v>
      </c>
      <c r="R2" t="s">
        <v>1807</v>
      </c>
      <c r="V2">
        <v>67</v>
      </c>
      <c r="Z2">
        <v>291</v>
      </c>
      <c r="AA2">
        <v>308</v>
      </c>
      <c r="AC2" t="s">
        <v>5724</v>
      </c>
      <c r="AH2" t="s">
        <v>2867</v>
      </c>
      <c r="AI2">
        <v>2018</v>
      </c>
      <c r="AJ2" t="s">
        <v>1805</v>
      </c>
      <c r="AS2">
        <v>0</v>
      </c>
      <c r="AT2">
        <v>0</v>
      </c>
      <c r="AU2">
        <v>0</v>
      </c>
      <c r="AV2">
        <v>0</v>
      </c>
      <c r="AW2">
        <v>0</v>
      </c>
      <c r="AX2">
        <v>0</v>
      </c>
      <c r="AY2">
        <v>4</v>
      </c>
      <c r="AZ2">
        <v>5</v>
      </c>
      <c r="BA2" t="s">
        <v>5725</v>
      </c>
      <c r="BB2" t="s">
        <v>5726</v>
      </c>
      <c r="BD2" t="s">
        <v>5727</v>
      </c>
    </row>
    <row r="3" spans="1:57" x14ac:dyDescent="0.25">
      <c r="A3" t="s">
        <v>993</v>
      </c>
      <c r="B3" t="s">
        <v>1810</v>
      </c>
      <c r="F3" t="s">
        <v>5728</v>
      </c>
      <c r="G3" t="s">
        <v>5729</v>
      </c>
      <c r="J3" t="s">
        <v>1808</v>
      </c>
      <c r="R3" t="s">
        <v>1811</v>
      </c>
      <c r="V3">
        <v>6</v>
      </c>
      <c r="Z3">
        <v>11101</v>
      </c>
      <c r="AA3">
        <v>11111</v>
      </c>
      <c r="AC3" t="s">
        <v>5730</v>
      </c>
      <c r="AH3">
        <v>2018</v>
      </c>
      <c r="AI3">
        <v>2018</v>
      </c>
      <c r="AJ3" t="s">
        <v>1809</v>
      </c>
      <c r="AS3">
        <v>2</v>
      </c>
      <c r="AT3">
        <v>0</v>
      </c>
      <c r="AU3">
        <v>0</v>
      </c>
      <c r="AV3">
        <v>0</v>
      </c>
      <c r="AW3">
        <v>0</v>
      </c>
      <c r="AX3">
        <v>2</v>
      </c>
      <c r="AY3">
        <v>2</v>
      </c>
      <c r="AZ3">
        <v>7</v>
      </c>
      <c r="BA3" t="s">
        <v>5731</v>
      </c>
      <c r="BD3" t="s">
        <v>5732</v>
      </c>
    </row>
  </sheetData>
  <pageMargins left="0.7" right="0.7" top="0.75" bottom="0.75" header="0.51180555555555496" footer="0.51180555555555496"/>
  <pageSetup firstPageNumber="0"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C55A11"/>
  </sheetPr>
  <dimension ref="A1:BE11"/>
  <sheetViews>
    <sheetView topLeftCell="AC1" zoomScale="75" zoomScaleNormal="75" workbookViewId="0">
      <selection activeCell="AR23" sqref="AR23"/>
    </sheetView>
  </sheetViews>
  <sheetFormatPr baseColWidth="10" defaultColWidth="9.140625" defaultRowHeight="15" x14ac:dyDescent="0.25"/>
  <cols>
    <col min="1" max="1" width="11.42578125"/>
    <col min="2" max="2" width="117" customWidth="1"/>
    <col min="3"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x14ac:dyDescent="0.25">
      <c r="A2" t="s">
        <v>993</v>
      </c>
      <c r="B2" t="s">
        <v>1815</v>
      </c>
      <c r="J2" t="s">
        <v>1813</v>
      </c>
      <c r="R2" t="s">
        <v>1816</v>
      </c>
      <c r="V2">
        <v>32</v>
      </c>
      <c r="W2">
        <v>6</v>
      </c>
      <c r="Z2">
        <v>137</v>
      </c>
      <c r="AA2">
        <v>143</v>
      </c>
      <c r="AC2" t="s">
        <v>5733</v>
      </c>
      <c r="AH2" t="s">
        <v>4044</v>
      </c>
      <c r="AI2">
        <v>2018</v>
      </c>
      <c r="AJ2" t="s">
        <v>1814</v>
      </c>
      <c r="AS2">
        <v>1</v>
      </c>
      <c r="AT2">
        <v>0</v>
      </c>
      <c r="AU2">
        <v>0</v>
      </c>
      <c r="AV2">
        <v>0</v>
      </c>
      <c r="AW2">
        <v>0</v>
      </c>
      <c r="AX2">
        <v>1</v>
      </c>
      <c r="AY2">
        <v>6</v>
      </c>
      <c r="AZ2">
        <v>6</v>
      </c>
      <c r="BA2" t="s">
        <v>5734</v>
      </c>
      <c r="BB2" t="s">
        <v>5735</v>
      </c>
      <c r="BD2" t="s">
        <v>5736</v>
      </c>
    </row>
    <row r="3" spans="1:57" x14ac:dyDescent="0.25">
      <c r="A3" t="s">
        <v>993</v>
      </c>
      <c r="B3" t="s">
        <v>1820</v>
      </c>
      <c r="J3" t="s">
        <v>1818</v>
      </c>
      <c r="R3" t="s">
        <v>1807</v>
      </c>
      <c r="V3">
        <v>70</v>
      </c>
      <c r="Z3">
        <v>736</v>
      </c>
      <c r="AA3">
        <v>753</v>
      </c>
      <c r="AC3" t="s">
        <v>5737</v>
      </c>
      <c r="AH3" t="s">
        <v>4100</v>
      </c>
      <c r="AI3">
        <v>2018</v>
      </c>
      <c r="AJ3" t="s">
        <v>1819</v>
      </c>
      <c r="AS3">
        <v>0</v>
      </c>
      <c r="AT3">
        <v>0</v>
      </c>
      <c r="AU3">
        <v>0</v>
      </c>
      <c r="AV3">
        <v>0</v>
      </c>
      <c r="AW3">
        <v>0</v>
      </c>
      <c r="AX3">
        <v>0</v>
      </c>
      <c r="AY3">
        <v>5</v>
      </c>
      <c r="AZ3">
        <v>5</v>
      </c>
      <c r="BA3" t="s">
        <v>5725</v>
      </c>
      <c r="BB3" t="s">
        <v>5726</v>
      </c>
      <c r="BD3" t="s">
        <v>5738</v>
      </c>
    </row>
    <row r="4" spans="1:57" x14ac:dyDescent="0.25">
      <c r="A4" t="s">
        <v>993</v>
      </c>
      <c r="B4" t="s">
        <v>1823</v>
      </c>
      <c r="G4" t="s">
        <v>5739</v>
      </c>
      <c r="J4" t="s">
        <v>1821</v>
      </c>
      <c r="R4" t="s">
        <v>1824</v>
      </c>
      <c r="V4">
        <v>48</v>
      </c>
      <c r="W4">
        <v>8</v>
      </c>
      <c r="Z4">
        <v>1475</v>
      </c>
      <c r="AA4">
        <v>1492</v>
      </c>
      <c r="AC4" t="s">
        <v>5740</v>
      </c>
      <c r="AH4" t="s">
        <v>4100</v>
      </c>
      <c r="AI4">
        <v>2018</v>
      </c>
      <c r="AJ4" t="s">
        <v>1822</v>
      </c>
      <c r="AS4">
        <v>0</v>
      </c>
      <c r="AT4">
        <v>0</v>
      </c>
      <c r="AU4">
        <v>0</v>
      </c>
      <c r="AV4">
        <v>0</v>
      </c>
      <c r="AW4">
        <v>0</v>
      </c>
      <c r="AX4">
        <v>0</v>
      </c>
      <c r="AY4">
        <v>13</v>
      </c>
      <c r="AZ4">
        <v>13</v>
      </c>
      <c r="BA4" t="s">
        <v>5741</v>
      </c>
      <c r="BB4" t="s">
        <v>5742</v>
      </c>
      <c r="BD4" t="s">
        <v>5743</v>
      </c>
    </row>
    <row r="5" spans="1:57" x14ac:dyDescent="0.25">
      <c r="A5" t="s">
        <v>993</v>
      </c>
      <c r="B5" t="s">
        <v>1827</v>
      </c>
      <c r="J5" t="s">
        <v>1825</v>
      </c>
      <c r="R5" t="s">
        <v>1828</v>
      </c>
      <c r="V5">
        <v>100</v>
      </c>
      <c r="W5">
        <v>2</v>
      </c>
      <c r="X5" t="s">
        <v>1948</v>
      </c>
      <c r="Z5">
        <v>283</v>
      </c>
      <c r="AA5">
        <v>309</v>
      </c>
      <c r="AC5" t="s">
        <v>5744</v>
      </c>
      <c r="AH5" s="175">
        <v>43221</v>
      </c>
      <c r="AI5">
        <v>2018</v>
      </c>
      <c r="AJ5" t="s">
        <v>1826</v>
      </c>
      <c r="AS5">
        <v>0</v>
      </c>
      <c r="AT5">
        <v>0</v>
      </c>
      <c r="AU5">
        <v>0</v>
      </c>
      <c r="AV5">
        <v>0</v>
      </c>
      <c r="AW5">
        <v>0</v>
      </c>
      <c r="AX5">
        <v>0</v>
      </c>
      <c r="AY5">
        <v>2</v>
      </c>
      <c r="AZ5">
        <v>2</v>
      </c>
      <c r="BA5" t="s">
        <v>5745</v>
      </c>
      <c r="BB5" t="s">
        <v>5746</v>
      </c>
      <c r="BD5" t="s">
        <v>5747</v>
      </c>
    </row>
    <row r="6" spans="1:57" x14ac:dyDescent="0.25">
      <c r="A6" t="s">
        <v>993</v>
      </c>
      <c r="B6" t="s">
        <v>1831</v>
      </c>
      <c r="J6" t="s">
        <v>1829</v>
      </c>
      <c r="R6" t="s">
        <v>1832</v>
      </c>
      <c r="V6">
        <v>20</v>
      </c>
      <c r="W6">
        <v>5</v>
      </c>
      <c r="Z6">
        <v>1126</v>
      </c>
      <c r="AA6">
        <v>1139</v>
      </c>
      <c r="AC6" t="s">
        <v>5748</v>
      </c>
      <c r="AH6" s="175">
        <v>43221</v>
      </c>
      <c r="AI6">
        <v>2018</v>
      </c>
      <c r="AJ6" t="s">
        <v>1830</v>
      </c>
      <c r="AS6">
        <v>8</v>
      </c>
      <c r="AT6">
        <v>0</v>
      </c>
      <c r="AU6">
        <v>0</v>
      </c>
      <c r="AV6">
        <v>0</v>
      </c>
      <c r="AW6">
        <v>0</v>
      </c>
      <c r="AX6">
        <v>8</v>
      </c>
      <c r="AY6">
        <v>4</v>
      </c>
      <c r="AZ6">
        <v>19</v>
      </c>
      <c r="BA6" t="s">
        <v>5749</v>
      </c>
      <c r="BB6" t="s">
        <v>5750</v>
      </c>
      <c r="BD6" t="s">
        <v>5751</v>
      </c>
    </row>
    <row r="7" spans="1:57" x14ac:dyDescent="0.25">
      <c r="A7" t="s">
        <v>993</v>
      </c>
      <c r="B7" t="s">
        <v>1835</v>
      </c>
      <c r="G7" t="s">
        <v>5739</v>
      </c>
      <c r="J7" t="s">
        <v>1833</v>
      </c>
      <c r="R7" t="s">
        <v>1811</v>
      </c>
      <c r="V7">
        <v>6</v>
      </c>
      <c r="Z7">
        <v>29822</v>
      </c>
      <c r="AA7">
        <v>29835</v>
      </c>
      <c r="AC7" t="s">
        <v>5752</v>
      </c>
      <c r="AH7">
        <v>2018</v>
      </c>
      <c r="AI7">
        <v>2018</v>
      </c>
      <c r="AJ7" t="s">
        <v>1834</v>
      </c>
      <c r="AS7">
        <v>0</v>
      </c>
      <c r="AT7">
        <v>0</v>
      </c>
      <c r="AU7">
        <v>0</v>
      </c>
      <c r="AV7">
        <v>0</v>
      </c>
      <c r="AW7">
        <v>0</v>
      </c>
      <c r="AX7">
        <v>0</v>
      </c>
      <c r="AY7">
        <v>4</v>
      </c>
      <c r="AZ7">
        <v>5</v>
      </c>
      <c r="BA7" t="s">
        <v>5731</v>
      </c>
      <c r="BD7" t="s">
        <v>5753</v>
      </c>
    </row>
    <row r="8" spans="1:57" x14ac:dyDescent="0.25">
      <c r="A8" t="s">
        <v>993</v>
      </c>
      <c r="B8" t="s">
        <v>1838</v>
      </c>
      <c r="J8" t="s">
        <v>1836</v>
      </c>
      <c r="R8" t="s">
        <v>1839</v>
      </c>
      <c r="V8">
        <v>73</v>
      </c>
      <c r="W8">
        <v>3</v>
      </c>
      <c r="Z8">
        <v>926</v>
      </c>
      <c r="AA8">
        <v>939</v>
      </c>
      <c r="AC8" t="s">
        <v>5754</v>
      </c>
      <c r="AH8" s="175">
        <v>42795</v>
      </c>
      <c r="AI8">
        <v>2017</v>
      </c>
      <c r="AJ8" t="s">
        <v>1837</v>
      </c>
      <c r="AS8">
        <v>2</v>
      </c>
      <c r="AT8">
        <v>1</v>
      </c>
      <c r="AU8">
        <v>0</v>
      </c>
      <c r="AV8">
        <v>0</v>
      </c>
      <c r="AW8">
        <v>0</v>
      </c>
      <c r="AX8">
        <v>3</v>
      </c>
      <c r="AY8">
        <v>2</v>
      </c>
      <c r="AZ8">
        <v>12</v>
      </c>
      <c r="BA8" t="s">
        <v>5755</v>
      </c>
      <c r="BB8" t="s">
        <v>5756</v>
      </c>
      <c r="BD8" t="s">
        <v>5757</v>
      </c>
    </row>
    <row r="9" spans="1:57" x14ac:dyDescent="0.25">
      <c r="A9" t="s">
        <v>993</v>
      </c>
      <c r="B9" t="s">
        <v>1842</v>
      </c>
      <c r="G9" t="s">
        <v>5758</v>
      </c>
      <c r="J9" t="s">
        <v>1840</v>
      </c>
      <c r="R9" t="s">
        <v>1839</v>
      </c>
      <c r="V9">
        <v>73</v>
      </c>
      <c r="W9">
        <v>3</v>
      </c>
      <c r="Z9">
        <v>973</v>
      </c>
      <c r="AA9">
        <v>992</v>
      </c>
      <c r="AC9" t="s">
        <v>5759</v>
      </c>
      <c r="AH9" s="175">
        <v>42795</v>
      </c>
      <c r="AI9">
        <v>2017</v>
      </c>
      <c r="AJ9" t="s">
        <v>1841</v>
      </c>
      <c r="AS9">
        <v>22</v>
      </c>
      <c r="AT9">
        <v>0</v>
      </c>
      <c r="AU9">
        <v>0</v>
      </c>
      <c r="AV9">
        <v>0</v>
      </c>
      <c r="AW9">
        <v>0</v>
      </c>
      <c r="AX9">
        <v>22</v>
      </c>
      <c r="AY9">
        <v>1</v>
      </c>
      <c r="AZ9">
        <v>9</v>
      </c>
      <c r="BA9" t="s">
        <v>5755</v>
      </c>
      <c r="BB9" t="s">
        <v>5756</v>
      </c>
      <c r="BD9" t="s">
        <v>5760</v>
      </c>
    </row>
    <row r="10" spans="1:57" x14ac:dyDescent="0.25">
      <c r="A10" t="s">
        <v>993</v>
      </c>
      <c r="B10" t="s">
        <v>1845</v>
      </c>
      <c r="J10" t="s">
        <v>1843</v>
      </c>
      <c r="R10" t="s">
        <v>1846</v>
      </c>
      <c r="V10">
        <v>55</v>
      </c>
      <c r="W10">
        <v>2</v>
      </c>
      <c r="Z10">
        <v>128</v>
      </c>
      <c r="AA10">
        <v>134</v>
      </c>
      <c r="AC10" t="s">
        <v>5761</v>
      </c>
      <c r="AH10" s="175">
        <v>42767</v>
      </c>
      <c r="AI10">
        <v>2017</v>
      </c>
      <c r="AJ10" t="s">
        <v>1844</v>
      </c>
      <c r="AS10">
        <v>48</v>
      </c>
      <c r="AT10">
        <v>1</v>
      </c>
      <c r="AU10">
        <v>0</v>
      </c>
      <c r="AV10">
        <v>0</v>
      </c>
      <c r="AW10">
        <v>0</v>
      </c>
      <c r="AX10">
        <v>49</v>
      </c>
      <c r="AY10">
        <v>12</v>
      </c>
      <c r="AZ10">
        <v>39</v>
      </c>
      <c r="BA10" t="s">
        <v>5762</v>
      </c>
      <c r="BB10" t="s">
        <v>5763</v>
      </c>
      <c r="BD10" t="s">
        <v>5764</v>
      </c>
    </row>
    <row r="11" spans="1:57" x14ac:dyDescent="0.25">
      <c r="A11" t="s">
        <v>993</v>
      </c>
      <c r="B11" t="s">
        <v>1849</v>
      </c>
      <c r="F11" t="s">
        <v>5765</v>
      </c>
      <c r="G11" t="s">
        <v>5766</v>
      </c>
      <c r="J11" t="s">
        <v>1847</v>
      </c>
      <c r="R11" t="s">
        <v>1850</v>
      </c>
      <c r="V11">
        <v>13</v>
      </c>
      <c r="W11">
        <v>1</v>
      </c>
      <c r="AB11">
        <v>1550147716686570</v>
      </c>
      <c r="AC11" t="s">
        <v>5767</v>
      </c>
      <c r="AH11" t="s">
        <v>2922</v>
      </c>
      <c r="AI11">
        <v>2017</v>
      </c>
      <c r="AJ11" t="s">
        <v>1848</v>
      </c>
      <c r="AS11">
        <v>5</v>
      </c>
      <c r="AT11">
        <v>0</v>
      </c>
      <c r="AU11">
        <v>0</v>
      </c>
      <c r="AV11">
        <v>0</v>
      </c>
      <c r="AW11">
        <v>0</v>
      </c>
      <c r="AX11">
        <v>5</v>
      </c>
      <c r="AY11">
        <v>1</v>
      </c>
      <c r="AZ11">
        <v>6</v>
      </c>
      <c r="BA11" t="s">
        <v>5768</v>
      </c>
      <c r="BD11" t="s">
        <v>5769</v>
      </c>
    </row>
  </sheetData>
  <pageMargins left="0.7" right="0.7" top="0.75" bottom="0.75" header="0.51180555555555496" footer="0.51180555555555496"/>
  <pageSetup firstPageNumber="0"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tabColor rgb="FFC55A11"/>
  </sheetPr>
  <dimension ref="A1:BE2"/>
  <sheetViews>
    <sheetView zoomScale="75" zoomScaleNormal="75" workbookViewId="0">
      <selection activeCell="Q21" sqref="Q21"/>
    </sheetView>
  </sheetViews>
  <sheetFormatPr baseColWidth="10" defaultColWidth="9.140625" defaultRowHeight="15" x14ac:dyDescent="0.25"/>
  <cols>
    <col min="1"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x14ac:dyDescent="0.25">
      <c r="A2" t="s">
        <v>993</v>
      </c>
      <c r="B2" t="s">
        <v>1853</v>
      </c>
      <c r="G2" t="s">
        <v>5770</v>
      </c>
      <c r="J2" t="s">
        <v>1851</v>
      </c>
      <c r="R2" t="s">
        <v>1811</v>
      </c>
      <c r="V2">
        <v>6</v>
      </c>
      <c r="Z2">
        <v>29283</v>
      </c>
      <c r="AA2">
        <v>29296</v>
      </c>
      <c r="AC2" t="s">
        <v>5771</v>
      </c>
      <c r="AH2">
        <v>2018</v>
      </c>
      <c r="AI2">
        <v>2018</v>
      </c>
      <c r="AJ2" t="s">
        <v>1852</v>
      </c>
      <c r="AS2">
        <v>3</v>
      </c>
      <c r="AT2">
        <v>0</v>
      </c>
      <c r="AU2">
        <v>0</v>
      </c>
      <c r="AV2">
        <v>0</v>
      </c>
      <c r="AW2">
        <v>0</v>
      </c>
      <c r="AX2">
        <v>3</v>
      </c>
      <c r="AY2">
        <v>4</v>
      </c>
      <c r="AZ2">
        <v>9</v>
      </c>
      <c r="BA2" t="s">
        <v>5731</v>
      </c>
      <c r="BD2" t="s">
        <v>5772</v>
      </c>
    </row>
  </sheetData>
  <pageMargins left="0.7" right="0.7" top="0.75" bottom="0.75" header="0.51180555555555496" footer="0.51180555555555496"/>
  <pageSetup firstPageNumber="0"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tabColor rgb="FFC55A11"/>
  </sheetPr>
  <dimension ref="A1:BE14"/>
  <sheetViews>
    <sheetView topLeftCell="AF1" zoomScale="75" zoomScaleNormal="75" workbookViewId="0">
      <selection activeCell="AS28" sqref="AS28"/>
    </sheetView>
  </sheetViews>
  <sheetFormatPr baseColWidth="10" defaultColWidth="9.140625" defaultRowHeight="15" x14ac:dyDescent="0.25"/>
  <cols>
    <col min="1" max="1025" width="11.42578125"/>
  </cols>
  <sheetData>
    <row r="1" spans="1:57" x14ac:dyDescent="0.25">
      <c r="A1" t="s">
        <v>5109</v>
      </c>
      <c r="B1" t="s">
        <v>5110</v>
      </c>
      <c r="C1" t="s">
        <v>5111</v>
      </c>
      <c r="D1" t="s">
        <v>5112</v>
      </c>
      <c r="E1" t="s">
        <v>5113</v>
      </c>
      <c r="F1" t="s">
        <v>5114</v>
      </c>
      <c r="G1" t="s">
        <v>5115</v>
      </c>
      <c r="H1" t="s">
        <v>5116</v>
      </c>
      <c r="I1" t="s">
        <v>5117</v>
      </c>
      <c r="J1" t="s">
        <v>5118</v>
      </c>
      <c r="K1" t="s">
        <v>5119</v>
      </c>
      <c r="L1" t="s">
        <v>5120</v>
      </c>
      <c r="M1" t="s">
        <v>5121</v>
      </c>
      <c r="N1" t="s">
        <v>5122</v>
      </c>
      <c r="O1" t="s">
        <v>5123</v>
      </c>
      <c r="P1" t="s">
        <v>5124</v>
      </c>
      <c r="Q1" t="s">
        <v>5125</v>
      </c>
      <c r="R1" t="s">
        <v>5126</v>
      </c>
      <c r="S1" t="s">
        <v>5127</v>
      </c>
      <c r="T1" t="s">
        <v>5128</v>
      </c>
      <c r="U1" t="s">
        <v>5129</v>
      </c>
      <c r="V1" t="s">
        <v>5130</v>
      </c>
      <c r="W1" t="s">
        <v>5131</v>
      </c>
      <c r="X1" t="s">
        <v>1948</v>
      </c>
      <c r="Y1" t="s">
        <v>5132</v>
      </c>
      <c r="Z1" t="s">
        <v>5133</v>
      </c>
      <c r="AA1" t="s">
        <v>5134</v>
      </c>
      <c r="AB1" t="s">
        <v>5135</v>
      </c>
      <c r="AC1" t="s">
        <v>5136</v>
      </c>
      <c r="AD1" t="s">
        <v>5137</v>
      </c>
      <c r="AE1" t="s">
        <v>5138</v>
      </c>
      <c r="AF1" t="s">
        <v>5139</v>
      </c>
      <c r="AG1" t="s">
        <v>5140</v>
      </c>
      <c r="AH1" t="s">
        <v>5141</v>
      </c>
      <c r="AI1" t="s">
        <v>5142</v>
      </c>
      <c r="AJ1" t="s">
        <v>5143</v>
      </c>
      <c r="AK1" t="s">
        <v>5144</v>
      </c>
      <c r="AL1" t="s">
        <v>5145</v>
      </c>
      <c r="AM1" t="s">
        <v>5146</v>
      </c>
      <c r="AN1" t="s">
        <v>5147</v>
      </c>
      <c r="AO1" t="s">
        <v>5148</v>
      </c>
      <c r="AP1" t="s">
        <v>5149</v>
      </c>
      <c r="AQ1" t="s">
        <v>5150</v>
      </c>
      <c r="AR1" t="s">
        <v>5151</v>
      </c>
      <c r="AS1" t="s">
        <v>5152</v>
      </c>
      <c r="AT1" t="s">
        <v>5153</v>
      </c>
      <c r="AU1" t="s">
        <v>5154</v>
      </c>
      <c r="AV1" t="s">
        <v>5155</v>
      </c>
      <c r="AW1" t="s">
        <v>5156</v>
      </c>
      <c r="AX1" t="s">
        <v>5157</v>
      </c>
      <c r="AY1" t="s">
        <v>5158</v>
      </c>
      <c r="AZ1" t="s">
        <v>5159</v>
      </c>
      <c r="BA1" t="s">
        <v>5160</v>
      </c>
      <c r="BB1" t="s">
        <v>5161</v>
      </c>
      <c r="BC1" t="s">
        <v>5162</v>
      </c>
      <c r="BD1" t="s">
        <v>5163</v>
      </c>
      <c r="BE1" t="s">
        <v>5164</v>
      </c>
    </row>
    <row r="2" spans="1:57" x14ac:dyDescent="0.25">
      <c r="A2" t="s">
        <v>993</v>
      </c>
      <c r="B2" t="s">
        <v>1856</v>
      </c>
      <c r="J2" t="s">
        <v>1854</v>
      </c>
      <c r="R2" t="s">
        <v>1857</v>
      </c>
      <c r="V2">
        <v>10</v>
      </c>
      <c r="W2">
        <v>1</v>
      </c>
      <c r="Z2">
        <v>79</v>
      </c>
      <c r="AA2">
        <v>91</v>
      </c>
      <c r="AC2" t="s">
        <v>5773</v>
      </c>
      <c r="AH2" t="s">
        <v>5774</v>
      </c>
      <c r="AI2">
        <v>2018</v>
      </c>
      <c r="AJ2" t="s">
        <v>1855</v>
      </c>
      <c r="AS2">
        <v>0</v>
      </c>
      <c r="AT2">
        <v>0</v>
      </c>
      <c r="AU2">
        <v>0</v>
      </c>
      <c r="AV2">
        <v>0</v>
      </c>
      <c r="AW2">
        <v>0</v>
      </c>
      <c r="AX2">
        <v>0</v>
      </c>
      <c r="AY2">
        <v>0</v>
      </c>
      <c r="AZ2">
        <v>0</v>
      </c>
      <c r="BA2" t="s">
        <v>5775</v>
      </c>
      <c r="BB2" t="s">
        <v>5776</v>
      </c>
      <c r="BD2" t="s">
        <v>5777</v>
      </c>
    </row>
    <row r="3" spans="1:57" x14ac:dyDescent="0.25">
      <c r="A3" t="s">
        <v>993</v>
      </c>
      <c r="B3" t="s">
        <v>1860</v>
      </c>
      <c r="G3" t="s">
        <v>5778</v>
      </c>
      <c r="J3" t="s">
        <v>1858</v>
      </c>
      <c r="R3" t="s">
        <v>1861</v>
      </c>
      <c r="V3">
        <v>54</v>
      </c>
      <c r="X3" t="s">
        <v>1948</v>
      </c>
      <c r="Z3">
        <v>1</v>
      </c>
      <c r="AA3">
        <v>2</v>
      </c>
      <c r="AC3" t="s">
        <v>5779</v>
      </c>
      <c r="AH3" s="175">
        <v>43040</v>
      </c>
      <c r="AI3">
        <v>2017</v>
      </c>
      <c r="AJ3" t="s">
        <v>1859</v>
      </c>
      <c r="AS3">
        <v>4</v>
      </c>
      <c r="AT3">
        <v>0</v>
      </c>
      <c r="AU3">
        <v>0</v>
      </c>
      <c r="AV3">
        <v>0</v>
      </c>
      <c r="AW3">
        <v>0</v>
      </c>
      <c r="AX3">
        <v>4</v>
      </c>
      <c r="AY3">
        <v>3</v>
      </c>
      <c r="AZ3">
        <v>87</v>
      </c>
      <c r="BA3" t="s">
        <v>5780</v>
      </c>
      <c r="BB3" t="s">
        <v>5781</v>
      </c>
      <c r="BD3" t="s">
        <v>5782</v>
      </c>
    </row>
    <row r="4" spans="1:57" x14ac:dyDescent="0.25">
      <c r="A4" t="s">
        <v>993</v>
      </c>
      <c r="B4" t="s">
        <v>1864</v>
      </c>
      <c r="J4" t="s">
        <v>1862</v>
      </c>
      <c r="R4" t="s">
        <v>1865</v>
      </c>
      <c r="V4">
        <v>76</v>
      </c>
      <c r="W4">
        <v>16</v>
      </c>
      <c r="Z4">
        <v>17129</v>
      </c>
      <c r="AA4">
        <v>17143</v>
      </c>
      <c r="AC4" t="s">
        <v>5783</v>
      </c>
      <c r="AH4" t="s">
        <v>4527</v>
      </c>
      <c r="AI4">
        <v>2017</v>
      </c>
      <c r="AJ4" t="s">
        <v>1863</v>
      </c>
      <c r="AS4">
        <v>0</v>
      </c>
      <c r="AT4">
        <v>0</v>
      </c>
      <c r="AU4">
        <v>0</v>
      </c>
      <c r="AV4">
        <v>0</v>
      </c>
      <c r="AW4">
        <v>0</v>
      </c>
      <c r="AX4">
        <v>0</v>
      </c>
      <c r="AY4">
        <v>2</v>
      </c>
      <c r="AZ4">
        <v>7</v>
      </c>
      <c r="BA4" t="s">
        <v>5784</v>
      </c>
      <c r="BB4" t="s">
        <v>5785</v>
      </c>
      <c r="BD4" t="s">
        <v>5786</v>
      </c>
    </row>
    <row r="5" spans="1:57" x14ac:dyDescent="0.25">
      <c r="A5" t="s">
        <v>993</v>
      </c>
      <c r="B5" t="s">
        <v>1868</v>
      </c>
      <c r="J5" t="s">
        <v>1866</v>
      </c>
      <c r="R5" t="s">
        <v>1865</v>
      </c>
      <c r="V5">
        <v>76</v>
      </c>
      <c r="W5">
        <v>16</v>
      </c>
      <c r="Z5">
        <v>17319</v>
      </c>
      <c r="AA5">
        <v>17336</v>
      </c>
      <c r="AC5" t="s">
        <v>5787</v>
      </c>
      <c r="AH5" t="s">
        <v>4527</v>
      </c>
      <c r="AI5">
        <v>2017</v>
      </c>
      <c r="AJ5" t="s">
        <v>1867</v>
      </c>
      <c r="AS5">
        <v>0</v>
      </c>
      <c r="AT5">
        <v>0</v>
      </c>
      <c r="AU5">
        <v>0</v>
      </c>
      <c r="AV5">
        <v>0</v>
      </c>
      <c r="AW5">
        <v>0</v>
      </c>
      <c r="AX5">
        <v>0</v>
      </c>
      <c r="AY5">
        <v>1</v>
      </c>
      <c r="AZ5">
        <v>5</v>
      </c>
      <c r="BA5" t="s">
        <v>5784</v>
      </c>
      <c r="BB5" t="s">
        <v>5785</v>
      </c>
      <c r="BD5" t="s">
        <v>5788</v>
      </c>
    </row>
    <row r="6" spans="1:57" x14ac:dyDescent="0.25">
      <c r="A6" t="s">
        <v>993</v>
      </c>
      <c r="B6" t="s">
        <v>1842</v>
      </c>
      <c r="G6" t="s">
        <v>5758</v>
      </c>
      <c r="J6" t="s">
        <v>1840</v>
      </c>
      <c r="R6" t="s">
        <v>1839</v>
      </c>
      <c r="V6">
        <v>73</v>
      </c>
      <c r="W6">
        <v>3</v>
      </c>
      <c r="Z6">
        <v>973</v>
      </c>
      <c r="AA6">
        <v>992</v>
      </c>
      <c r="AC6" t="s">
        <v>5759</v>
      </c>
      <c r="AH6" s="175">
        <v>42795</v>
      </c>
      <c r="AI6">
        <v>2017</v>
      </c>
      <c r="AJ6" t="s">
        <v>1841</v>
      </c>
      <c r="AS6">
        <v>22</v>
      </c>
      <c r="AT6">
        <v>0</v>
      </c>
      <c r="AU6">
        <v>0</v>
      </c>
      <c r="AV6">
        <v>0</v>
      </c>
      <c r="AW6">
        <v>0</v>
      </c>
      <c r="AX6">
        <v>22</v>
      </c>
      <c r="AY6">
        <v>1</v>
      </c>
      <c r="AZ6">
        <v>9</v>
      </c>
      <c r="BA6" t="s">
        <v>5755</v>
      </c>
      <c r="BB6" t="s">
        <v>5756</v>
      </c>
      <c r="BD6" t="s">
        <v>5760</v>
      </c>
    </row>
    <row r="7" spans="1:57" x14ac:dyDescent="0.25">
      <c r="A7" t="s">
        <v>993</v>
      </c>
      <c r="B7" t="s">
        <v>1871</v>
      </c>
      <c r="J7" t="s">
        <v>1869</v>
      </c>
      <c r="R7" t="s">
        <v>1872</v>
      </c>
      <c r="V7">
        <v>15</v>
      </c>
      <c r="W7">
        <v>6</v>
      </c>
      <c r="Z7">
        <v>644</v>
      </c>
      <c r="AA7">
        <v>663</v>
      </c>
      <c r="AC7" t="s">
        <v>5789</v>
      </c>
      <c r="AH7" s="175">
        <v>42675</v>
      </c>
      <c r="AI7">
        <v>2016</v>
      </c>
      <c r="AJ7" t="s">
        <v>1870</v>
      </c>
      <c r="AS7">
        <v>2</v>
      </c>
      <c r="AT7">
        <v>0</v>
      </c>
      <c r="AU7">
        <v>0</v>
      </c>
      <c r="AV7">
        <v>0</v>
      </c>
      <c r="AW7">
        <v>0</v>
      </c>
      <c r="AX7">
        <v>2</v>
      </c>
      <c r="AY7">
        <v>3</v>
      </c>
      <c r="AZ7">
        <v>30</v>
      </c>
      <c r="BA7" t="s">
        <v>5790</v>
      </c>
      <c r="BD7" t="s">
        <v>5791</v>
      </c>
    </row>
    <row r="8" spans="1:57" x14ac:dyDescent="0.25">
      <c r="A8" t="s">
        <v>993</v>
      </c>
      <c r="B8" t="s">
        <v>1875</v>
      </c>
      <c r="G8" t="s">
        <v>5792</v>
      </c>
      <c r="J8" t="s">
        <v>1873</v>
      </c>
      <c r="R8" t="s">
        <v>1876</v>
      </c>
      <c r="V8">
        <v>21</v>
      </c>
      <c r="W8">
        <v>5</v>
      </c>
      <c r="Z8">
        <v>806</v>
      </c>
      <c r="AA8">
        <v>821</v>
      </c>
      <c r="AC8" t="s">
        <v>5793</v>
      </c>
      <c r="AH8" s="175">
        <v>42644</v>
      </c>
      <c r="AI8">
        <v>2016</v>
      </c>
      <c r="AJ8" t="s">
        <v>1874</v>
      </c>
      <c r="AS8">
        <v>2</v>
      </c>
      <c r="AT8">
        <v>0</v>
      </c>
      <c r="AU8">
        <v>0</v>
      </c>
      <c r="AV8">
        <v>0</v>
      </c>
      <c r="AW8">
        <v>0</v>
      </c>
      <c r="AX8">
        <v>2</v>
      </c>
      <c r="AY8">
        <v>5</v>
      </c>
      <c r="AZ8">
        <v>18</v>
      </c>
      <c r="BA8" t="s">
        <v>5794</v>
      </c>
      <c r="BB8" t="s">
        <v>5795</v>
      </c>
      <c r="BD8" t="s">
        <v>5796</v>
      </c>
    </row>
    <row r="9" spans="1:57" x14ac:dyDescent="0.25">
      <c r="A9" t="s">
        <v>993</v>
      </c>
      <c r="B9" t="s">
        <v>1879</v>
      </c>
      <c r="J9" t="s">
        <v>1877</v>
      </c>
      <c r="R9" t="s">
        <v>1880</v>
      </c>
      <c r="V9">
        <v>19</v>
      </c>
      <c r="W9">
        <v>3</v>
      </c>
      <c r="Z9">
        <v>1283</v>
      </c>
      <c r="AA9">
        <v>1292</v>
      </c>
      <c r="AC9" t="s">
        <v>5797</v>
      </c>
      <c r="AH9" s="175">
        <v>42614</v>
      </c>
      <c r="AI9">
        <v>2016</v>
      </c>
      <c r="AJ9" t="s">
        <v>1878</v>
      </c>
      <c r="AS9">
        <v>26</v>
      </c>
      <c r="AT9">
        <v>0</v>
      </c>
      <c r="AU9">
        <v>0</v>
      </c>
      <c r="AV9">
        <v>0</v>
      </c>
      <c r="AW9">
        <v>0</v>
      </c>
      <c r="AX9">
        <v>26</v>
      </c>
      <c r="AY9">
        <v>3</v>
      </c>
      <c r="AZ9">
        <v>84</v>
      </c>
      <c r="BA9" t="s">
        <v>5798</v>
      </c>
      <c r="BB9" t="s">
        <v>5799</v>
      </c>
      <c r="BD9" t="s">
        <v>5800</v>
      </c>
    </row>
    <row r="10" spans="1:57" x14ac:dyDescent="0.25">
      <c r="A10" t="s">
        <v>993</v>
      </c>
      <c r="B10" t="s">
        <v>1883</v>
      </c>
      <c r="J10" t="s">
        <v>1881</v>
      </c>
      <c r="R10" t="s">
        <v>1884</v>
      </c>
      <c r="V10">
        <v>98</v>
      </c>
      <c r="W10" s="174">
        <v>43497</v>
      </c>
      <c r="X10" t="s">
        <v>1948</v>
      </c>
      <c r="Z10">
        <v>35</v>
      </c>
      <c r="AA10">
        <v>54</v>
      </c>
      <c r="AC10" t="s">
        <v>5801</v>
      </c>
      <c r="AH10" t="s">
        <v>3508</v>
      </c>
      <c r="AI10">
        <v>2016</v>
      </c>
      <c r="AJ10" t="s">
        <v>1882</v>
      </c>
      <c r="AS10">
        <v>23</v>
      </c>
      <c r="AT10">
        <v>0</v>
      </c>
      <c r="AU10">
        <v>0</v>
      </c>
      <c r="AV10">
        <v>0</v>
      </c>
      <c r="AW10">
        <v>0</v>
      </c>
      <c r="AX10">
        <v>23</v>
      </c>
      <c r="AY10">
        <v>2</v>
      </c>
      <c r="AZ10">
        <v>23</v>
      </c>
      <c r="BA10" t="s">
        <v>5802</v>
      </c>
      <c r="BB10" t="s">
        <v>5803</v>
      </c>
      <c r="BD10" t="s">
        <v>5804</v>
      </c>
    </row>
    <row r="11" spans="1:57" x14ac:dyDescent="0.25">
      <c r="A11" t="s">
        <v>993</v>
      </c>
      <c r="B11" t="s">
        <v>1887</v>
      </c>
      <c r="J11" t="s">
        <v>1885</v>
      </c>
      <c r="R11" t="s">
        <v>1888</v>
      </c>
      <c r="V11">
        <v>19</v>
      </c>
      <c r="W11">
        <v>7</v>
      </c>
      <c r="Z11">
        <v>1099</v>
      </c>
      <c r="AA11">
        <v>1110</v>
      </c>
      <c r="AC11" t="s">
        <v>5805</v>
      </c>
      <c r="AH11" s="175">
        <v>42278</v>
      </c>
      <c r="AI11">
        <v>2015</v>
      </c>
      <c r="AJ11" t="s">
        <v>1886</v>
      </c>
      <c r="AS11">
        <v>14</v>
      </c>
      <c r="AT11">
        <v>1</v>
      </c>
      <c r="AU11">
        <v>0</v>
      </c>
      <c r="AV11">
        <v>0</v>
      </c>
      <c r="AW11">
        <v>0</v>
      </c>
      <c r="AX11">
        <v>15</v>
      </c>
      <c r="AY11">
        <v>0</v>
      </c>
      <c r="AZ11">
        <v>36</v>
      </c>
      <c r="BA11" t="s">
        <v>5806</v>
      </c>
      <c r="BB11" t="s">
        <v>5807</v>
      </c>
      <c r="BD11" t="s">
        <v>5808</v>
      </c>
    </row>
    <row r="12" spans="1:57" x14ac:dyDescent="0.25">
      <c r="A12" t="s">
        <v>993</v>
      </c>
      <c r="B12" t="s">
        <v>1891</v>
      </c>
      <c r="F12" t="s">
        <v>5809</v>
      </c>
      <c r="G12" t="s">
        <v>5810</v>
      </c>
      <c r="J12" t="s">
        <v>1889</v>
      </c>
      <c r="R12" t="s">
        <v>1850</v>
      </c>
      <c r="AB12">
        <v>375871</v>
      </c>
      <c r="AC12" t="s">
        <v>5811</v>
      </c>
      <c r="AH12">
        <v>2014</v>
      </c>
      <c r="AI12">
        <v>2014</v>
      </c>
      <c r="AJ12" t="s">
        <v>1890</v>
      </c>
      <c r="AS12">
        <v>1</v>
      </c>
      <c r="AT12">
        <v>0</v>
      </c>
      <c r="AU12">
        <v>0</v>
      </c>
      <c r="AV12">
        <v>0</v>
      </c>
      <c r="AW12">
        <v>0</v>
      </c>
      <c r="AX12">
        <v>1</v>
      </c>
      <c r="AY12">
        <v>0</v>
      </c>
      <c r="AZ12">
        <v>18</v>
      </c>
      <c r="BA12" t="s">
        <v>5812</v>
      </c>
      <c r="BB12" t="s">
        <v>5768</v>
      </c>
      <c r="BD12" t="s">
        <v>5813</v>
      </c>
    </row>
    <row r="13" spans="1:57" x14ac:dyDescent="0.25">
      <c r="A13" t="s">
        <v>993</v>
      </c>
      <c r="B13" t="s">
        <v>1894</v>
      </c>
      <c r="F13" t="s">
        <v>5814</v>
      </c>
      <c r="G13" t="s">
        <v>5815</v>
      </c>
      <c r="J13" t="s">
        <v>1892</v>
      </c>
      <c r="R13" t="s">
        <v>1895</v>
      </c>
      <c r="V13">
        <v>14</v>
      </c>
      <c r="W13">
        <v>3</v>
      </c>
      <c r="Z13">
        <v>499</v>
      </c>
      <c r="AA13">
        <v>515</v>
      </c>
      <c r="AC13" t="s">
        <v>5816</v>
      </c>
      <c r="AH13" s="175">
        <v>41091</v>
      </c>
      <c r="AI13">
        <v>2012</v>
      </c>
      <c r="AJ13" t="s">
        <v>1893</v>
      </c>
      <c r="AS13">
        <v>10</v>
      </c>
      <c r="AT13">
        <v>0</v>
      </c>
      <c r="AU13">
        <v>0</v>
      </c>
      <c r="AV13">
        <v>0</v>
      </c>
      <c r="AW13">
        <v>0</v>
      </c>
      <c r="AX13">
        <v>10</v>
      </c>
      <c r="AY13">
        <v>2</v>
      </c>
      <c r="AZ13">
        <v>16</v>
      </c>
      <c r="BA13" t="s">
        <v>5817</v>
      </c>
      <c r="BB13" t="s">
        <v>5818</v>
      </c>
      <c r="BD13" t="s">
        <v>5819</v>
      </c>
    </row>
    <row r="14" spans="1:57" x14ac:dyDescent="0.25">
      <c r="A14" t="s">
        <v>993</v>
      </c>
      <c r="B14" t="s">
        <v>1897</v>
      </c>
      <c r="J14" t="s">
        <v>1896</v>
      </c>
      <c r="R14" t="s">
        <v>1898</v>
      </c>
      <c r="V14">
        <v>98</v>
      </c>
      <c r="W14">
        <v>4</v>
      </c>
      <c r="Z14">
        <v>1195</v>
      </c>
      <c r="AA14">
        <v>1239</v>
      </c>
      <c r="AH14" t="s">
        <v>2590</v>
      </c>
      <c r="AI14">
        <v>2010</v>
      </c>
      <c r="AS14">
        <v>33</v>
      </c>
      <c r="AT14">
        <v>0</v>
      </c>
      <c r="AU14">
        <v>0</v>
      </c>
      <c r="AV14">
        <v>0</v>
      </c>
      <c r="AW14">
        <v>0</v>
      </c>
      <c r="AX14">
        <v>33</v>
      </c>
      <c r="AY14">
        <v>0</v>
      </c>
      <c r="AZ14">
        <v>9</v>
      </c>
      <c r="BA14" t="s">
        <v>5820</v>
      </c>
      <c r="BD14" t="s">
        <v>5821</v>
      </c>
    </row>
  </sheetData>
  <pageMargins left="0.7" right="0.7" top="0.75" bottom="0.75" header="0.51180555555555496" footer="0.51180555555555496"/>
  <pageSetup firstPageNumber="0"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AMK17"/>
  <sheetViews>
    <sheetView topLeftCell="I1" zoomScale="75" zoomScaleNormal="75" workbookViewId="0">
      <selection activeCell="H18" sqref="H18"/>
    </sheetView>
  </sheetViews>
  <sheetFormatPr baseColWidth="10" defaultColWidth="9.140625" defaultRowHeight="15" x14ac:dyDescent="0.25"/>
  <cols>
    <col min="1" max="1025" width="11.42578125" style="91"/>
  </cols>
  <sheetData>
    <row r="1" spans="1:57" x14ac:dyDescent="0.25">
      <c r="A1" s="91" t="s">
        <v>5109</v>
      </c>
      <c r="B1" s="91" t="s">
        <v>5110</v>
      </c>
      <c r="C1" s="91" t="s">
        <v>5111</v>
      </c>
      <c r="D1" s="91" t="s">
        <v>5112</v>
      </c>
      <c r="E1" s="91" t="s">
        <v>5113</v>
      </c>
      <c r="F1" s="91" t="s">
        <v>5114</v>
      </c>
      <c r="G1" s="91" t="s">
        <v>5115</v>
      </c>
      <c r="H1" s="91" t="s">
        <v>5116</v>
      </c>
      <c r="I1" s="91" t="s">
        <v>5117</v>
      </c>
      <c r="J1" s="91" t="s">
        <v>5118</v>
      </c>
      <c r="K1" s="91" t="s">
        <v>5119</v>
      </c>
      <c r="L1" s="91" t="s">
        <v>5120</v>
      </c>
      <c r="M1" s="91" t="s">
        <v>5121</v>
      </c>
      <c r="N1" s="91" t="s">
        <v>5122</v>
      </c>
      <c r="O1" s="91" t="s">
        <v>5123</v>
      </c>
      <c r="P1" s="91" t="s">
        <v>5124</v>
      </c>
      <c r="Q1" s="91" t="s">
        <v>5125</v>
      </c>
      <c r="R1" s="91" t="s">
        <v>5126</v>
      </c>
      <c r="S1" s="91" t="s">
        <v>5127</v>
      </c>
      <c r="T1" s="91" t="s">
        <v>5128</v>
      </c>
      <c r="U1" s="91" t="s">
        <v>5129</v>
      </c>
      <c r="V1" s="91" t="s">
        <v>5130</v>
      </c>
      <c r="W1" s="91" t="s">
        <v>5131</v>
      </c>
      <c r="X1" s="91" t="s">
        <v>1948</v>
      </c>
      <c r="Y1" s="91" t="s">
        <v>5132</v>
      </c>
      <c r="Z1" s="91" t="s">
        <v>5133</v>
      </c>
      <c r="AA1" s="91" t="s">
        <v>5134</v>
      </c>
      <c r="AB1" s="91" t="s">
        <v>5135</v>
      </c>
      <c r="AC1" s="91" t="s">
        <v>5136</v>
      </c>
      <c r="AD1" s="91" t="s">
        <v>5137</v>
      </c>
      <c r="AE1" s="91" t="s">
        <v>5138</v>
      </c>
      <c r="AF1" s="91" t="s">
        <v>5139</v>
      </c>
      <c r="AG1" s="91" t="s">
        <v>5140</v>
      </c>
      <c r="AH1" s="91" t="s">
        <v>5141</v>
      </c>
      <c r="AI1" s="91" t="s">
        <v>5142</v>
      </c>
      <c r="AJ1" s="91" t="s">
        <v>5143</v>
      </c>
      <c r="AK1" s="91" t="s">
        <v>5144</v>
      </c>
      <c r="AL1" s="91" t="s">
        <v>5145</v>
      </c>
      <c r="AM1" s="91" t="s">
        <v>5146</v>
      </c>
      <c r="AN1" s="91" t="s">
        <v>5147</v>
      </c>
      <c r="AO1" s="91" t="s">
        <v>5148</v>
      </c>
      <c r="AP1" s="91" t="s">
        <v>5149</v>
      </c>
      <c r="AQ1" s="91" t="s">
        <v>5150</v>
      </c>
      <c r="AR1" s="91" t="s">
        <v>5151</v>
      </c>
      <c r="AS1" s="91" t="s">
        <v>5152</v>
      </c>
      <c r="AT1" s="91" t="s">
        <v>5153</v>
      </c>
      <c r="AU1" s="91" t="s">
        <v>5154</v>
      </c>
      <c r="AV1" s="91" t="s">
        <v>5155</v>
      </c>
      <c r="AW1" s="91" t="s">
        <v>5156</v>
      </c>
      <c r="AX1" s="91" t="s">
        <v>5157</v>
      </c>
      <c r="AY1" s="91" t="s">
        <v>5158</v>
      </c>
      <c r="AZ1" s="91" t="s">
        <v>5159</v>
      </c>
      <c r="BA1" s="91" t="s">
        <v>5160</v>
      </c>
      <c r="BB1" s="91" t="s">
        <v>5161</v>
      </c>
      <c r="BC1" s="91" t="s">
        <v>5162</v>
      </c>
      <c r="BD1" s="91" t="s">
        <v>5163</v>
      </c>
      <c r="BE1" s="91" t="s">
        <v>5164</v>
      </c>
    </row>
    <row r="2" spans="1:57" x14ac:dyDescent="0.25">
      <c r="A2" s="91" t="s">
        <v>993</v>
      </c>
      <c r="B2" s="91" t="s">
        <v>1900</v>
      </c>
      <c r="J2" s="91" t="s">
        <v>1899</v>
      </c>
      <c r="R2" s="91" t="s">
        <v>1901</v>
      </c>
      <c r="V2" s="91">
        <v>69</v>
      </c>
      <c r="Z2" s="91">
        <v>80</v>
      </c>
      <c r="AA2" s="91">
        <v>89</v>
      </c>
      <c r="AC2" s="91" t="s">
        <v>5822</v>
      </c>
      <c r="AH2" s="91" t="s">
        <v>3997</v>
      </c>
      <c r="AI2" s="91">
        <v>2019</v>
      </c>
      <c r="AJ2" s="91" t="s">
        <v>5823</v>
      </c>
      <c r="AS2" s="91">
        <v>0</v>
      </c>
      <c r="AT2" s="91">
        <v>0</v>
      </c>
      <c r="AU2" s="91">
        <v>0</v>
      </c>
      <c r="AV2" s="91">
        <v>0</v>
      </c>
      <c r="AW2" s="91">
        <v>0</v>
      </c>
      <c r="AX2" s="91">
        <v>0</v>
      </c>
      <c r="AY2" s="91">
        <v>0</v>
      </c>
      <c r="AZ2" s="91">
        <v>0</v>
      </c>
      <c r="BA2" s="91" t="s">
        <v>5824</v>
      </c>
      <c r="BB2" s="91" t="s">
        <v>5825</v>
      </c>
      <c r="BD2" s="91" t="s">
        <v>5826</v>
      </c>
    </row>
    <row r="3" spans="1:57" x14ac:dyDescent="0.25">
      <c r="A3" s="91" t="s">
        <v>993</v>
      </c>
      <c r="B3" s="91" t="s">
        <v>1903</v>
      </c>
      <c r="J3" s="91" t="s">
        <v>1902</v>
      </c>
      <c r="R3" s="91" t="s">
        <v>1901</v>
      </c>
      <c r="V3" s="91">
        <v>67</v>
      </c>
      <c r="Z3" s="91">
        <v>229</v>
      </c>
      <c r="AA3" s="91">
        <v>241</v>
      </c>
      <c r="AC3" s="91" t="s">
        <v>5827</v>
      </c>
      <c r="AH3" s="175">
        <v>43344</v>
      </c>
      <c r="AI3" s="91">
        <v>2018</v>
      </c>
      <c r="AJ3" s="91" t="s">
        <v>5828</v>
      </c>
      <c r="AS3" s="91">
        <v>1</v>
      </c>
      <c r="AT3" s="91">
        <v>0</v>
      </c>
      <c r="AU3" s="91">
        <v>0</v>
      </c>
      <c r="AV3" s="91">
        <v>0</v>
      </c>
      <c r="AW3" s="91">
        <v>0</v>
      </c>
      <c r="AX3" s="91">
        <v>1</v>
      </c>
      <c r="AY3" s="91">
        <v>13</v>
      </c>
      <c r="AZ3" s="91">
        <v>13</v>
      </c>
      <c r="BA3" s="91" t="s">
        <v>5824</v>
      </c>
      <c r="BB3" s="91" t="s">
        <v>5825</v>
      </c>
      <c r="BD3" s="91" t="s">
        <v>5829</v>
      </c>
    </row>
    <row r="4" spans="1:57" x14ac:dyDescent="0.25">
      <c r="A4" s="91" t="s">
        <v>993</v>
      </c>
      <c r="B4" s="91" t="s">
        <v>1905</v>
      </c>
      <c r="J4" s="91" t="s">
        <v>1904</v>
      </c>
      <c r="R4" s="91" t="s">
        <v>1906</v>
      </c>
      <c r="V4" s="91">
        <v>60</v>
      </c>
      <c r="W4" s="91">
        <v>3</v>
      </c>
      <c r="Z4" s="91">
        <v>351</v>
      </c>
      <c r="AA4" s="91">
        <v>362</v>
      </c>
      <c r="AC4" s="91" t="s">
        <v>5830</v>
      </c>
      <c r="AH4" s="175">
        <v>43221</v>
      </c>
      <c r="AI4" s="91">
        <v>2018</v>
      </c>
      <c r="AJ4" s="91" t="s">
        <v>5831</v>
      </c>
      <c r="AS4" s="91">
        <v>4</v>
      </c>
      <c r="AT4" s="91">
        <v>0</v>
      </c>
      <c r="AU4" s="91">
        <v>0</v>
      </c>
      <c r="AV4" s="91">
        <v>0</v>
      </c>
      <c r="AW4" s="91">
        <v>0</v>
      </c>
      <c r="AX4" s="91">
        <v>4</v>
      </c>
      <c r="AY4" s="91">
        <v>19</v>
      </c>
      <c r="AZ4" s="91">
        <v>33</v>
      </c>
      <c r="BA4" s="91" t="s">
        <v>5832</v>
      </c>
      <c r="BB4" s="91" t="s">
        <v>5833</v>
      </c>
      <c r="BD4" s="91" t="s">
        <v>5834</v>
      </c>
      <c r="BE4" s="91">
        <v>29320232</v>
      </c>
    </row>
    <row r="5" spans="1:57" x14ac:dyDescent="0.25">
      <c r="A5" s="91" t="s">
        <v>993</v>
      </c>
      <c r="B5" s="91" t="s">
        <v>1908</v>
      </c>
      <c r="J5" s="91" t="s">
        <v>1907</v>
      </c>
      <c r="R5" s="91" t="s">
        <v>1909</v>
      </c>
      <c r="V5" s="91">
        <v>67</v>
      </c>
      <c r="Z5" s="91">
        <v>151</v>
      </c>
      <c r="AA5" s="91">
        <v>161</v>
      </c>
      <c r="AC5" s="91" t="s">
        <v>5835</v>
      </c>
      <c r="AH5" s="175">
        <v>43132</v>
      </c>
      <c r="AI5" s="91">
        <v>2018</v>
      </c>
      <c r="AJ5" s="91" t="s">
        <v>5836</v>
      </c>
      <c r="AS5" s="91">
        <v>2</v>
      </c>
      <c r="AT5" s="91">
        <v>0</v>
      </c>
      <c r="AU5" s="91">
        <v>0</v>
      </c>
      <c r="AV5" s="91">
        <v>1</v>
      </c>
      <c r="AW5" s="91">
        <v>0</v>
      </c>
      <c r="AX5" s="91">
        <v>2</v>
      </c>
      <c r="AY5" s="91">
        <v>3</v>
      </c>
      <c r="AZ5" s="91">
        <v>15</v>
      </c>
      <c r="BA5" s="91" t="s">
        <v>5837</v>
      </c>
      <c r="BB5" s="91" t="s">
        <v>5838</v>
      </c>
      <c r="BD5" s="91" t="s">
        <v>5839</v>
      </c>
      <c r="BE5" s="91">
        <v>29122186</v>
      </c>
    </row>
    <row r="6" spans="1:57" x14ac:dyDescent="0.25">
      <c r="A6" s="91" t="s">
        <v>993</v>
      </c>
      <c r="B6" s="91" t="s">
        <v>1911</v>
      </c>
      <c r="G6" s="91" t="s">
        <v>5840</v>
      </c>
      <c r="J6" s="91" t="s">
        <v>1910</v>
      </c>
      <c r="R6" s="91" t="s">
        <v>1909</v>
      </c>
      <c r="V6" s="91">
        <v>65</v>
      </c>
      <c r="Z6" s="91">
        <v>410</v>
      </c>
      <c r="AA6" s="91">
        <v>417</v>
      </c>
      <c r="AC6" s="91" t="s">
        <v>5841</v>
      </c>
      <c r="AH6" s="175">
        <v>43040</v>
      </c>
      <c r="AI6" s="91">
        <v>2017</v>
      </c>
      <c r="AJ6" s="91" t="s">
        <v>5842</v>
      </c>
      <c r="AS6" s="91">
        <v>1</v>
      </c>
      <c r="AT6" s="91">
        <v>0</v>
      </c>
      <c r="AU6" s="91">
        <v>0</v>
      </c>
      <c r="AV6" s="91">
        <v>0</v>
      </c>
      <c r="AW6" s="91">
        <v>0</v>
      </c>
      <c r="AX6" s="91">
        <v>1</v>
      </c>
      <c r="AY6" s="91">
        <v>3</v>
      </c>
      <c r="AZ6" s="91">
        <v>21</v>
      </c>
      <c r="BA6" s="91" t="s">
        <v>5837</v>
      </c>
      <c r="BB6" s="91" t="s">
        <v>5838</v>
      </c>
      <c r="BD6" s="91" t="s">
        <v>5843</v>
      </c>
      <c r="BE6" s="91">
        <v>28528627</v>
      </c>
    </row>
    <row r="7" spans="1:57" x14ac:dyDescent="0.25">
      <c r="A7" s="91" t="s">
        <v>993</v>
      </c>
      <c r="B7" s="91" t="s">
        <v>1913</v>
      </c>
      <c r="G7" s="91" t="s">
        <v>5844</v>
      </c>
      <c r="J7" s="91" t="s">
        <v>1912</v>
      </c>
      <c r="R7" s="91" t="s">
        <v>1909</v>
      </c>
      <c r="V7" s="91">
        <v>65</v>
      </c>
      <c r="Z7" s="91">
        <v>481</v>
      </c>
      <c r="AA7" s="91">
        <v>491</v>
      </c>
      <c r="AC7" s="91" t="s">
        <v>5845</v>
      </c>
      <c r="AH7" s="175">
        <v>43040</v>
      </c>
      <c r="AI7" s="91">
        <v>2017</v>
      </c>
      <c r="AJ7" s="91" t="s">
        <v>5846</v>
      </c>
      <c r="AS7" s="91">
        <v>8</v>
      </c>
      <c r="AT7" s="91">
        <v>2</v>
      </c>
      <c r="AU7" s="91">
        <v>0</v>
      </c>
      <c r="AV7" s="91">
        <v>0</v>
      </c>
      <c r="AW7" s="91">
        <v>0</v>
      </c>
      <c r="AX7" s="91">
        <v>10</v>
      </c>
      <c r="AY7" s="91">
        <v>6</v>
      </c>
      <c r="AZ7" s="91">
        <v>23</v>
      </c>
      <c r="BA7" s="91" t="s">
        <v>5837</v>
      </c>
      <c r="BB7" s="91" t="s">
        <v>5838</v>
      </c>
      <c r="BD7" s="91" t="s">
        <v>5847</v>
      </c>
      <c r="BE7" s="91">
        <v>28283174</v>
      </c>
    </row>
    <row r="8" spans="1:57" x14ac:dyDescent="0.25">
      <c r="A8" s="91" t="s">
        <v>993</v>
      </c>
      <c r="B8" s="91" t="s">
        <v>1915</v>
      </c>
      <c r="F8" s="91" t="s">
        <v>5848</v>
      </c>
      <c r="G8" s="91" t="s">
        <v>5849</v>
      </c>
      <c r="J8" s="91" t="s">
        <v>1914</v>
      </c>
      <c r="R8" s="91" t="s">
        <v>1909</v>
      </c>
      <c r="V8" s="91">
        <v>65</v>
      </c>
      <c r="Z8" s="91">
        <v>530</v>
      </c>
      <c r="AA8" s="91">
        <v>540</v>
      </c>
      <c r="AC8" s="91" t="s">
        <v>5850</v>
      </c>
      <c r="AH8" s="175">
        <v>43040</v>
      </c>
      <c r="AI8" s="91">
        <v>2017</v>
      </c>
      <c r="AJ8" s="91" t="s">
        <v>5851</v>
      </c>
      <c r="AS8" s="91">
        <v>2</v>
      </c>
      <c r="AT8" s="91">
        <v>0</v>
      </c>
      <c r="AU8" s="91">
        <v>0</v>
      </c>
      <c r="AV8" s="91">
        <v>1</v>
      </c>
      <c r="AW8" s="91">
        <v>0</v>
      </c>
      <c r="AX8" s="91">
        <v>2</v>
      </c>
      <c r="AY8" s="91">
        <v>4</v>
      </c>
      <c r="AZ8" s="91">
        <v>20</v>
      </c>
      <c r="BA8" s="91" t="s">
        <v>5837</v>
      </c>
      <c r="BB8" s="91" t="s">
        <v>5838</v>
      </c>
      <c r="BD8" s="91" t="s">
        <v>5852</v>
      </c>
      <c r="BE8" s="91">
        <v>28159113</v>
      </c>
    </row>
    <row r="9" spans="1:57" x14ac:dyDescent="0.25">
      <c r="A9" s="91" t="s">
        <v>993</v>
      </c>
      <c r="B9" s="91" t="s">
        <v>1917</v>
      </c>
      <c r="F9" s="91" t="s">
        <v>5853</v>
      </c>
      <c r="G9" s="91" t="s">
        <v>5854</v>
      </c>
      <c r="J9" s="91" t="s">
        <v>1916</v>
      </c>
      <c r="R9" s="91" t="s">
        <v>1901</v>
      </c>
      <c r="V9" s="91">
        <v>61</v>
      </c>
      <c r="Z9" s="91">
        <v>71</v>
      </c>
      <c r="AA9" s="91">
        <v>80</v>
      </c>
      <c r="AC9" s="91" t="s">
        <v>5855</v>
      </c>
      <c r="AH9" s="175">
        <v>42979</v>
      </c>
      <c r="AI9" s="91">
        <v>2017</v>
      </c>
      <c r="AJ9" s="91" t="s">
        <v>5856</v>
      </c>
      <c r="AS9" s="91">
        <v>1</v>
      </c>
      <c r="AT9" s="91">
        <v>0</v>
      </c>
      <c r="AU9" s="91">
        <v>0</v>
      </c>
      <c r="AV9" s="91">
        <v>0</v>
      </c>
      <c r="AW9" s="91">
        <v>0</v>
      </c>
      <c r="AX9" s="91">
        <v>1</v>
      </c>
      <c r="AY9" s="91">
        <v>1</v>
      </c>
      <c r="AZ9" s="91">
        <v>5</v>
      </c>
      <c r="BA9" s="91" t="s">
        <v>5824</v>
      </c>
      <c r="BB9" s="91" t="s">
        <v>5825</v>
      </c>
      <c r="BD9" s="91" t="s">
        <v>5857</v>
      </c>
    </row>
    <row r="10" spans="1:57" x14ac:dyDescent="0.25">
      <c r="A10" s="91" t="s">
        <v>993</v>
      </c>
      <c r="B10" s="91" t="s">
        <v>1919</v>
      </c>
      <c r="J10" s="91" t="s">
        <v>1918</v>
      </c>
      <c r="R10" s="91" t="s">
        <v>1920</v>
      </c>
      <c r="V10" s="91">
        <v>60</v>
      </c>
      <c r="W10" s="91">
        <v>4</v>
      </c>
      <c r="Z10" s="91">
        <v>597</v>
      </c>
      <c r="AA10" s="91">
        <v>598</v>
      </c>
      <c r="AC10" s="91" t="s">
        <v>5858</v>
      </c>
      <c r="AH10" s="91">
        <v>2017</v>
      </c>
      <c r="AI10" s="91">
        <v>2017</v>
      </c>
      <c r="AJ10" s="91" t="s">
        <v>5859</v>
      </c>
      <c r="AS10" s="91">
        <v>0</v>
      </c>
      <c r="AT10" s="91">
        <v>0</v>
      </c>
      <c r="AU10" s="91">
        <v>0</v>
      </c>
      <c r="AV10" s="91">
        <v>0</v>
      </c>
      <c r="AW10" s="91">
        <v>0</v>
      </c>
      <c r="AX10" s="91">
        <v>0</v>
      </c>
      <c r="AY10" s="91">
        <v>1</v>
      </c>
      <c r="AZ10" s="91">
        <v>1</v>
      </c>
      <c r="BA10" s="91" t="s">
        <v>5860</v>
      </c>
      <c r="BB10" s="91" t="s">
        <v>5861</v>
      </c>
      <c r="BD10" s="91" t="s">
        <v>5862</v>
      </c>
      <c r="BE10" s="91">
        <v>26715142</v>
      </c>
    </row>
    <row r="11" spans="1:57" x14ac:dyDescent="0.25">
      <c r="A11" s="91" t="s">
        <v>993</v>
      </c>
      <c r="B11" s="91" t="s">
        <v>1922</v>
      </c>
      <c r="J11" s="91" t="s">
        <v>1921</v>
      </c>
      <c r="R11" s="91" t="s">
        <v>1920</v>
      </c>
      <c r="V11" s="91">
        <v>60</v>
      </c>
      <c r="W11" s="91">
        <v>4</v>
      </c>
      <c r="Z11" s="91">
        <v>599</v>
      </c>
      <c r="AA11" s="91">
        <v>600</v>
      </c>
      <c r="AC11" s="91" t="s">
        <v>5863</v>
      </c>
      <c r="AH11" s="91">
        <v>2017</v>
      </c>
      <c r="AI11" s="91">
        <v>2017</v>
      </c>
      <c r="AS11" s="91">
        <v>0</v>
      </c>
      <c r="AT11" s="91">
        <v>0</v>
      </c>
      <c r="AU11" s="91">
        <v>0</v>
      </c>
      <c r="AV11" s="91">
        <v>0</v>
      </c>
      <c r="AW11" s="91">
        <v>0</v>
      </c>
      <c r="AX11" s="91">
        <v>0</v>
      </c>
      <c r="AY11" s="91">
        <v>1</v>
      </c>
      <c r="AZ11" s="91">
        <v>2</v>
      </c>
      <c r="BA11" s="91" t="s">
        <v>5860</v>
      </c>
      <c r="BB11" s="91" t="s">
        <v>5861</v>
      </c>
      <c r="BD11" s="91" t="s">
        <v>5864</v>
      </c>
      <c r="BE11" s="91">
        <v>28102775</v>
      </c>
    </row>
    <row r="12" spans="1:57" x14ac:dyDescent="0.25">
      <c r="A12" s="91" t="s">
        <v>993</v>
      </c>
      <c r="B12" s="91" t="s">
        <v>1924</v>
      </c>
      <c r="J12" s="91" t="s">
        <v>1923</v>
      </c>
      <c r="R12" s="91" t="s">
        <v>1920</v>
      </c>
      <c r="V12" s="91">
        <v>59</v>
      </c>
      <c r="W12" s="91">
        <v>4</v>
      </c>
      <c r="Z12" s="91">
        <v>591</v>
      </c>
      <c r="AA12" s="91">
        <v>602</v>
      </c>
      <c r="AC12" s="91" t="s">
        <v>5865</v>
      </c>
      <c r="AH12" s="91">
        <v>2016</v>
      </c>
      <c r="AI12" s="91">
        <v>2016</v>
      </c>
      <c r="AJ12" s="91" t="s">
        <v>5866</v>
      </c>
      <c r="AS12" s="91">
        <v>16</v>
      </c>
      <c r="AT12" s="91">
        <v>0</v>
      </c>
      <c r="AU12" s="91">
        <v>0</v>
      </c>
      <c r="AV12" s="91">
        <v>1</v>
      </c>
      <c r="AW12" s="91">
        <v>0</v>
      </c>
      <c r="AX12" s="91">
        <v>16</v>
      </c>
      <c r="AY12" s="91">
        <v>4</v>
      </c>
      <c r="AZ12" s="91">
        <v>13</v>
      </c>
      <c r="BA12" s="91" t="s">
        <v>5860</v>
      </c>
      <c r="BB12" s="91" t="s">
        <v>5861</v>
      </c>
      <c r="BD12" s="91" t="s">
        <v>5867</v>
      </c>
      <c r="BE12" s="91">
        <v>26256753</v>
      </c>
    </row>
    <row r="13" spans="1:57" x14ac:dyDescent="0.25">
      <c r="A13" s="91" t="s">
        <v>993</v>
      </c>
      <c r="B13" s="91" t="s">
        <v>1926</v>
      </c>
      <c r="J13" s="91" t="s">
        <v>1925</v>
      </c>
      <c r="R13" s="91" t="s">
        <v>1920</v>
      </c>
      <c r="V13" s="91">
        <v>58</v>
      </c>
      <c r="W13" s="91">
        <v>12</v>
      </c>
      <c r="Z13" s="91">
        <v>2057</v>
      </c>
      <c r="AA13" s="91">
        <v>2066</v>
      </c>
      <c r="AC13" s="91" t="s">
        <v>5868</v>
      </c>
      <c r="AH13" s="91" t="s">
        <v>5869</v>
      </c>
      <c r="AI13" s="91">
        <v>2015</v>
      </c>
      <c r="AJ13" s="91" t="s">
        <v>5870</v>
      </c>
      <c r="AS13" s="91">
        <v>3</v>
      </c>
      <c r="AT13" s="91">
        <v>0</v>
      </c>
      <c r="AU13" s="91">
        <v>0</v>
      </c>
      <c r="AV13" s="91">
        <v>0</v>
      </c>
      <c r="AW13" s="91">
        <v>0</v>
      </c>
      <c r="AX13" s="91">
        <v>3</v>
      </c>
      <c r="AY13" s="91">
        <v>1</v>
      </c>
      <c r="AZ13" s="91">
        <v>13</v>
      </c>
      <c r="BA13" s="91" t="s">
        <v>5860</v>
      </c>
      <c r="BB13" s="91" t="s">
        <v>5861</v>
      </c>
      <c r="BD13" s="91" t="s">
        <v>5871</v>
      </c>
      <c r="BE13" s="91">
        <v>25978764</v>
      </c>
    </row>
    <row r="14" spans="1:57" x14ac:dyDescent="0.25">
      <c r="A14" s="91" t="s">
        <v>993</v>
      </c>
      <c r="B14" s="91" t="s">
        <v>1928</v>
      </c>
      <c r="J14" s="91" t="s">
        <v>1927</v>
      </c>
      <c r="R14" s="91" t="s">
        <v>1920</v>
      </c>
      <c r="V14" s="91">
        <v>57</v>
      </c>
      <c r="W14" s="91">
        <v>4</v>
      </c>
      <c r="Z14" s="91">
        <v>622</v>
      </c>
      <c r="AA14" s="91">
        <v>631</v>
      </c>
      <c r="AC14" s="91" t="s">
        <v>5872</v>
      </c>
      <c r="AH14" s="91" t="s">
        <v>5873</v>
      </c>
      <c r="AI14" s="91">
        <v>2014</v>
      </c>
      <c r="AJ14" s="91" t="s">
        <v>5874</v>
      </c>
      <c r="AS14" s="91">
        <v>18</v>
      </c>
      <c r="AT14" s="91">
        <v>1</v>
      </c>
      <c r="AU14" s="91">
        <v>0</v>
      </c>
      <c r="AV14" s="91">
        <v>2</v>
      </c>
      <c r="AW14" s="91">
        <v>0</v>
      </c>
      <c r="AX14" s="91">
        <v>18</v>
      </c>
      <c r="AY14" s="91">
        <v>2</v>
      </c>
      <c r="AZ14" s="91">
        <v>22</v>
      </c>
      <c r="BA14" s="91" t="s">
        <v>5860</v>
      </c>
      <c r="BB14" s="91" t="s">
        <v>5861</v>
      </c>
      <c r="BD14" s="91" t="s">
        <v>5875</v>
      </c>
      <c r="BE14" s="91">
        <v>24646374</v>
      </c>
    </row>
    <row r="15" spans="1:57" x14ac:dyDescent="0.25">
      <c r="A15" s="91" t="s">
        <v>993</v>
      </c>
      <c r="B15" s="91" t="s">
        <v>1930</v>
      </c>
      <c r="G15" s="91" t="s">
        <v>5876</v>
      </c>
      <c r="J15" s="91" t="s">
        <v>1929</v>
      </c>
      <c r="R15" s="91" t="s">
        <v>1909</v>
      </c>
      <c r="V15" s="91">
        <v>43</v>
      </c>
      <c r="W15" s="91">
        <v>4</v>
      </c>
      <c r="Z15" s="91">
        <v>645</v>
      </c>
      <c r="AA15" s="91">
        <v>649</v>
      </c>
      <c r="AC15" s="91" t="s">
        <v>5877</v>
      </c>
      <c r="AH15" s="175">
        <v>41091</v>
      </c>
      <c r="AI15" s="91">
        <v>2012</v>
      </c>
      <c r="AJ15" s="91" t="s">
        <v>5878</v>
      </c>
      <c r="AS15" s="91">
        <v>179</v>
      </c>
      <c r="AT15" s="91">
        <v>4</v>
      </c>
      <c r="AU15" s="91">
        <v>0</v>
      </c>
      <c r="AV15" s="91">
        <v>18</v>
      </c>
      <c r="AW15" s="91">
        <v>3</v>
      </c>
      <c r="AX15" s="91">
        <v>184</v>
      </c>
      <c r="AY15" s="91">
        <v>4</v>
      </c>
      <c r="AZ15" s="91">
        <v>81</v>
      </c>
      <c r="BA15" s="91" t="s">
        <v>5837</v>
      </c>
      <c r="BD15" s="91" t="s">
        <v>5879</v>
      </c>
      <c r="BE15" s="91">
        <v>22018839</v>
      </c>
    </row>
    <row r="16" spans="1:57" x14ac:dyDescent="0.25">
      <c r="A16" s="91" t="s">
        <v>993</v>
      </c>
      <c r="B16" s="91" t="s">
        <v>1932</v>
      </c>
      <c r="J16" s="91" t="s">
        <v>1931</v>
      </c>
      <c r="R16" s="91" t="s">
        <v>1909</v>
      </c>
      <c r="V16" s="91">
        <v>35</v>
      </c>
      <c r="W16" s="91">
        <v>2</v>
      </c>
      <c r="Z16" s="91">
        <v>159</v>
      </c>
      <c r="AA16" s="91">
        <v>171</v>
      </c>
      <c r="AC16" s="91" t="s">
        <v>5880</v>
      </c>
      <c r="AH16" s="175">
        <v>38047</v>
      </c>
      <c r="AI16" s="91">
        <v>2004</v>
      </c>
      <c r="AJ16" s="91" t="s">
        <v>5881</v>
      </c>
      <c r="AS16" s="91">
        <v>31</v>
      </c>
      <c r="AT16" s="91">
        <v>0</v>
      </c>
      <c r="AU16" s="91">
        <v>0</v>
      </c>
      <c r="AV16" s="91">
        <v>3</v>
      </c>
      <c r="AW16" s="91">
        <v>1</v>
      </c>
      <c r="AX16" s="91">
        <v>31</v>
      </c>
      <c r="AY16" s="91">
        <v>0</v>
      </c>
      <c r="AZ16" s="91">
        <v>5</v>
      </c>
      <c r="BA16" s="91" t="s">
        <v>5837</v>
      </c>
      <c r="BD16" s="91" t="s">
        <v>5882</v>
      </c>
      <c r="BE16" s="91">
        <v>15105078</v>
      </c>
    </row>
    <row r="17" spans="1:56" x14ac:dyDescent="0.25">
      <c r="A17" s="91" t="s">
        <v>993</v>
      </c>
      <c r="B17" s="91" t="s">
        <v>1934</v>
      </c>
      <c r="J17" s="91" t="s">
        <v>1933</v>
      </c>
      <c r="R17" s="91" t="s">
        <v>1935</v>
      </c>
      <c r="V17" s="91">
        <v>12</v>
      </c>
      <c r="W17" s="91">
        <v>3</v>
      </c>
      <c r="Z17" s="91">
        <v>235</v>
      </c>
      <c r="AA17" s="91">
        <v>247</v>
      </c>
      <c r="AC17" s="91" t="s">
        <v>5883</v>
      </c>
      <c r="AH17" s="91" t="s">
        <v>5884</v>
      </c>
      <c r="AI17" s="91">
        <v>2002</v>
      </c>
      <c r="AJ17" s="91" t="s">
        <v>5885</v>
      </c>
      <c r="AS17" s="91">
        <v>42</v>
      </c>
      <c r="AT17" s="91">
        <v>0</v>
      </c>
      <c r="AU17" s="91">
        <v>0</v>
      </c>
      <c r="AV17" s="91">
        <v>2</v>
      </c>
      <c r="AW17" s="91">
        <v>0</v>
      </c>
      <c r="AX17" s="91">
        <v>42</v>
      </c>
      <c r="AY17" s="91">
        <v>0</v>
      </c>
      <c r="AZ17" s="91">
        <v>5</v>
      </c>
      <c r="BA17" s="91" t="s">
        <v>5886</v>
      </c>
      <c r="BD17" s="91" t="s">
        <v>5887</v>
      </c>
    </row>
  </sheetData>
  <pageMargins left="0.7" right="0.7" top="0.75" bottom="0.75" header="0.51180555555555496" footer="0.51180555555555496"/>
  <pageSetup firstPageNumber="0" orientation="portrait" horizontalDpi="300" verticalDpi="30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AMK3"/>
  <sheetViews>
    <sheetView zoomScale="75" zoomScaleNormal="75" workbookViewId="0">
      <selection activeCell="F20" sqref="F20"/>
    </sheetView>
  </sheetViews>
  <sheetFormatPr baseColWidth="10" defaultColWidth="9.140625" defaultRowHeight="15" x14ac:dyDescent="0.25"/>
  <cols>
    <col min="1" max="1025" width="11.42578125" style="91"/>
  </cols>
  <sheetData>
    <row r="1" spans="1:57" x14ac:dyDescent="0.25">
      <c r="A1" s="91" t="s">
        <v>5109</v>
      </c>
      <c r="B1" s="91" t="s">
        <v>5110</v>
      </c>
      <c r="C1" s="91" t="s">
        <v>5111</v>
      </c>
      <c r="D1" s="91" t="s">
        <v>5112</v>
      </c>
      <c r="E1" s="91" t="s">
        <v>5113</v>
      </c>
      <c r="F1" s="91" t="s">
        <v>5114</v>
      </c>
      <c r="G1" s="91" t="s">
        <v>5115</v>
      </c>
      <c r="H1" s="91" t="s">
        <v>5116</v>
      </c>
      <c r="I1" s="91" t="s">
        <v>5117</v>
      </c>
      <c r="J1" s="91" t="s">
        <v>5118</v>
      </c>
      <c r="K1" s="91" t="s">
        <v>5119</v>
      </c>
      <c r="L1" s="91" t="s">
        <v>5120</v>
      </c>
      <c r="M1" s="91" t="s">
        <v>5121</v>
      </c>
      <c r="N1" s="91" t="s">
        <v>5122</v>
      </c>
      <c r="O1" s="91" t="s">
        <v>5123</v>
      </c>
      <c r="P1" s="91" t="s">
        <v>5124</v>
      </c>
      <c r="Q1" s="91" t="s">
        <v>5125</v>
      </c>
      <c r="R1" s="91" t="s">
        <v>5126</v>
      </c>
      <c r="S1" s="91" t="s">
        <v>5127</v>
      </c>
      <c r="T1" s="91" t="s">
        <v>5128</v>
      </c>
      <c r="U1" s="91" t="s">
        <v>5129</v>
      </c>
      <c r="V1" s="91" t="s">
        <v>5130</v>
      </c>
      <c r="W1" s="91" t="s">
        <v>5131</v>
      </c>
      <c r="X1" s="91" t="s">
        <v>1948</v>
      </c>
      <c r="Y1" s="91" t="s">
        <v>5132</v>
      </c>
      <c r="Z1" s="91" t="s">
        <v>5133</v>
      </c>
      <c r="AA1" s="91" t="s">
        <v>5134</v>
      </c>
      <c r="AB1" s="91" t="s">
        <v>5135</v>
      </c>
      <c r="AC1" s="91" t="s">
        <v>5136</v>
      </c>
      <c r="AD1" s="91" t="s">
        <v>5137</v>
      </c>
      <c r="AE1" s="91" t="s">
        <v>5138</v>
      </c>
      <c r="AF1" s="91" t="s">
        <v>5139</v>
      </c>
      <c r="AG1" s="91" t="s">
        <v>5140</v>
      </c>
      <c r="AH1" s="91" t="s">
        <v>5141</v>
      </c>
      <c r="AI1" s="91" t="s">
        <v>5142</v>
      </c>
      <c r="AJ1" s="91" t="s">
        <v>5143</v>
      </c>
      <c r="AK1" s="91" t="s">
        <v>5144</v>
      </c>
      <c r="AL1" s="91" t="s">
        <v>5145</v>
      </c>
      <c r="AM1" s="91" t="s">
        <v>5146</v>
      </c>
      <c r="AN1" s="91" t="s">
        <v>5147</v>
      </c>
      <c r="AO1" s="91" t="s">
        <v>5148</v>
      </c>
      <c r="AP1" s="91" t="s">
        <v>5149</v>
      </c>
      <c r="AQ1" s="91" t="s">
        <v>5150</v>
      </c>
      <c r="AR1" s="91" t="s">
        <v>5151</v>
      </c>
      <c r="AS1" s="91" t="s">
        <v>5152</v>
      </c>
      <c r="AT1" s="91" t="s">
        <v>5153</v>
      </c>
      <c r="AU1" s="91" t="s">
        <v>5154</v>
      </c>
      <c r="AV1" s="91" t="s">
        <v>5155</v>
      </c>
      <c r="AW1" s="91" t="s">
        <v>5156</v>
      </c>
      <c r="AX1" s="91" t="s">
        <v>5157</v>
      </c>
      <c r="AY1" s="91" t="s">
        <v>5158</v>
      </c>
      <c r="AZ1" s="91" t="s">
        <v>5159</v>
      </c>
      <c r="BA1" s="91" t="s">
        <v>5160</v>
      </c>
      <c r="BB1" s="91" t="s">
        <v>5161</v>
      </c>
      <c r="BC1" s="91" t="s">
        <v>5162</v>
      </c>
      <c r="BD1" s="91" t="s">
        <v>5163</v>
      </c>
      <c r="BE1" s="91" t="s">
        <v>5164</v>
      </c>
    </row>
    <row r="2" spans="1:57" x14ac:dyDescent="0.25">
      <c r="A2" s="91" t="s">
        <v>993</v>
      </c>
      <c r="B2" s="91" t="s">
        <v>5888</v>
      </c>
      <c r="J2" s="91" t="s">
        <v>5889</v>
      </c>
      <c r="R2" s="91" t="s">
        <v>5890</v>
      </c>
      <c r="V2" s="91">
        <v>19</v>
      </c>
      <c r="W2" s="91">
        <v>2</v>
      </c>
      <c r="Z2" s="91">
        <v>119</v>
      </c>
      <c r="AA2" s="91">
        <v>128</v>
      </c>
      <c r="AC2" s="91" t="s">
        <v>5891</v>
      </c>
      <c r="AH2" s="175">
        <v>42156</v>
      </c>
      <c r="AI2" s="91">
        <v>2015</v>
      </c>
      <c r="AJ2" s="91" t="s">
        <v>5892</v>
      </c>
      <c r="AS2" s="91">
        <v>6</v>
      </c>
      <c r="AT2" s="91">
        <v>0</v>
      </c>
      <c r="AU2" s="91">
        <v>0</v>
      </c>
      <c r="AV2" s="91">
        <v>0</v>
      </c>
      <c r="AW2" s="91">
        <v>0</v>
      </c>
      <c r="AX2" s="91">
        <v>6</v>
      </c>
      <c r="AY2" s="91">
        <v>4</v>
      </c>
      <c r="AZ2" s="91">
        <v>33</v>
      </c>
      <c r="BA2" s="91" t="s">
        <v>5893</v>
      </c>
      <c r="BB2" s="91" t="s">
        <v>5894</v>
      </c>
      <c r="BD2" s="91" t="s">
        <v>5895</v>
      </c>
    </row>
    <row r="3" spans="1:57" x14ac:dyDescent="0.25">
      <c r="A3" s="91" t="s">
        <v>993</v>
      </c>
      <c r="B3" s="91" t="s">
        <v>5896</v>
      </c>
      <c r="G3" s="91" t="s">
        <v>5897</v>
      </c>
      <c r="J3" s="91" t="s">
        <v>5898</v>
      </c>
      <c r="R3" s="91" t="s">
        <v>5899</v>
      </c>
      <c r="V3" s="91">
        <v>15</v>
      </c>
      <c r="W3" s="91">
        <v>4</v>
      </c>
      <c r="Z3" s="91">
        <v>513</v>
      </c>
      <c r="AA3" s="91">
        <v>521</v>
      </c>
      <c r="AC3" s="91" t="s">
        <v>5900</v>
      </c>
      <c r="AH3" s="175">
        <v>40725</v>
      </c>
      <c r="AI3" s="91">
        <v>2011</v>
      </c>
      <c r="AJ3" s="91" t="s">
        <v>5901</v>
      </c>
      <c r="AS3" s="91">
        <v>38</v>
      </c>
      <c r="AT3" s="91">
        <v>0</v>
      </c>
      <c r="AU3" s="91">
        <v>0</v>
      </c>
      <c r="AV3" s="91">
        <v>3</v>
      </c>
      <c r="AW3" s="91">
        <v>0</v>
      </c>
      <c r="AX3" s="91">
        <v>38</v>
      </c>
      <c r="AY3" s="91">
        <v>0</v>
      </c>
      <c r="AZ3" s="91">
        <v>15</v>
      </c>
      <c r="BA3" s="91" t="s">
        <v>5902</v>
      </c>
      <c r="BB3" s="91" t="s">
        <v>5903</v>
      </c>
      <c r="BD3" s="91" t="s">
        <v>5904</v>
      </c>
      <c r="BE3" s="91">
        <v>21659035</v>
      </c>
    </row>
  </sheetData>
  <pageMargins left="0.7" right="0.7" top="0.75" bottom="0.75" header="0.51180555555555496" footer="0.51180555555555496"/>
  <pageSetup firstPageNumber="0" orientation="portrait" horizontalDpi="3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AMK5"/>
  <sheetViews>
    <sheetView zoomScale="75" zoomScaleNormal="75" workbookViewId="0">
      <selection activeCell="J2" sqref="J2"/>
    </sheetView>
  </sheetViews>
  <sheetFormatPr baseColWidth="10" defaultColWidth="9.140625" defaultRowHeight="15" x14ac:dyDescent="0.25"/>
  <cols>
    <col min="1" max="1025" width="11.42578125" style="91"/>
  </cols>
  <sheetData>
    <row r="1" spans="1:57" x14ac:dyDescent="0.25">
      <c r="A1" s="91" t="s">
        <v>5109</v>
      </c>
      <c r="B1" s="91" t="s">
        <v>5110</v>
      </c>
      <c r="C1" s="91" t="s">
        <v>5111</v>
      </c>
      <c r="D1" s="91" t="s">
        <v>5112</v>
      </c>
      <c r="E1" s="91" t="s">
        <v>5113</v>
      </c>
      <c r="F1" s="91" t="s">
        <v>5114</v>
      </c>
      <c r="G1" s="91" t="s">
        <v>5115</v>
      </c>
      <c r="H1" s="91" t="s">
        <v>5116</v>
      </c>
      <c r="I1" s="91" t="s">
        <v>5117</v>
      </c>
      <c r="J1" s="91" t="s">
        <v>5118</v>
      </c>
      <c r="K1" s="91" t="s">
        <v>5119</v>
      </c>
      <c r="L1" s="91" t="s">
        <v>5120</v>
      </c>
      <c r="M1" s="91" t="s">
        <v>5121</v>
      </c>
      <c r="N1" s="91" t="s">
        <v>5122</v>
      </c>
      <c r="O1" s="91" t="s">
        <v>5123</v>
      </c>
      <c r="P1" s="91" t="s">
        <v>5124</v>
      </c>
      <c r="Q1" s="91" t="s">
        <v>5125</v>
      </c>
      <c r="R1" s="91" t="s">
        <v>5126</v>
      </c>
      <c r="S1" s="91" t="s">
        <v>5127</v>
      </c>
      <c r="T1" s="91" t="s">
        <v>5128</v>
      </c>
      <c r="U1" s="91" t="s">
        <v>5129</v>
      </c>
      <c r="V1" s="91" t="s">
        <v>5130</v>
      </c>
      <c r="W1" s="91" t="s">
        <v>5131</v>
      </c>
      <c r="X1" s="91" t="s">
        <v>1948</v>
      </c>
      <c r="Y1" s="91" t="s">
        <v>5132</v>
      </c>
      <c r="Z1" s="91" t="s">
        <v>5133</v>
      </c>
      <c r="AA1" s="91" t="s">
        <v>5134</v>
      </c>
      <c r="AB1" s="91" t="s">
        <v>5135</v>
      </c>
      <c r="AC1" s="91" t="s">
        <v>5136</v>
      </c>
      <c r="AD1" s="91" t="s">
        <v>5137</v>
      </c>
      <c r="AE1" s="91" t="s">
        <v>5138</v>
      </c>
      <c r="AF1" s="91" t="s">
        <v>5139</v>
      </c>
      <c r="AG1" s="91" t="s">
        <v>5140</v>
      </c>
      <c r="AH1" s="91" t="s">
        <v>5141</v>
      </c>
      <c r="AI1" s="91" t="s">
        <v>5142</v>
      </c>
      <c r="AJ1" s="91" t="s">
        <v>5143</v>
      </c>
      <c r="AK1" s="91" t="s">
        <v>5144</v>
      </c>
      <c r="AL1" s="91" t="s">
        <v>5145</v>
      </c>
      <c r="AM1" s="91" t="s">
        <v>5146</v>
      </c>
      <c r="AN1" s="91" t="s">
        <v>5147</v>
      </c>
      <c r="AO1" s="91" t="s">
        <v>5148</v>
      </c>
      <c r="AP1" s="91" t="s">
        <v>5149</v>
      </c>
      <c r="AQ1" s="91" t="s">
        <v>5150</v>
      </c>
      <c r="AR1" s="91" t="s">
        <v>5151</v>
      </c>
      <c r="AS1" s="91" t="s">
        <v>5152</v>
      </c>
      <c r="AT1" s="91" t="s">
        <v>5153</v>
      </c>
      <c r="AU1" s="91" t="s">
        <v>5154</v>
      </c>
      <c r="AV1" s="91" t="s">
        <v>5155</v>
      </c>
      <c r="AW1" s="91" t="s">
        <v>5156</v>
      </c>
      <c r="AX1" s="91" t="s">
        <v>5157</v>
      </c>
      <c r="AY1" s="91" t="s">
        <v>5158</v>
      </c>
      <c r="AZ1" s="91" t="s">
        <v>5159</v>
      </c>
      <c r="BA1" s="91" t="s">
        <v>5160</v>
      </c>
      <c r="BB1" s="91" t="s">
        <v>5161</v>
      </c>
      <c r="BC1" s="91" t="s">
        <v>5162</v>
      </c>
      <c r="BD1" s="91" t="s">
        <v>5163</v>
      </c>
      <c r="BE1" s="91" t="s">
        <v>5164</v>
      </c>
    </row>
    <row r="2" spans="1:57" x14ac:dyDescent="0.25">
      <c r="A2" s="91" t="s">
        <v>993</v>
      </c>
      <c r="B2" s="91" t="s">
        <v>5905</v>
      </c>
      <c r="J2" s="91" t="s">
        <v>5906</v>
      </c>
      <c r="R2" s="91" t="s">
        <v>5907</v>
      </c>
      <c r="V2" s="91">
        <v>69</v>
      </c>
      <c r="Z2" s="91">
        <v>70</v>
      </c>
      <c r="AA2" s="91">
        <v>80</v>
      </c>
      <c r="AC2" s="91" t="s">
        <v>5908</v>
      </c>
      <c r="AH2" s="91" t="s">
        <v>5909</v>
      </c>
      <c r="AI2" s="91">
        <v>2018</v>
      </c>
      <c r="AJ2" s="91" t="s">
        <v>5910</v>
      </c>
      <c r="AS2" s="91">
        <v>2</v>
      </c>
      <c r="AT2" s="91">
        <v>0</v>
      </c>
      <c r="AU2" s="91">
        <v>0</v>
      </c>
      <c r="AV2" s="91">
        <v>1</v>
      </c>
      <c r="AW2" s="91">
        <v>0</v>
      </c>
      <c r="AX2" s="91">
        <v>2</v>
      </c>
      <c r="AY2" s="91">
        <v>3</v>
      </c>
      <c r="AZ2" s="91">
        <v>8</v>
      </c>
      <c r="BA2" s="91" t="s">
        <v>5911</v>
      </c>
      <c r="BB2" s="91" t="s">
        <v>5912</v>
      </c>
      <c r="BD2" s="91" t="s">
        <v>5913</v>
      </c>
      <c r="BE2" s="91">
        <v>29398000</v>
      </c>
    </row>
    <row r="3" spans="1:57" x14ac:dyDescent="0.25">
      <c r="A3" s="91" t="s">
        <v>993</v>
      </c>
      <c r="B3" s="91" t="s">
        <v>5914</v>
      </c>
      <c r="J3" s="91" t="s">
        <v>5915</v>
      </c>
      <c r="R3" s="91" t="s">
        <v>5907</v>
      </c>
      <c r="V3" s="91">
        <v>49</v>
      </c>
      <c r="W3" s="91">
        <v>13</v>
      </c>
      <c r="Z3" s="91">
        <v>2946</v>
      </c>
      <c r="AA3" s="91">
        <v>2952</v>
      </c>
      <c r="AC3" s="91" t="s">
        <v>5916</v>
      </c>
      <c r="AH3" s="91" t="s">
        <v>5917</v>
      </c>
      <c r="AI3" s="91">
        <v>2016</v>
      </c>
      <c r="AJ3" s="91" t="s">
        <v>5918</v>
      </c>
      <c r="AS3" s="91">
        <v>4</v>
      </c>
      <c r="AT3" s="91">
        <v>0</v>
      </c>
      <c r="AU3" s="91">
        <v>0</v>
      </c>
      <c r="AV3" s="91">
        <v>2</v>
      </c>
      <c r="AW3" s="91">
        <v>0</v>
      </c>
      <c r="AX3" s="91">
        <v>4</v>
      </c>
      <c r="AY3" s="91">
        <v>0</v>
      </c>
      <c r="AZ3" s="91">
        <v>5</v>
      </c>
      <c r="BA3" s="91" t="s">
        <v>5911</v>
      </c>
      <c r="BB3" s="91" t="s">
        <v>5912</v>
      </c>
      <c r="BD3" s="91" t="s">
        <v>5919</v>
      </c>
      <c r="BE3" s="91">
        <v>27452877</v>
      </c>
    </row>
    <row r="4" spans="1:57" x14ac:dyDescent="0.25">
      <c r="A4" s="91" t="s">
        <v>993</v>
      </c>
      <c r="B4" s="91" t="s">
        <v>5920</v>
      </c>
      <c r="J4" s="91" t="s">
        <v>5921</v>
      </c>
      <c r="R4" s="91" t="s">
        <v>5922</v>
      </c>
      <c r="V4" s="91">
        <v>76</v>
      </c>
      <c r="Z4" s="91">
        <v>134</v>
      </c>
      <c r="AA4" s="91">
        <v>142</v>
      </c>
      <c r="AC4" s="91" t="s">
        <v>5923</v>
      </c>
      <c r="AH4" s="91" t="s">
        <v>4267</v>
      </c>
      <c r="AI4" s="91">
        <v>2016</v>
      </c>
      <c r="AJ4" s="91" t="s">
        <v>5924</v>
      </c>
      <c r="AS4" s="91">
        <v>0</v>
      </c>
      <c r="AT4" s="91">
        <v>0</v>
      </c>
      <c r="AU4" s="91">
        <v>0</v>
      </c>
      <c r="AV4" s="91">
        <v>0</v>
      </c>
      <c r="AW4" s="91">
        <v>0</v>
      </c>
      <c r="AX4" s="91">
        <v>0</v>
      </c>
      <c r="AY4" s="91">
        <v>0</v>
      </c>
      <c r="AZ4" s="91">
        <v>7</v>
      </c>
      <c r="BA4" s="91" t="s">
        <v>5925</v>
      </c>
      <c r="BB4" s="91" t="s">
        <v>5926</v>
      </c>
      <c r="BD4" s="91" t="s">
        <v>5927</v>
      </c>
      <c r="BE4" s="91">
        <v>27441831</v>
      </c>
    </row>
    <row r="5" spans="1:57" x14ac:dyDescent="0.25">
      <c r="A5" s="91" t="s">
        <v>993</v>
      </c>
      <c r="B5" s="91" t="s">
        <v>5928</v>
      </c>
      <c r="G5" s="91" t="s">
        <v>5929</v>
      </c>
      <c r="J5" s="91" t="s">
        <v>5930</v>
      </c>
      <c r="R5" s="91" t="s">
        <v>5931</v>
      </c>
      <c r="V5" s="91">
        <v>133</v>
      </c>
      <c r="W5" s="91">
        <v>11</v>
      </c>
      <c r="AB5" s="91">
        <v>114502</v>
      </c>
      <c r="AC5" s="91" t="s">
        <v>5932</v>
      </c>
      <c r="AH5" s="175">
        <v>40848</v>
      </c>
      <c r="AI5" s="91">
        <v>2011</v>
      </c>
      <c r="AJ5" s="91" t="s">
        <v>5933</v>
      </c>
      <c r="AS5" s="91">
        <v>2</v>
      </c>
      <c r="AT5" s="91">
        <v>0</v>
      </c>
      <c r="AU5" s="91">
        <v>0</v>
      </c>
      <c r="AV5" s="91">
        <v>1</v>
      </c>
      <c r="AW5" s="91">
        <v>0</v>
      </c>
      <c r="AX5" s="91">
        <v>2</v>
      </c>
      <c r="AY5" s="91">
        <v>0</v>
      </c>
      <c r="AZ5" s="91">
        <v>9</v>
      </c>
      <c r="BA5" s="91" t="s">
        <v>5934</v>
      </c>
      <c r="BD5" s="91" t="s">
        <v>5935</v>
      </c>
      <c r="BE5" s="91">
        <v>22168743</v>
      </c>
    </row>
  </sheetData>
  <pageMargins left="0.7" right="0.7" top="0.75" bottom="0.75" header="0.51180555555555496" footer="0.51180555555555496"/>
  <pageSetup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194</TotalTime>
  <Application>Microsoft Excel</Application>
  <DocSecurity>0</DocSecurity>
  <ScaleCrop>false</ScaleCrop>
  <HeadingPairs>
    <vt:vector size="4" baseType="variant">
      <vt:variant>
        <vt:lpstr>Hojas de cálculo</vt:lpstr>
      </vt:variant>
      <vt:variant>
        <vt:i4>30</vt:i4>
      </vt:variant>
      <vt:variant>
        <vt:lpstr>Rangos con nombre</vt:lpstr>
      </vt:variant>
      <vt:variant>
        <vt:i4>2</vt:i4>
      </vt:variant>
    </vt:vector>
  </HeadingPairs>
  <TitlesOfParts>
    <vt:vector size="32" baseType="lpstr">
      <vt:lpstr>Palabras clave</vt:lpstr>
      <vt:lpstr>Ecuaciones Finales</vt:lpstr>
      <vt:lpstr>Lista de Revistas</vt:lpstr>
      <vt:lpstr>Lista de Autores</vt:lpstr>
      <vt:lpstr>Ramas</vt:lpstr>
      <vt:lpstr>Articulos de mecanismos de Eval</vt:lpstr>
      <vt:lpstr>Articulos Etiquetados</vt:lpstr>
      <vt:lpstr>Articulos Etiquetados Ergonomía</vt:lpstr>
      <vt:lpstr>CombinacionesMatrices</vt:lpstr>
      <vt:lpstr>Matrices</vt:lpstr>
      <vt:lpstr>Criterios</vt:lpstr>
      <vt:lpstr>Oportunidades_C1</vt:lpstr>
      <vt:lpstr>Oportunidades_C1-2-3</vt:lpstr>
      <vt:lpstr>Valores</vt:lpstr>
      <vt:lpstr>EcuacionesEnBruto</vt:lpstr>
      <vt:lpstr>NOT Keywords</vt:lpstr>
      <vt:lpstr>Builder</vt:lpstr>
      <vt:lpstr>1-500</vt:lpstr>
      <vt:lpstr>501-828</vt:lpstr>
      <vt:lpstr>Autoresbase</vt:lpstr>
      <vt:lpstr>savedrecs186-e77</vt:lpstr>
      <vt:lpstr>savedrecs-E78</vt:lpstr>
      <vt:lpstr>savedrecs-E79</vt:lpstr>
      <vt:lpstr>savedrecs-E80</vt:lpstr>
      <vt:lpstr>savedrecs-E81</vt:lpstr>
      <vt:lpstr>savedrecs-E82</vt:lpstr>
      <vt:lpstr>savedrecs-E83</vt:lpstr>
      <vt:lpstr>savedrecs-E84</vt:lpstr>
      <vt:lpstr>savedrecs-E85</vt:lpstr>
      <vt:lpstr>savedrecs-E86</vt:lpstr>
      <vt:lpstr>'Articulos Etiquetados'!_FilterDatabase</vt:lpstr>
      <vt:lpstr>'Lista de Autores'!_FilterDatabase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raxon</dc:creator>
  <dc:description/>
  <cp:lastModifiedBy>user</cp:lastModifiedBy>
  <cp:revision>7</cp:revision>
  <cp:lastPrinted>2019-02-04T20:16:54Z</cp:lastPrinted>
  <dcterms:created xsi:type="dcterms:W3CDTF">2019-01-29T05:38:37Z</dcterms:created>
  <dcterms:modified xsi:type="dcterms:W3CDTF">2020-02-07T01:07:07Z</dcterms:modified>
  <dc:language>es-CO</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y fmtid="{D5CDD505-2E9C-101B-9397-08002B2CF9AE}" pid="8" name="WorkbookGuid">
    <vt:lpwstr>c84b036c-7e17-43b1-ab7b-75a5b5b089e8</vt:lpwstr>
  </property>
</Properties>
</file>